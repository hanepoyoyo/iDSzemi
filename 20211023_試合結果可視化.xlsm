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KEBUKURO Haruhiko\Desktop\"/>
    </mc:Choice>
  </mc:AlternateContent>
  <xr:revisionPtr revIDLastSave="0" documentId="13_ncr:1_{E4C000AB-08EA-4121-B57A-0F75F10D2FF0}" xr6:coauthVersionLast="47" xr6:coauthVersionMax="47" xr10:uidLastSave="{00000000-0000-0000-0000-000000000000}"/>
  <bookViews>
    <workbookView xWindow="-28920" yWindow="-15" windowWidth="29040" windowHeight="15840" activeTab="7" xr2:uid="{00000000-000D-0000-FFFF-FFFF00000000}"/>
  </bookViews>
  <sheets>
    <sheet name="Main" sheetId="4" r:id="rId1"/>
    <sheet name="Calc" sheetId="17" state="veryHidden" r:id="rId2"/>
    <sheet name="Data" sheetId="21" state="veryHidden" r:id="rId3"/>
    <sheet name="Score" sheetId="15" state="veryHidden" r:id="rId4"/>
    <sheet name="Analysis" sheetId="20" state="veryHidden" r:id="rId5"/>
    <sheet name="Analysis1" sheetId="18" state="veryHidden" r:id="rId6"/>
    <sheet name="Analysis2" sheetId="19" state="veryHidden" r:id="rId7"/>
    <sheet name="所属マスタ" sheetId="14" r:id="rId8"/>
    <sheet name="選手マスタ" sheetId="13" r:id="rId9"/>
    <sheet name="言語" sheetId="16" r:id="rId10"/>
  </sheets>
  <functionGroups builtInGroupCount="19"/>
  <definedNames>
    <definedName name="_xlnm._FilterDatabase" localSheetId="1" hidden="1">Calc!$A$1:$P$7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0" i="20" l="1"/>
  <c r="K30" i="20"/>
  <c r="R32" i="20" s="1"/>
  <c r="E30" i="20"/>
  <c r="A30" i="20"/>
  <c r="Q15" i="19"/>
  <c r="P15" i="19"/>
  <c r="O15" i="19"/>
  <c r="K15" i="19"/>
  <c r="N17" i="19" s="1"/>
  <c r="G15" i="19"/>
  <c r="F15" i="19"/>
  <c r="E15" i="19"/>
  <c r="A15" i="19"/>
  <c r="F22" i="19" s="1"/>
  <c r="A49" i="19"/>
  <c r="E49" i="19"/>
  <c r="F49" i="19"/>
  <c r="G49" i="19"/>
  <c r="K49" i="19"/>
  <c r="O49" i="19"/>
  <c r="P49" i="19"/>
  <c r="Q49" i="19"/>
  <c r="Q4" i="19"/>
  <c r="P4" i="19"/>
  <c r="O4" i="19"/>
  <c r="K4" i="19"/>
  <c r="G4" i="19"/>
  <c r="F4" i="19"/>
  <c r="E4" i="19"/>
  <c r="A4" i="19"/>
  <c r="F5" i="19" s="1"/>
  <c r="O220" i="20"/>
  <c r="K220" i="20"/>
  <c r="P217" i="20" s="1"/>
  <c r="E220" i="20"/>
  <c r="A220" i="20"/>
  <c r="F218" i="20" s="1"/>
  <c r="O201" i="20"/>
  <c r="K201" i="20"/>
  <c r="E201" i="20"/>
  <c r="A201" i="20"/>
  <c r="O194" i="20"/>
  <c r="K194" i="20"/>
  <c r="E194" i="20"/>
  <c r="A194" i="20"/>
  <c r="H191" i="20" s="1"/>
  <c r="O175" i="20"/>
  <c r="K175" i="20"/>
  <c r="P183" i="20" s="1"/>
  <c r="E175" i="20"/>
  <c r="A175" i="20"/>
  <c r="O168" i="20"/>
  <c r="K168" i="20"/>
  <c r="P166" i="20" s="1"/>
  <c r="E168" i="20"/>
  <c r="A168" i="20"/>
  <c r="H167" i="20" s="1"/>
  <c r="O149" i="20"/>
  <c r="K149" i="20"/>
  <c r="E149" i="20"/>
  <c r="A149" i="20"/>
  <c r="F154" i="20" s="1"/>
  <c r="O142" i="20"/>
  <c r="K142" i="20"/>
  <c r="R140" i="20" s="1"/>
  <c r="E142" i="20"/>
  <c r="A142" i="20"/>
  <c r="H141" i="20" s="1"/>
  <c r="O123" i="20"/>
  <c r="K123" i="20"/>
  <c r="E123" i="20"/>
  <c r="A123" i="20"/>
  <c r="O116" i="20"/>
  <c r="K116" i="20"/>
  <c r="R114" i="20" s="1"/>
  <c r="E116" i="20"/>
  <c r="A116" i="20"/>
  <c r="H115" i="20" s="1"/>
  <c r="O97" i="20"/>
  <c r="K97" i="20"/>
  <c r="E97" i="20"/>
  <c r="A97" i="20"/>
  <c r="O90" i="20"/>
  <c r="K90" i="20"/>
  <c r="P87" i="20" s="1"/>
  <c r="E90" i="20"/>
  <c r="A90" i="20"/>
  <c r="F88" i="20" s="1"/>
  <c r="O71" i="20"/>
  <c r="K71" i="20"/>
  <c r="E71" i="20"/>
  <c r="A71" i="20"/>
  <c r="F79" i="20" s="1"/>
  <c r="Q273" i="19"/>
  <c r="P273" i="19"/>
  <c r="O273" i="19"/>
  <c r="K273" i="19"/>
  <c r="G273" i="19"/>
  <c r="F273" i="19"/>
  <c r="E273" i="19"/>
  <c r="A273" i="19"/>
  <c r="Q254" i="19"/>
  <c r="P254" i="19"/>
  <c r="O254" i="19"/>
  <c r="K254" i="19"/>
  <c r="G254" i="19"/>
  <c r="F254" i="19"/>
  <c r="E254" i="19"/>
  <c r="A254" i="19"/>
  <c r="Q249" i="19"/>
  <c r="P249" i="19"/>
  <c r="O249" i="19"/>
  <c r="K249" i="19"/>
  <c r="G249" i="19"/>
  <c r="F249" i="19"/>
  <c r="E249" i="19"/>
  <c r="A249" i="19"/>
  <c r="Q230" i="19"/>
  <c r="P230" i="19"/>
  <c r="O230" i="19"/>
  <c r="K230" i="19"/>
  <c r="G230" i="19"/>
  <c r="F230" i="19"/>
  <c r="E230" i="19"/>
  <c r="A230" i="19"/>
  <c r="Q223" i="19"/>
  <c r="P223" i="19"/>
  <c r="O223" i="19"/>
  <c r="K223" i="19"/>
  <c r="G223" i="19"/>
  <c r="F223" i="19"/>
  <c r="E223" i="19"/>
  <c r="A223" i="19"/>
  <c r="Q204" i="19"/>
  <c r="P204" i="19"/>
  <c r="O204" i="19"/>
  <c r="K204" i="19"/>
  <c r="G204" i="19"/>
  <c r="F204" i="19"/>
  <c r="E204" i="19"/>
  <c r="A204" i="19"/>
  <c r="Q199" i="19"/>
  <c r="P199" i="19"/>
  <c r="O199" i="19"/>
  <c r="K199" i="19"/>
  <c r="G199" i="19"/>
  <c r="F199" i="19"/>
  <c r="E199" i="19"/>
  <c r="A199" i="19"/>
  <c r="Q180" i="19"/>
  <c r="P180" i="19"/>
  <c r="O180" i="19"/>
  <c r="K180" i="19"/>
  <c r="G180" i="19"/>
  <c r="F180" i="19"/>
  <c r="E180" i="19"/>
  <c r="A180" i="19"/>
  <c r="Q173" i="19"/>
  <c r="P173" i="19"/>
  <c r="O173" i="19"/>
  <c r="K173" i="19"/>
  <c r="G173" i="19"/>
  <c r="F173" i="19"/>
  <c r="E173" i="19"/>
  <c r="A173" i="19"/>
  <c r="Q154" i="19"/>
  <c r="P154" i="19"/>
  <c r="O154" i="19"/>
  <c r="K154" i="19"/>
  <c r="G154" i="19"/>
  <c r="F154" i="19"/>
  <c r="E154" i="19"/>
  <c r="A154" i="19"/>
  <c r="Q149" i="19"/>
  <c r="P149" i="19"/>
  <c r="O149" i="19"/>
  <c r="K149" i="19"/>
  <c r="G149" i="19"/>
  <c r="F149" i="19"/>
  <c r="E149" i="19"/>
  <c r="A149" i="19"/>
  <c r="Q130" i="19"/>
  <c r="P130" i="19"/>
  <c r="O130" i="19"/>
  <c r="K130" i="19"/>
  <c r="G130" i="19"/>
  <c r="F130" i="19"/>
  <c r="E130" i="19"/>
  <c r="A130" i="19"/>
  <c r="G104" i="19"/>
  <c r="F104" i="19"/>
  <c r="E104" i="19"/>
  <c r="A104" i="19"/>
  <c r="Q104" i="19"/>
  <c r="P104" i="19"/>
  <c r="O104" i="19"/>
  <c r="K104" i="19"/>
  <c r="G99" i="19"/>
  <c r="F99" i="19"/>
  <c r="E99" i="19"/>
  <c r="A99" i="19"/>
  <c r="Q99" i="19"/>
  <c r="P99" i="19"/>
  <c r="O99" i="19"/>
  <c r="K99" i="19"/>
  <c r="Q54" i="19"/>
  <c r="P54" i="19"/>
  <c r="O54" i="19"/>
  <c r="K54" i="19"/>
  <c r="G54" i="19"/>
  <c r="F54" i="19"/>
  <c r="E54" i="19"/>
  <c r="A54" i="19"/>
  <c r="Q123" i="19"/>
  <c r="P123" i="19"/>
  <c r="O123" i="19"/>
  <c r="K123" i="19"/>
  <c r="G123" i="19"/>
  <c r="F123" i="19"/>
  <c r="E123" i="19"/>
  <c r="A123" i="19"/>
  <c r="Q80" i="19"/>
  <c r="P80" i="19"/>
  <c r="O80" i="19"/>
  <c r="K80" i="19"/>
  <c r="G80" i="19"/>
  <c r="F80" i="19"/>
  <c r="E80" i="19"/>
  <c r="A80" i="19"/>
  <c r="F73" i="19"/>
  <c r="E73" i="19"/>
  <c r="E30" i="19"/>
  <c r="Q30" i="19"/>
  <c r="P30" i="19"/>
  <c r="O30" i="19"/>
  <c r="A73" i="19"/>
  <c r="G73" i="19"/>
  <c r="B33" i="20" l="1"/>
  <c r="F166" i="20"/>
  <c r="F167" i="20"/>
  <c r="F36" i="20"/>
  <c r="D31" i="20"/>
  <c r="H36" i="20"/>
  <c r="I36" i="20"/>
  <c r="M186" i="20"/>
  <c r="R139" i="20"/>
  <c r="C35" i="20"/>
  <c r="N35" i="20"/>
  <c r="A164" i="20"/>
  <c r="P35" i="20"/>
  <c r="S37" i="20"/>
  <c r="K33" i="20"/>
  <c r="I193" i="20"/>
  <c r="A190" i="20"/>
  <c r="S32" i="20"/>
  <c r="R35" i="20"/>
  <c r="P38" i="20"/>
  <c r="K35" i="20"/>
  <c r="F165" i="20"/>
  <c r="A188" i="20"/>
  <c r="P33" i="20"/>
  <c r="S35" i="20"/>
  <c r="R38" i="20"/>
  <c r="L33" i="20"/>
  <c r="R33" i="20"/>
  <c r="P36" i="20"/>
  <c r="S38" i="20"/>
  <c r="L35" i="20"/>
  <c r="P31" i="20"/>
  <c r="S33" i="20"/>
  <c r="R36" i="20"/>
  <c r="M33" i="20"/>
  <c r="F191" i="20"/>
  <c r="R31" i="20"/>
  <c r="P34" i="20"/>
  <c r="S36" i="20"/>
  <c r="N31" i="20"/>
  <c r="M35" i="20"/>
  <c r="F192" i="20"/>
  <c r="S31" i="20"/>
  <c r="R34" i="20"/>
  <c r="P37" i="20"/>
  <c r="N32" i="20"/>
  <c r="N33" i="20"/>
  <c r="H193" i="20"/>
  <c r="P32" i="20"/>
  <c r="S34" i="20"/>
  <c r="R37" i="20"/>
  <c r="K38" i="20"/>
  <c r="S131" i="20"/>
  <c r="F34" i="20"/>
  <c r="H34" i="20"/>
  <c r="I34" i="20"/>
  <c r="B35" i="20"/>
  <c r="F35" i="20"/>
  <c r="H35" i="20"/>
  <c r="I35" i="20"/>
  <c r="C33" i="20"/>
  <c r="D32" i="20"/>
  <c r="F37" i="20"/>
  <c r="H37" i="20"/>
  <c r="I37" i="20"/>
  <c r="D33" i="20"/>
  <c r="A38" i="20"/>
  <c r="F38" i="20"/>
  <c r="H38" i="20"/>
  <c r="I38" i="20"/>
  <c r="D35" i="20"/>
  <c r="P140" i="20"/>
  <c r="F31" i="20"/>
  <c r="H31" i="20"/>
  <c r="I31" i="20"/>
  <c r="A33" i="20"/>
  <c r="F32" i="20"/>
  <c r="H32" i="20"/>
  <c r="I32" i="20"/>
  <c r="A35" i="20"/>
  <c r="F33" i="20"/>
  <c r="H33" i="20"/>
  <c r="I33" i="20"/>
  <c r="Q32" i="20"/>
  <c r="Q35" i="20"/>
  <c r="H23" i="19"/>
  <c r="F21" i="19"/>
  <c r="F20" i="19"/>
  <c r="N16" i="19"/>
  <c r="H18" i="19"/>
  <c r="S23" i="19"/>
  <c r="I219" i="20"/>
  <c r="P141" i="20"/>
  <c r="R141" i="20"/>
  <c r="M214" i="20"/>
  <c r="F217" i="20"/>
  <c r="H217" i="20"/>
  <c r="M188" i="20"/>
  <c r="P219" i="20"/>
  <c r="R178" i="20"/>
  <c r="P192" i="20"/>
  <c r="D214" i="20"/>
  <c r="C152" i="20"/>
  <c r="P113" i="20"/>
  <c r="A186" i="20"/>
  <c r="P193" i="20"/>
  <c r="F150" i="20"/>
  <c r="D154" i="20"/>
  <c r="P139" i="20"/>
  <c r="K138" i="20"/>
  <c r="H157" i="20"/>
  <c r="K186" i="20"/>
  <c r="A212" i="20"/>
  <c r="C206" i="20"/>
  <c r="B212" i="20"/>
  <c r="C136" i="20"/>
  <c r="H153" i="20"/>
  <c r="S183" i="20"/>
  <c r="I203" i="20"/>
  <c r="I207" i="20"/>
  <c r="B214" i="20"/>
  <c r="H218" i="20"/>
  <c r="C204" i="20"/>
  <c r="H208" i="20"/>
  <c r="C214" i="20"/>
  <c r="P218" i="20"/>
  <c r="Q219" i="20" s="1"/>
  <c r="I205" i="20"/>
  <c r="H156" i="20"/>
  <c r="L188" i="20"/>
  <c r="D204" i="20"/>
  <c r="I208" i="20"/>
  <c r="A216" i="20"/>
  <c r="F219" i="20"/>
  <c r="B162" i="20"/>
  <c r="I156" i="20"/>
  <c r="R179" i="20"/>
  <c r="H205" i="20"/>
  <c r="H209" i="20"/>
  <c r="C216" i="20"/>
  <c r="H219" i="20"/>
  <c r="S167" i="20"/>
  <c r="S209" i="20"/>
  <c r="D206" i="20"/>
  <c r="C212" i="20"/>
  <c r="A134" i="20"/>
  <c r="H207" i="20"/>
  <c r="A214" i="20"/>
  <c r="N214" i="20"/>
  <c r="R23" i="19"/>
  <c r="F16" i="19"/>
  <c r="I18" i="19"/>
  <c r="H22" i="19"/>
  <c r="F17" i="19"/>
  <c r="I19" i="19"/>
  <c r="I22" i="19"/>
  <c r="H17" i="19"/>
  <c r="P20" i="19"/>
  <c r="S16" i="19"/>
  <c r="S21" i="19"/>
  <c r="I17" i="19"/>
  <c r="F19" i="19"/>
  <c r="H20" i="19"/>
  <c r="A23" i="19"/>
  <c r="P18" i="19"/>
  <c r="P22" i="19"/>
  <c r="D16" i="19"/>
  <c r="H19" i="19"/>
  <c r="I20" i="19"/>
  <c r="F23" i="19"/>
  <c r="P17" i="19"/>
  <c r="R18" i="19"/>
  <c r="R22" i="19"/>
  <c r="S22" i="19"/>
  <c r="H16" i="19"/>
  <c r="H21" i="19"/>
  <c r="I23" i="19"/>
  <c r="S17" i="19"/>
  <c r="P19" i="19"/>
  <c r="R20" i="19"/>
  <c r="K23" i="19"/>
  <c r="S18" i="19"/>
  <c r="I16" i="19"/>
  <c r="I21" i="19"/>
  <c r="R19" i="19"/>
  <c r="S20" i="19"/>
  <c r="P23" i="19"/>
  <c r="R17" i="19"/>
  <c r="D17" i="19"/>
  <c r="F18" i="19"/>
  <c r="P16" i="19"/>
  <c r="S19" i="19"/>
  <c r="P21" i="19"/>
  <c r="R16" i="19"/>
  <c r="R21" i="19"/>
  <c r="S9" i="19"/>
  <c r="K157" i="19"/>
  <c r="P12" i="19"/>
  <c r="R12" i="19"/>
  <c r="P262" i="19"/>
  <c r="H5" i="19"/>
  <c r="P7" i="19"/>
  <c r="P5" i="19"/>
  <c r="P10" i="19"/>
  <c r="R5" i="19"/>
  <c r="R10" i="19"/>
  <c r="S5" i="19"/>
  <c r="S10" i="19"/>
  <c r="C83" i="19"/>
  <c r="P81" i="19"/>
  <c r="H136" i="19"/>
  <c r="H161" i="19"/>
  <c r="I235" i="19"/>
  <c r="F271" i="19"/>
  <c r="N6" i="19"/>
  <c r="P11" i="19"/>
  <c r="R8" i="19"/>
  <c r="I5" i="19"/>
  <c r="S8" i="19"/>
  <c r="S12" i="19"/>
  <c r="P146" i="19"/>
  <c r="K193" i="19"/>
  <c r="N5" i="19"/>
  <c r="A93" i="19"/>
  <c r="F6" i="19"/>
  <c r="H6" i="19"/>
  <c r="I6" i="19"/>
  <c r="B57" i="19"/>
  <c r="D217" i="19"/>
  <c r="S110" i="19"/>
  <c r="M135" i="19"/>
  <c r="K217" i="19"/>
  <c r="N209" i="19"/>
  <c r="F9" i="19"/>
  <c r="H9" i="19"/>
  <c r="I9" i="19"/>
  <c r="P131" i="19"/>
  <c r="F7" i="19"/>
  <c r="H7" i="19"/>
  <c r="I7" i="19"/>
  <c r="C157" i="19"/>
  <c r="R211" i="19"/>
  <c r="N267" i="19"/>
  <c r="D6" i="19"/>
  <c r="F10" i="19"/>
  <c r="H10" i="19"/>
  <c r="I10" i="19"/>
  <c r="P6" i="19"/>
  <c r="R7" i="19"/>
  <c r="R11" i="19"/>
  <c r="B257" i="19"/>
  <c r="C135" i="19"/>
  <c r="S272" i="19"/>
  <c r="A12" i="19"/>
  <c r="F11" i="19"/>
  <c r="H11" i="19"/>
  <c r="I11" i="19"/>
  <c r="R6" i="19"/>
  <c r="S7" i="19"/>
  <c r="P9" i="19"/>
  <c r="S11" i="19"/>
  <c r="B243" i="19"/>
  <c r="F8" i="19"/>
  <c r="H8" i="19"/>
  <c r="I8" i="19"/>
  <c r="I172" i="19"/>
  <c r="H197" i="19"/>
  <c r="H196" i="19"/>
  <c r="R210" i="19"/>
  <c r="D5" i="19"/>
  <c r="F12" i="19"/>
  <c r="H12" i="19"/>
  <c r="I12" i="19"/>
  <c r="S6" i="19"/>
  <c r="P8" i="19"/>
  <c r="Q8" i="19" s="1"/>
  <c r="R9" i="19"/>
  <c r="K12" i="19"/>
  <c r="P110" i="19"/>
  <c r="A145" i="19"/>
  <c r="C159" i="19"/>
  <c r="S236" i="19"/>
  <c r="I234" i="19"/>
  <c r="H238" i="19"/>
  <c r="P255" i="19"/>
  <c r="B259" i="19"/>
  <c r="D267" i="19"/>
  <c r="I231" i="19"/>
  <c r="I236" i="19"/>
  <c r="H246" i="19"/>
  <c r="H72" i="19"/>
  <c r="I62" i="19"/>
  <c r="C133" i="19"/>
  <c r="C145" i="19"/>
  <c r="F162" i="19"/>
  <c r="I155" i="19"/>
  <c r="F160" i="19"/>
  <c r="H170" i="19"/>
  <c r="A185" i="19"/>
  <c r="F196" i="19"/>
  <c r="I182" i="19"/>
  <c r="H207" i="19"/>
  <c r="R207" i="19"/>
  <c r="F220" i="19"/>
  <c r="A235" i="19"/>
  <c r="B241" i="19"/>
  <c r="H258" i="19"/>
  <c r="D256" i="19"/>
  <c r="L259" i="19"/>
  <c r="D65" i="19"/>
  <c r="F133" i="19"/>
  <c r="I156" i="19"/>
  <c r="H160" i="19"/>
  <c r="H171" i="19"/>
  <c r="C185" i="19"/>
  <c r="R208" i="19"/>
  <c r="F221" i="19"/>
  <c r="D235" i="19"/>
  <c r="H256" i="19"/>
  <c r="M259" i="19"/>
  <c r="A141" i="19"/>
  <c r="A159" i="19"/>
  <c r="A167" i="19"/>
  <c r="C183" i="19"/>
  <c r="A193" i="19"/>
  <c r="I185" i="19"/>
  <c r="D206" i="19"/>
  <c r="K215" i="19"/>
  <c r="F234" i="19"/>
  <c r="A238" i="19"/>
  <c r="D243" i="19"/>
  <c r="N255" i="19"/>
  <c r="R257" i="19"/>
  <c r="F184" i="19"/>
  <c r="A195" i="19"/>
  <c r="R206" i="19"/>
  <c r="I88" i="19"/>
  <c r="H134" i="19"/>
  <c r="A157" i="19"/>
  <c r="F161" i="19"/>
  <c r="H172" i="19"/>
  <c r="F186" i="19"/>
  <c r="F197" i="19"/>
  <c r="L193" i="19"/>
  <c r="S222" i="19"/>
  <c r="R209" i="19"/>
  <c r="F222" i="19"/>
  <c r="F236" i="19"/>
  <c r="C245" i="19"/>
  <c r="L243" i="19"/>
  <c r="S271" i="19"/>
  <c r="I256" i="19"/>
  <c r="F262" i="19"/>
  <c r="C257" i="19"/>
  <c r="G11" i="19"/>
  <c r="F158" i="19"/>
  <c r="A188" i="19"/>
  <c r="A233" i="19"/>
  <c r="F237" i="19"/>
  <c r="R261" i="19"/>
  <c r="L257" i="19"/>
  <c r="S262" i="19"/>
  <c r="A162" i="19"/>
  <c r="D182" i="19"/>
  <c r="F198" i="19"/>
  <c r="H247" i="19"/>
  <c r="R105" i="19"/>
  <c r="H137" i="19"/>
  <c r="H158" i="19"/>
  <c r="A165" i="19"/>
  <c r="H185" i="19"/>
  <c r="A183" i="19"/>
  <c r="A191" i="19"/>
  <c r="H198" i="19"/>
  <c r="P212" i="19"/>
  <c r="D233" i="19"/>
  <c r="I237" i="19"/>
  <c r="H248" i="19"/>
  <c r="M257" i="19"/>
  <c r="F270" i="19"/>
  <c r="I181" i="19"/>
  <c r="F187" i="19"/>
  <c r="I132" i="19"/>
  <c r="A169" i="19"/>
  <c r="Q218" i="20"/>
  <c r="Q217" i="20"/>
  <c r="G219" i="20"/>
  <c r="G218" i="20"/>
  <c r="M206" i="20"/>
  <c r="P202" i="20"/>
  <c r="N206" i="20"/>
  <c r="K216" i="20"/>
  <c r="R217" i="20"/>
  <c r="R218" i="20"/>
  <c r="R219" i="20"/>
  <c r="N204" i="20"/>
  <c r="K180" i="20"/>
  <c r="D188" i="20"/>
  <c r="D202" i="20"/>
  <c r="R202" i="20"/>
  <c r="P203" i="20"/>
  <c r="F204" i="20"/>
  <c r="P204" i="20"/>
  <c r="P205" i="20"/>
  <c r="F206" i="20"/>
  <c r="P206" i="20"/>
  <c r="P207" i="20"/>
  <c r="P208" i="20"/>
  <c r="I209" i="20"/>
  <c r="K74" i="20"/>
  <c r="F152" i="20"/>
  <c r="C160" i="20"/>
  <c r="R180" i="20"/>
  <c r="N186" i="20"/>
  <c r="P191" i="20"/>
  <c r="Q191" i="20" s="1"/>
  <c r="F202" i="20"/>
  <c r="S202" i="20"/>
  <c r="K209" i="20"/>
  <c r="D212" i="20"/>
  <c r="M216" i="20"/>
  <c r="S217" i="20"/>
  <c r="S218" i="20"/>
  <c r="S219" i="20"/>
  <c r="M204" i="20"/>
  <c r="N203" i="20"/>
  <c r="D136" i="20"/>
  <c r="A138" i="20"/>
  <c r="I141" i="20"/>
  <c r="D160" i="20"/>
  <c r="D177" i="20"/>
  <c r="R181" i="20"/>
  <c r="D203" i="20"/>
  <c r="R203" i="20"/>
  <c r="H204" i="20"/>
  <c r="R204" i="20"/>
  <c r="R205" i="20"/>
  <c r="H206" i="20"/>
  <c r="R206" i="20"/>
  <c r="R207" i="20"/>
  <c r="R208" i="20"/>
  <c r="P209" i="20"/>
  <c r="K212" i="20"/>
  <c r="K214" i="20"/>
  <c r="H89" i="20"/>
  <c r="F140" i="20"/>
  <c r="I153" i="20"/>
  <c r="K164" i="20"/>
  <c r="R177" i="20"/>
  <c r="R182" i="20"/>
  <c r="K188" i="20"/>
  <c r="H192" i="20"/>
  <c r="H202" i="20"/>
  <c r="F203" i="20"/>
  <c r="S203" i="20"/>
  <c r="I204" i="20"/>
  <c r="S204" i="20"/>
  <c r="S205" i="20"/>
  <c r="I206" i="20"/>
  <c r="S206" i="20"/>
  <c r="S207" i="20"/>
  <c r="S208" i="20"/>
  <c r="L212" i="20"/>
  <c r="L214" i="20"/>
  <c r="G165" i="20"/>
  <c r="Q192" i="20"/>
  <c r="I202" i="20"/>
  <c r="A204" i="20"/>
  <c r="K204" i="20"/>
  <c r="F205" i="20"/>
  <c r="A206" i="20"/>
  <c r="K206" i="20"/>
  <c r="F207" i="20"/>
  <c r="F208" i="20"/>
  <c r="A209" i="20"/>
  <c r="R209" i="20"/>
  <c r="M212" i="20"/>
  <c r="H178" i="20"/>
  <c r="F114" i="20"/>
  <c r="H155" i="20"/>
  <c r="H165" i="20"/>
  <c r="K178" i="20"/>
  <c r="R183" i="20"/>
  <c r="N188" i="20"/>
  <c r="F193" i="20"/>
  <c r="G192" i="20" s="1"/>
  <c r="N202" i="20"/>
  <c r="H203" i="20"/>
  <c r="B204" i="20"/>
  <c r="L204" i="20"/>
  <c r="B206" i="20"/>
  <c r="L206" i="20"/>
  <c r="F209" i="20"/>
  <c r="N212" i="20"/>
  <c r="I217" i="20"/>
  <c r="I218" i="20"/>
  <c r="Q193" i="20"/>
  <c r="A162" i="20"/>
  <c r="S157" i="20"/>
  <c r="D125" i="20"/>
  <c r="C162" i="20"/>
  <c r="P165" i="20"/>
  <c r="P167" i="20"/>
  <c r="P176" i="20"/>
  <c r="I177" i="20"/>
  <c r="C178" i="20"/>
  <c r="M178" i="20"/>
  <c r="H179" i="20"/>
  <c r="C180" i="20"/>
  <c r="M180" i="20"/>
  <c r="H181" i="20"/>
  <c r="H182" i="20"/>
  <c r="F179" i="20"/>
  <c r="A180" i="20"/>
  <c r="M82" i="20"/>
  <c r="I125" i="20"/>
  <c r="D150" i="20"/>
  <c r="C154" i="20"/>
  <c r="I157" i="20"/>
  <c r="D162" i="20"/>
  <c r="R165" i="20"/>
  <c r="R167" i="20"/>
  <c r="N177" i="20"/>
  <c r="D178" i="20"/>
  <c r="N178" i="20"/>
  <c r="I179" i="20"/>
  <c r="D180" i="20"/>
  <c r="N180" i="20"/>
  <c r="I181" i="20"/>
  <c r="I182" i="20"/>
  <c r="H183" i="20"/>
  <c r="B186" i="20"/>
  <c r="B188" i="20"/>
  <c r="C190" i="20"/>
  <c r="H87" i="20"/>
  <c r="I115" i="20"/>
  <c r="D176" i="20"/>
  <c r="R176" i="20"/>
  <c r="P177" i="20"/>
  <c r="F178" i="20"/>
  <c r="P178" i="20"/>
  <c r="P179" i="20"/>
  <c r="F180" i="20"/>
  <c r="P180" i="20"/>
  <c r="P181" i="20"/>
  <c r="P182" i="20"/>
  <c r="I183" i="20"/>
  <c r="C186" i="20"/>
  <c r="C188" i="20"/>
  <c r="K190" i="20"/>
  <c r="R191" i="20"/>
  <c r="R192" i="20"/>
  <c r="R193" i="20"/>
  <c r="F181" i="20"/>
  <c r="F182" i="20"/>
  <c r="A183" i="20"/>
  <c r="A82" i="20"/>
  <c r="N162" i="20"/>
  <c r="C128" i="20"/>
  <c r="A160" i="20"/>
  <c r="P88" i="20"/>
  <c r="D110" i="20"/>
  <c r="D128" i="20"/>
  <c r="Q139" i="20"/>
  <c r="I151" i="20"/>
  <c r="B160" i="20"/>
  <c r="C164" i="20"/>
  <c r="H166" i="20"/>
  <c r="F176" i="20"/>
  <c r="S176" i="20"/>
  <c r="K183" i="20"/>
  <c r="D186" i="20"/>
  <c r="M190" i="20"/>
  <c r="S191" i="20"/>
  <c r="S192" i="20"/>
  <c r="S193" i="20"/>
  <c r="H131" i="20"/>
  <c r="H180" i="20"/>
  <c r="P89" i="20"/>
  <c r="I131" i="20"/>
  <c r="I167" i="20"/>
  <c r="D152" i="20"/>
  <c r="I155" i="20"/>
  <c r="M164" i="20"/>
  <c r="R166" i="20"/>
  <c r="H176" i="20"/>
  <c r="F177" i="20"/>
  <c r="S177" i="20"/>
  <c r="I178" i="20"/>
  <c r="S178" i="20"/>
  <c r="S179" i="20"/>
  <c r="I180" i="20"/>
  <c r="S180" i="20"/>
  <c r="S181" i="20"/>
  <c r="S182" i="20"/>
  <c r="L186" i="20"/>
  <c r="I176" i="20"/>
  <c r="A178" i="20"/>
  <c r="N176" i="20"/>
  <c r="H177" i="20"/>
  <c r="B178" i="20"/>
  <c r="L178" i="20"/>
  <c r="B180" i="20"/>
  <c r="L180" i="20"/>
  <c r="F183" i="20"/>
  <c r="I191" i="20"/>
  <c r="I192" i="20"/>
  <c r="Q167" i="20"/>
  <c r="G167" i="20"/>
  <c r="G166" i="20"/>
  <c r="Q141" i="20"/>
  <c r="P150" i="20"/>
  <c r="R113" i="20"/>
  <c r="N152" i="20"/>
  <c r="N151" i="20"/>
  <c r="C126" i="20"/>
  <c r="F128" i="20"/>
  <c r="P152" i="20"/>
  <c r="P153" i="20"/>
  <c r="M152" i="20"/>
  <c r="N154" i="20"/>
  <c r="S165" i="20"/>
  <c r="S166" i="20"/>
  <c r="S105" i="20"/>
  <c r="R150" i="20"/>
  <c r="P151" i="20"/>
  <c r="N110" i="20"/>
  <c r="P114" i="20"/>
  <c r="D126" i="20"/>
  <c r="H128" i="20"/>
  <c r="B134" i="20"/>
  <c r="C138" i="20"/>
  <c r="H140" i="20"/>
  <c r="F126" i="20"/>
  <c r="H129" i="20"/>
  <c r="C134" i="20"/>
  <c r="Q140" i="20"/>
  <c r="D151" i="20"/>
  <c r="R151" i="20"/>
  <c r="H152" i="20"/>
  <c r="R152" i="20"/>
  <c r="R153" i="20"/>
  <c r="H154" i="20"/>
  <c r="R154" i="20"/>
  <c r="R155" i="20"/>
  <c r="R156" i="20"/>
  <c r="P157" i="20"/>
  <c r="K160" i="20"/>
  <c r="K162" i="20"/>
  <c r="D100" i="20"/>
  <c r="P115" i="20"/>
  <c r="R77" i="20"/>
  <c r="A86" i="20"/>
  <c r="I103" i="20"/>
  <c r="R115" i="20"/>
  <c r="N136" i="20"/>
  <c r="H126" i="20"/>
  <c r="I129" i="20"/>
  <c r="D134" i="20"/>
  <c r="M138" i="20"/>
  <c r="H150" i="20"/>
  <c r="F151" i="20"/>
  <c r="S151" i="20"/>
  <c r="I152" i="20"/>
  <c r="S152" i="20"/>
  <c r="S153" i="20"/>
  <c r="I154" i="20"/>
  <c r="S154" i="20"/>
  <c r="S155" i="20"/>
  <c r="S156" i="20"/>
  <c r="L160" i="20"/>
  <c r="L162" i="20"/>
  <c r="P154" i="20"/>
  <c r="P155" i="20"/>
  <c r="P156" i="20"/>
  <c r="S150" i="20"/>
  <c r="K157" i="20"/>
  <c r="R75" i="20"/>
  <c r="K84" i="20"/>
  <c r="D124" i="20"/>
  <c r="H127" i="20"/>
  <c r="H130" i="20"/>
  <c r="A136" i="20"/>
  <c r="F139" i="20"/>
  <c r="F141" i="20"/>
  <c r="I150" i="20"/>
  <c r="A152" i="20"/>
  <c r="K152" i="20"/>
  <c r="F153" i="20"/>
  <c r="A154" i="20"/>
  <c r="K154" i="20"/>
  <c r="F155" i="20"/>
  <c r="F156" i="20"/>
  <c r="A157" i="20"/>
  <c r="R157" i="20"/>
  <c r="M160" i="20"/>
  <c r="M162" i="20"/>
  <c r="M154" i="20"/>
  <c r="R74" i="20"/>
  <c r="A110" i="20"/>
  <c r="F87" i="20"/>
  <c r="K76" i="20"/>
  <c r="B110" i="20"/>
  <c r="F124" i="20"/>
  <c r="I127" i="20"/>
  <c r="I130" i="20"/>
  <c r="B136" i="20"/>
  <c r="H139" i="20"/>
  <c r="N150" i="20"/>
  <c r="H151" i="20"/>
  <c r="B152" i="20"/>
  <c r="L152" i="20"/>
  <c r="B154" i="20"/>
  <c r="L154" i="20"/>
  <c r="F157" i="20"/>
  <c r="N160" i="20"/>
  <c r="I165" i="20"/>
  <c r="I166" i="20"/>
  <c r="M126" i="20"/>
  <c r="P124" i="20"/>
  <c r="F100" i="20"/>
  <c r="H104" i="20"/>
  <c r="N128" i="20"/>
  <c r="N125" i="20"/>
  <c r="M128" i="20"/>
  <c r="I101" i="20"/>
  <c r="H105" i="20"/>
  <c r="A112" i="20"/>
  <c r="H114" i="20"/>
  <c r="S124" i="20"/>
  <c r="K131" i="20"/>
  <c r="S139" i="20"/>
  <c r="S140" i="20"/>
  <c r="S141" i="20"/>
  <c r="N126" i="20"/>
  <c r="R124" i="20"/>
  <c r="P125" i="20"/>
  <c r="C102" i="20"/>
  <c r="I105" i="20"/>
  <c r="C112" i="20"/>
  <c r="R128" i="20"/>
  <c r="R129" i="20"/>
  <c r="R130" i="20"/>
  <c r="P131" i="20"/>
  <c r="K134" i="20"/>
  <c r="K136" i="20"/>
  <c r="P128" i="20"/>
  <c r="P129" i="20"/>
  <c r="P130" i="20"/>
  <c r="P79" i="20"/>
  <c r="R125" i="20"/>
  <c r="R79" i="20"/>
  <c r="D98" i="20"/>
  <c r="D102" i="20"/>
  <c r="A108" i="20"/>
  <c r="K112" i="20"/>
  <c r="H124" i="20"/>
  <c r="F125" i="20"/>
  <c r="S125" i="20"/>
  <c r="I126" i="20"/>
  <c r="S126" i="20"/>
  <c r="S127" i="20"/>
  <c r="I128" i="20"/>
  <c r="S128" i="20"/>
  <c r="S129" i="20"/>
  <c r="S130" i="20"/>
  <c r="L134" i="20"/>
  <c r="L136" i="20"/>
  <c r="H101" i="20"/>
  <c r="I104" i="20"/>
  <c r="C110" i="20"/>
  <c r="R126" i="20"/>
  <c r="R127" i="20"/>
  <c r="R73" i="20"/>
  <c r="P126" i="20"/>
  <c r="P127" i="20"/>
  <c r="S115" i="20"/>
  <c r="I99" i="20"/>
  <c r="F102" i="20"/>
  <c r="B108" i="20"/>
  <c r="F113" i="20"/>
  <c r="F115" i="20"/>
  <c r="I124" i="20"/>
  <c r="A126" i="20"/>
  <c r="K126" i="20"/>
  <c r="F127" i="20"/>
  <c r="A128" i="20"/>
  <c r="K128" i="20"/>
  <c r="F129" i="20"/>
  <c r="F130" i="20"/>
  <c r="A131" i="20"/>
  <c r="R131" i="20"/>
  <c r="M134" i="20"/>
  <c r="M136" i="20"/>
  <c r="Q87" i="20"/>
  <c r="C100" i="20"/>
  <c r="H103" i="20"/>
  <c r="C108" i="20"/>
  <c r="H113" i="20"/>
  <c r="N124" i="20"/>
  <c r="H125" i="20"/>
  <c r="B126" i="20"/>
  <c r="L126" i="20"/>
  <c r="B128" i="20"/>
  <c r="L128" i="20"/>
  <c r="F131" i="20"/>
  <c r="N134" i="20"/>
  <c r="I139" i="20"/>
  <c r="I140" i="20"/>
  <c r="Q114" i="20"/>
  <c r="Q115" i="20"/>
  <c r="M100" i="20"/>
  <c r="N100" i="20"/>
  <c r="R98" i="20"/>
  <c r="P99" i="20"/>
  <c r="P98" i="20"/>
  <c r="N102" i="20"/>
  <c r="P100" i="20"/>
  <c r="P101" i="20"/>
  <c r="S79" i="20"/>
  <c r="H76" i="20"/>
  <c r="K82" i="20"/>
  <c r="F98" i="20"/>
  <c r="S98" i="20"/>
  <c r="K105" i="20"/>
  <c r="D108" i="20"/>
  <c r="M112" i="20"/>
  <c r="S113" i="20"/>
  <c r="S114" i="20"/>
  <c r="Q89" i="20"/>
  <c r="N99" i="20"/>
  <c r="P102" i="20"/>
  <c r="P103" i="20"/>
  <c r="P104" i="20"/>
  <c r="N84" i="20"/>
  <c r="D99" i="20"/>
  <c r="R99" i="20"/>
  <c r="H100" i="20"/>
  <c r="R100" i="20"/>
  <c r="R101" i="20"/>
  <c r="H102" i="20"/>
  <c r="R102" i="20"/>
  <c r="R103" i="20"/>
  <c r="R104" i="20"/>
  <c r="P105" i="20"/>
  <c r="K108" i="20"/>
  <c r="K110" i="20"/>
  <c r="I89" i="20"/>
  <c r="D73" i="20"/>
  <c r="R76" i="20"/>
  <c r="A84" i="20"/>
  <c r="H88" i="20"/>
  <c r="H98" i="20"/>
  <c r="F99" i="20"/>
  <c r="S99" i="20"/>
  <c r="I100" i="20"/>
  <c r="S100" i="20"/>
  <c r="S101" i="20"/>
  <c r="I102" i="20"/>
  <c r="S102" i="20"/>
  <c r="S103" i="20"/>
  <c r="S104" i="20"/>
  <c r="L108" i="20"/>
  <c r="L110" i="20"/>
  <c r="M102" i="20"/>
  <c r="I98" i="20"/>
  <c r="A100" i="20"/>
  <c r="K100" i="20"/>
  <c r="F101" i="20"/>
  <c r="A102" i="20"/>
  <c r="K102" i="20"/>
  <c r="F103" i="20"/>
  <c r="F104" i="20"/>
  <c r="A105" i="20"/>
  <c r="R105" i="20"/>
  <c r="M108" i="20"/>
  <c r="M110" i="20"/>
  <c r="H74" i="20"/>
  <c r="R78" i="20"/>
  <c r="M84" i="20"/>
  <c r="F89" i="20"/>
  <c r="G87" i="20" s="1"/>
  <c r="N98" i="20"/>
  <c r="H99" i="20"/>
  <c r="B100" i="20"/>
  <c r="L100" i="20"/>
  <c r="B102" i="20"/>
  <c r="L102" i="20"/>
  <c r="F105" i="20"/>
  <c r="N108" i="20"/>
  <c r="I113" i="20"/>
  <c r="I114" i="20"/>
  <c r="Q88" i="20"/>
  <c r="I72" i="20"/>
  <c r="A74" i="20"/>
  <c r="N73" i="20"/>
  <c r="D74" i="20"/>
  <c r="N74" i="20"/>
  <c r="I75" i="20"/>
  <c r="D76" i="20"/>
  <c r="N76" i="20"/>
  <c r="I77" i="20"/>
  <c r="I78" i="20"/>
  <c r="H79" i="20"/>
  <c r="B82" i="20"/>
  <c r="B84" i="20"/>
  <c r="C86" i="20"/>
  <c r="P72" i="20"/>
  <c r="I73" i="20"/>
  <c r="C74" i="20"/>
  <c r="M74" i="20"/>
  <c r="H75" i="20"/>
  <c r="C76" i="20"/>
  <c r="M76" i="20"/>
  <c r="H77" i="20"/>
  <c r="H78" i="20"/>
  <c r="D72" i="20"/>
  <c r="R72" i="20"/>
  <c r="P73" i="20"/>
  <c r="F74" i="20"/>
  <c r="P74" i="20"/>
  <c r="P75" i="20"/>
  <c r="F76" i="20"/>
  <c r="P76" i="20"/>
  <c r="P77" i="20"/>
  <c r="P78" i="20"/>
  <c r="I79" i="20"/>
  <c r="C82" i="20"/>
  <c r="C84" i="20"/>
  <c r="K86" i="20"/>
  <c r="R87" i="20"/>
  <c r="R88" i="20"/>
  <c r="R89" i="20"/>
  <c r="F77" i="20"/>
  <c r="F78" i="20"/>
  <c r="A79" i="20"/>
  <c r="F72" i="20"/>
  <c r="S72" i="20"/>
  <c r="K79" i="20"/>
  <c r="D82" i="20"/>
  <c r="D84" i="20"/>
  <c r="M86" i="20"/>
  <c r="S87" i="20"/>
  <c r="S88" i="20"/>
  <c r="S89" i="20"/>
  <c r="H72" i="20"/>
  <c r="F73" i="20"/>
  <c r="S73" i="20"/>
  <c r="I74" i="20"/>
  <c r="S74" i="20"/>
  <c r="S75" i="20"/>
  <c r="I76" i="20"/>
  <c r="S76" i="20"/>
  <c r="S77" i="20"/>
  <c r="S78" i="20"/>
  <c r="L82" i="20"/>
  <c r="L84" i="20"/>
  <c r="F75" i="20"/>
  <c r="A76" i="20"/>
  <c r="N72" i="20"/>
  <c r="H73" i="20"/>
  <c r="B74" i="20"/>
  <c r="L74" i="20"/>
  <c r="B76" i="20"/>
  <c r="L76" i="20"/>
  <c r="N82" i="20"/>
  <c r="I87" i="20"/>
  <c r="I88" i="20"/>
  <c r="G220" i="19"/>
  <c r="G197" i="19"/>
  <c r="G198" i="19"/>
  <c r="K235" i="19"/>
  <c r="R238" i="19"/>
  <c r="M241" i="19"/>
  <c r="M243" i="19"/>
  <c r="K265" i="19"/>
  <c r="K267" i="19"/>
  <c r="K233" i="19"/>
  <c r="R256" i="19"/>
  <c r="H257" i="19"/>
  <c r="R258" i="19"/>
  <c r="H259" i="19"/>
  <c r="R259" i="19"/>
  <c r="R260" i="19"/>
  <c r="N231" i="19"/>
  <c r="H232" i="19"/>
  <c r="B233" i="19"/>
  <c r="L233" i="19"/>
  <c r="B235" i="19"/>
  <c r="L235" i="19"/>
  <c r="F238" i="19"/>
  <c r="S238" i="19"/>
  <c r="N241" i="19"/>
  <c r="N243" i="19"/>
  <c r="I246" i="19"/>
  <c r="I247" i="19"/>
  <c r="I248" i="19"/>
  <c r="H255" i="19"/>
  <c r="F256" i="19"/>
  <c r="S256" i="19"/>
  <c r="I257" i="19"/>
  <c r="S257" i="19"/>
  <c r="S258" i="19"/>
  <c r="I259" i="19"/>
  <c r="S259" i="19"/>
  <c r="S260" i="19"/>
  <c r="S261" i="19"/>
  <c r="L265" i="19"/>
  <c r="L267" i="19"/>
  <c r="F272" i="19"/>
  <c r="G272" i="19" s="1"/>
  <c r="P231" i="19"/>
  <c r="I232" i="19"/>
  <c r="C233" i="19"/>
  <c r="M233" i="19"/>
  <c r="H234" i="19"/>
  <c r="C235" i="19"/>
  <c r="M235" i="19"/>
  <c r="H236" i="19"/>
  <c r="H237" i="19"/>
  <c r="A241" i="19"/>
  <c r="A243" i="19"/>
  <c r="A245" i="19"/>
  <c r="P246" i="19"/>
  <c r="P247" i="19"/>
  <c r="P248" i="19"/>
  <c r="I255" i="19"/>
  <c r="A257" i="19"/>
  <c r="K257" i="19"/>
  <c r="F258" i="19"/>
  <c r="A259" i="19"/>
  <c r="K259" i="19"/>
  <c r="F260" i="19"/>
  <c r="F261" i="19"/>
  <c r="A262" i="19"/>
  <c r="R262" i="19"/>
  <c r="M265" i="19"/>
  <c r="M267" i="19"/>
  <c r="H270" i="19"/>
  <c r="H271" i="19"/>
  <c r="H272" i="19"/>
  <c r="N235" i="19"/>
  <c r="N265" i="19"/>
  <c r="I270" i="19"/>
  <c r="I271" i="19"/>
  <c r="I272" i="19"/>
  <c r="A267" i="19"/>
  <c r="A269" i="19"/>
  <c r="P270" i="19"/>
  <c r="P271" i="19"/>
  <c r="P272" i="19"/>
  <c r="D231" i="19"/>
  <c r="P232" i="19"/>
  <c r="P233" i="19"/>
  <c r="F235" i="19"/>
  <c r="P236" i="19"/>
  <c r="I238" i="19"/>
  <c r="C243" i="19"/>
  <c r="R246" i="19"/>
  <c r="R248" i="19"/>
  <c r="H260" i="19"/>
  <c r="A265" i="19"/>
  <c r="F231" i="19"/>
  <c r="S231" i="19"/>
  <c r="K238" i="19"/>
  <c r="D241" i="19"/>
  <c r="M245" i="19"/>
  <c r="S246" i="19"/>
  <c r="S247" i="19"/>
  <c r="S248" i="19"/>
  <c r="N256" i="19"/>
  <c r="D257" i="19"/>
  <c r="N257" i="19"/>
  <c r="I258" i="19"/>
  <c r="D259" i="19"/>
  <c r="N259" i="19"/>
  <c r="I260" i="19"/>
  <c r="I261" i="19"/>
  <c r="H262" i="19"/>
  <c r="B265" i="19"/>
  <c r="B267" i="19"/>
  <c r="C269" i="19"/>
  <c r="N232" i="19"/>
  <c r="H261" i="19"/>
  <c r="D232" i="19"/>
  <c r="R232" i="19"/>
  <c r="H233" i="19"/>
  <c r="R233" i="19"/>
  <c r="R234" i="19"/>
  <c r="H235" i="19"/>
  <c r="R235" i="19"/>
  <c r="R236" i="19"/>
  <c r="R237" i="19"/>
  <c r="P238" i="19"/>
  <c r="K241" i="19"/>
  <c r="K243" i="19"/>
  <c r="F246" i="19"/>
  <c r="F247" i="19"/>
  <c r="F248" i="19"/>
  <c r="D255" i="19"/>
  <c r="R255" i="19"/>
  <c r="P256" i="19"/>
  <c r="F257" i="19"/>
  <c r="P257" i="19"/>
  <c r="P258" i="19"/>
  <c r="F259" i="19"/>
  <c r="P259" i="19"/>
  <c r="P260" i="19"/>
  <c r="P261" i="19"/>
  <c r="I262" i="19"/>
  <c r="C265" i="19"/>
  <c r="C267" i="19"/>
  <c r="K269" i="19"/>
  <c r="R270" i="19"/>
  <c r="R271" i="19"/>
  <c r="R272" i="19"/>
  <c r="N233" i="19"/>
  <c r="R231" i="19"/>
  <c r="F233" i="19"/>
  <c r="P234" i="19"/>
  <c r="P235" i="19"/>
  <c r="P237" i="19"/>
  <c r="C241" i="19"/>
  <c r="K245" i="19"/>
  <c r="R247" i="19"/>
  <c r="C259" i="19"/>
  <c r="H231" i="19"/>
  <c r="F232" i="19"/>
  <c r="S232" i="19"/>
  <c r="I233" i="19"/>
  <c r="S233" i="19"/>
  <c r="S234" i="19"/>
  <c r="S235" i="19"/>
  <c r="S237" i="19"/>
  <c r="L241" i="19"/>
  <c r="F255" i="19"/>
  <c r="S255" i="19"/>
  <c r="K262" i="19"/>
  <c r="D265" i="19"/>
  <c r="M269" i="19"/>
  <c r="S270" i="19"/>
  <c r="P135" i="19"/>
  <c r="N135" i="19"/>
  <c r="N133" i="19"/>
  <c r="N132" i="19"/>
  <c r="N143" i="19"/>
  <c r="N141" i="19"/>
  <c r="S138" i="19"/>
  <c r="L135" i="19"/>
  <c r="L133" i="19"/>
  <c r="N131" i="19"/>
  <c r="R148" i="19"/>
  <c r="R147" i="19"/>
  <c r="R146" i="19"/>
  <c r="K145" i="19"/>
  <c r="P137" i="19"/>
  <c r="M143" i="19"/>
  <c r="M141" i="19"/>
  <c r="R138" i="19"/>
  <c r="K135" i="19"/>
  <c r="K133" i="19"/>
  <c r="L143" i="19"/>
  <c r="L141" i="19"/>
  <c r="S137" i="19"/>
  <c r="S136" i="19"/>
  <c r="S135" i="19"/>
  <c r="S134" i="19"/>
  <c r="S133" i="19"/>
  <c r="S132" i="19"/>
  <c r="K143" i="19"/>
  <c r="K141" i="19"/>
  <c r="P138" i="19"/>
  <c r="R137" i="19"/>
  <c r="R136" i="19"/>
  <c r="R135" i="19"/>
  <c r="R134" i="19"/>
  <c r="R133" i="19"/>
  <c r="R132" i="19"/>
  <c r="S148" i="19"/>
  <c r="S147" i="19"/>
  <c r="S146" i="19"/>
  <c r="M145" i="19"/>
  <c r="K138" i="19"/>
  <c r="S131" i="19"/>
  <c r="K159" i="19"/>
  <c r="P155" i="19"/>
  <c r="P172" i="19"/>
  <c r="P171" i="19"/>
  <c r="P170" i="19"/>
  <c r="M159" i="19"/>
  <c r="M157" i="19"/>
  <c r="H96" i="19"/>
  <c r="F84" i="19"/>
  <c r="F121" i="19"/>
  <c r="H121" i="19"/>
  <c r="D67" i="19"/>
  <c r="D59" i="19"/>
  <c r="F55" i="19"/>
  <c r="P98" i="19"/>
  <c r="R96" i="19"/>
  <c r="S82" i="19"/>
  <c r="P86" i="19"/>
  <c r="N83" i="19"/>
  <c r="M133" i="19"/>
  <c r="P147" i="19"/>
  <c r="C143" i="19"/>
  <c r="C141" i="19"/>
  <c r="I138" i="19"/>
  <c r="F148" i="19"/>
  <c r="F147" i="19"/>
  <c r="F146" i="19"/>
  <c r="H135" i="19"/>
  <c r="H133" i="19"/>
  <c r="D132" i="19"/>
  <c r="D131" i="19"/>
  <c r="P133" i="19"/>
  <c r="P136" i="19"/>
  <c r="P148" i="19"/>
  <c r="R131" i="19"/>
  <c r="P134" i="19"/>
  <c r="N167" i="19"/>
  <c r="P132" i="19"/>
  <c r="F135" i="19"/>
  <c r="A143" i="19"/>
  <c r="R188" i="19"/>
  <c r="M191" i="19"/>
  <c r="M193" i="19"/>
  <c r="B109" i="19"/>
  <c r="H58" i="19"/>
  <c r="B67" i="19"/>
  <c r="F131" i="19"/>
  <c r="D141" i="19"/>
  <c r="D143" i="19"/>
  <c r="N156" i="19"/>
  <c r="D157" i="19"/>
  <c r="N157" i="19"/>
  <c r="I158" i="19"/>
  <c r="D159" i="19"/>
  <c r="N159" i="19"/>
  <c r="I160" i="19"/>
  <c r="I161" i="19"/>
  <c r="H162" i="19"/>
  <c r="B165" i="19"/>
  <c r="B167" i="19"/>
  <c r="C169" i="19"/>
  <c r="N181" i="19"/>
  <c r="H182" i="19"/>
  <c r="B183" i="19"/>
  <c r="L183" i="19"/>
  <c r="B185" i="19"/>
  <c r="L185" i="19"/>
  <c r="F188" i="19"/>
  <c r="S188" i="19"/>
  <c r="N191" i="19"/>
  <c r="N193" i="19"/>
  <c r="I196" i="19"/>
  <c r="I197" i="19"/>
  <c r="I198" i="19"/>
  <c r="H205" i="19"/>
  <c r="F206" i="19"/>
  <c r="S206" i="19"/>
  <c r="I207" i="19"/>
  <c r="S207" i="19"/>
  <c r="S208" i="19"/>
  <c r="I209" i="19"/>
  <c r="S209" i="19"/>
  <c r="S210" i="19"/>
  <c r="S211" i="19"/>
  <c r="L215" i="19"/>
  <c r="L217" i="19"/>
  <c r="N105" i="19"/>
  <c r="K112" i="19"/>
  <c r="D155" i="19"/>
  <c r="R155" i="19"/>
  <c r="P156" i="19"/>
  <c r="F157" i="19"/>
  <c r="P157" i="19"/>
  <c r="P158" i="19"/>
  <c r="F159" i="19"/>
  <c r="P159" i="19"/>
  <c r="P160" i="19"/>
  <c r="P161" i="19"/>
  <c r="I162" i="19"/>
  <c r="C165" i="19"/>
  <c r="C167" i="19"/>
  <c r="K169" i="19"/>
  <c r="R170" i="19"/>
  <c r="R171" i="19"/>
  <c r="R172" i="19"/>
  <c r="P181" i="19"/>
  <c r="P196" i="19"/>
  <c r="P197" i="19"/>
  <c r="P198" i="19"/>
  <c r="I205" i="19"/>
  <c r="A207" i="19"/>
  <c r="K207" i="19"/>
  <c r="F208" i="19"/>
  <c r="A209" i="19"/>
  <c r="K209" i="19"/>
  <c r="F210" i="19"/>
  <c r="F211" i="19"/>
  <c r="A212" i="19"/>
  <c r="R212" i="19"/>
  <c r="M215" i="19"/>
  <c r="M217" i="19"/>
  <c r="H220" i="19"/>
  <c r="H221" i="19"/>
  <c r="H222" i="19"/>
  <c r="K183" i="19"/>
  <c r="H209" i="19"/>
  <c r="H59" i="19"/>
  <c r="C69" i="19"/>
  <c r="H85" i="19"/>
  <c r="M115" i="19"/>
  <c r="H131" i="19"/>
  <c r="F132" i="19"/>
  <c r="I133" i="19"/>
  <c r="I135" i="19"/>
  <c r="F155" i="19"/>
  <c r="S155" i="19"/>
  <c r="K162" i="19"/>
  <c r="D165" i="19"/>
  <c r="D167" i="19"/>
  <c r="M169" i="19"/>
  <c r="S170" i="19"/>
  <c r="S171" i="19"/>
  <c r="S172" i="19"/>
  <c r="N182" i="19"/>
  <c r="D183" i="19"/>
  <c r="N183" i="19"/>
  <c r="I184" i="19"/>
  <c r="D185" i="19"/>
  <c r="N185" i="19"/>
  <c r="I186" i="19"/>
  <c r="I187" i="19"/>
  <c r="H188" i="19"/>
  <c r="B191" i="19"/>
  <c r="B193" i="19"/>
  <c r="C195" i="19"/>
  <c r="N205" i="19"/>
  <c r="H206" i="19"/>
  <c r="B207" i="19"/>
  <c r="L207" i="19"/>
  <c r="B209" i="19"/>
  <c r="L209" i="19"/>
  <c r="F212" i="19"/>
  <c r="S212" i="19"/>
  <c r="N215" i="19"/>
  <c r="N217" i="19"/>
  <c r="I220" i="19"/>
  <c r="I221" i="19"/>
  <c r="I222" i="19"/>
  <c r="M185" i="19"/>
  <c r="H186" i="19"/>
  <c r="H187" i="19"/>
  <c r="H71" i="19"/>
  <c r="K119" i="19"/>
  <c r="I131" i="19"/>
  <c r="A133" i="19"/>
  <c r="F134" i="19"/>
  <c r="A135" i="19"/>
  <c r="F136" i="19"/>
  <c r="F137" i="19"/>
  <c r="A138" i="19"/>
  <c r="H146" i="19"/>
  <c r="H147" i="19"/>
  <c r="H148" i="19"/>
  <c r="D156" i="19"/>
  <c r="R156" i="19"/>
  <c r="H157" i="19"/>
  <c r="R157" i="19"/>
  <c r="R158" i="19"/>
  <c r="H159" i="19"/>
  <c r="R159" i="19"/>
  <c r="R160" i="19"/>
  <c r="R161" i="19"/>
  <c r="P162" i="19"/>
  <c r="Q162" i="19" s="1"/>
  <c r="K165" i="19"/>
  <c r="K167" i="19"/>
  <c r="F170" i="19"/>
  <c r="F171" i="19"/>
  <c r="F172" i="19"/>
  <c r="D181" i="19"/>
  <c r="R181" i="19"/>
  <c r="P182" i="19"/>
  <c r="F183" i="19"/>
  <c r="P183" i="19"/>
  <c r="P184" i="19"/>
  <c r="F185" i="19"/>
  <c r="P185" i="19"/>
  <c r="P186" i="19"/>
  <c r="P187" i="19"/>
  <c r="I188" i="19"/>
  <c r="C191" i="19"/>
  <c r="C193" i="19"/>
  <c r="K195" i="19"/>
  <c r="R196" i="19"/>
  <c r="R197" i="19"/>
  <c r="R198" i="19"/>
  <c r="P205" i="19"/>
  <c r="I206" i="19"/>
  <c r="C207" i="19"/>
  <c r="M207" i="19"/>
  <c r="H208" i="19"/>
  <c r="C209" i="19"/>
  <c r="M209" i="19"/>
  <c r="H210" i="19"/>
  <c r="H211" i="19"/>
  <c r="A215" i="19"/>
  <c r="A217" i="19"/>
  <c r="A219" i="19"/>
  <c r="P220" i="19"/>
  <c r="P221" i="19"/>
  <c r="P222" i="19"/>
  <c r="K185" i="19"/>
  <c r="M183" i="19"/>
  <c r="H184" i="19"/>
  <c r="H61" i="19"/>
  <c r="F62" i="19"/>
  <c r="H132" i="19"/>
  <c r="B133" i="19"/>
  <c r="B135" i="19"/>
  <c r="F138" i="19"/>
  <c r="I146" i="19"/>
  <c r="I147" i="19"/>
  <c r="I148" i="19"/>
  <c r="H155" i="19"/>
  <c r="F156" i="19"/>
  <c r="S156" i="19"/>
  <c r="I157" i="19"/>
  <c r="S157" i="19"/>
  <c r="S158" i="19"/>
  <c r="I159" i="19"/>
  <c r="S159" i="19"/>
  <c r="S160" i="19"/>
  <c r="S161" i="19"/>
  <c r="L165" i="19"/>
  <c r="L167" i="19"/>
  <c r="F181" i="19"/>
  <c r="S181" i="19"/>
  <c r="K188" i="19"/>
  <c r="D191" i="19"/>
  <c r="D193" i="19"/>
  <c r="M195" i="19"/>
  <c r="S196" i="19"/>
  <c r="S197" i="19"/>
  <c r="S198" i="19"/>
  <c r="N206" i="19"/>
  <c r="D207" i="19"/>
  <c r="N207" i="19"/>
  <c r="I208" i="19"/>
  <c r="D209" i="19"/>
  <c r="I210" i="19"/>
  <c r="I211" i="19"/>
  <c r="H212" i="19"/>
  <c r="B215" i="19"/>
  <c r="B217" i="19"/>
  <c r="C219" i="19"/>
  <c r="R162" i="19"/>
  <c r="M165" i="19"/>
  <c r="M167" i="19"/>
  <c r="D205" i="19"/>
  <c r="R205" i="19"/>
  <c r="P206" i="19"/>
  <c r="F207" i="19"/>
  <c r="P207" i="19"/>
  <c r="P208" i="19"/>
  <c r="F209" i="19"/>
  <c r="P209" i="19"/>
  <c r="P210" i="19"/>
  <c r="P211" i="19"/>
  <c r="I212" i="19"/>
  <c r="C215" i="19"/>
  <c r="C217" i="19"/>
  <c r="K219" i="19"/>
  <c r="R220" i="19"/>
  <c r="R221" i="19"/>
  <c r="R222" i="19"/>
  <c r="R182" i="19"/>
  <c r="H183" i="19"/>
  <c r="R183" i="19"/>
  <c r="R184" i="19"/>
  <c r="R185" i="19"/>
  <c r="R186" i="19"/>
  <c r="R187" i="19"/>
  <c r="P188" i="19"/>
  <c r="K191" i="19"/>
  <c r="F72" i="19"/>
  <c r="F56" i="19"/>
  <c r="B65" i="19"/>
  <c r="N107" i="19"/>
  <c r="D133" i="19"/>
  <c r="I134" i="19"/>
  <c r="D135" i="19"/>
  <c r="I136" i="19"/>
  <c r="I137" i="19"/>
  <c r="H138" i="19"/>
  <c r="B141" i="19"/>
  <c r="B143" i="19"/>
  <c r="N155" i="19"/>
  <c r="H156" i="19"/>
  <c r="B157" i="19"/>
  <c r="L157" i="19"/>
  <c r="B159" i="19"/>
  <c r="L159" i="19"/>
  <c r="S162" i="19"/>
  <c r="N165" i="19"/>
  <c r="I170" i="19"/>
  <c r="I171" i="19"/>
  <c r="H181" i="19"/>
  <c r="F182" i="19"/>
  <c r="S182" i="19"/>
  <c r="I183" i="19"/>
  <c r="S183" i="19"/>
  <c r="S184" i="19"/>
  <c r="S185" i="19"/>
  <c r="S186" i="19"/>
  <c r="S187" i="19"/>
  <c r="L191" i="19"/>
  <c r="F205" i="19"/>
  <c r="S205" i="19"/>
  <c r="K212" i="19"/>
  <c r="D215" i="19"/>
  <c r="M219" i="19"/>
  <c r="S220" i="19"/>
  <c r="S221" i="19"/>
  <c r="B107" i="19"/>
  <c r="D55" i="19"/>
  <c r="D56" i="19"/>
  <c r="A57" i="19"/>
  <c r="I58" i="19"/>
  <c r="F59" i="19"/>
  <c r="F61" i="19"/>
  <c r="H62" i="19"/>
  <c r="C65" i="19"/>
  <c r="C67" i="19"/>
  <c r="F71" i="19"/>
  <c r="I72" i="19"/>
  <c r="R81" i="19"/>
  <c r="B83" i="19"/>
  <c r="S83" i="19"/>
  <c r="I85" i="19"/>
  <c r="R86" i="19"/>
  <c r="K88" i="19"/>
  <c r="D93" i="19"/>
  <c r="S96" i="19"/>
  <c r="S105" i="19"/>
  <c r="F107" i="19"/>
  <c r="C109" i="19"/>
  <c r="F111" i="19"/>
  <c r="P112" i="19"/>
  <c r="N115" i="19"/>
  <c r="M119" i="19"/>
  <c r="P121" i="19"/>
  <c r="P109" i="19"/>
  <c r="M107" i="19"/>
  <c r="L85" i="19"/>
  <c r="S88" i="19"/>
  <c r="K93" i="19"/>
  <c r="I97" i="19"/>
  <c r="D106" i="19"/>
  <c r="H107" i="19"/>
  <c r="I109" i="19"/>
  <c r="H111" i="19"/>
  <c r="R112" i="19"/>
  <c r="C117" i="19"/>
  <c r="H120" i="19"/>
  <c r="R121" i="19"/>
  <c r="N109" i="19"/>
  <c r="L107" i="19"/>
  <c r="S86" i="19"/>
  <c r="H55" i="19"/>
  <c r="H56" i="19"/>
  <c r="C57" i="19"/>
  <c r="I59" i="19"/>
  <c r="F60" i="19"/>
  <c r="I61" i="19"/>
  <c r="F70" i="19"/>
  <c r="I71" i="19"/>
  <c r="D82" i="19"/>
  <c r="F83" i="19"/>
  <c r="R84" i="19"/>
  <c r="M85" i="19"/>
  <c r="H87" i="19"/>
  <c r="A91" i="19"/>
  <c r="M93" i="19"/>
  <c r="S97" i="19"/>
  <c r="H106" i="19"/>
  <c r="R107" i="19"/>
  <c r="R109" i="19"/>
  <c r="P111" i="19"/>
  <c r="S112" i="19"/>
  <c r="D117" i="19"/>
  <c r="I120" i="19"/>
  <c r="S121" i="19"/>
  <c r="M109" i="19"/>
  <c r="K107" i="19"/>
  <c r="I55" i="19"/>
  <c r="I56" i="19"/>
  <c r="D57" i="19"/>
  <c r="H60" i="19"/>
  <c r="H70" i="19"/>
  <c r="F82" i="19"/>
  <c r="H83" i="19"/>
  <c r="S84" i="19"/>
  <c r="N85" i="19"/>
  <c r="I87" i="19"/>
  <c r="D91" i="19"/>
  <c r="N93" i="19"/>
  <c r="F98" i="19"/>
  <c r="I106" i="19"/>
  <c r="S107" i="19"/>
  <c r="S109" i="19"/>
  <c r="R111" i="19"/>
  <c r="C115" i="19"/>
  <c r="K117" i="19"/>
  <c r="P120" i="19"/>
  <c r="P122" i="19"/>
  <c r="L109" i="19"/>
  <c r="P106" i="19"/>
  <c r="I121" i="19"/>
  <c r="F57" i="19"/>
  <c r="A59" i="19"/>
  <c r="I60" i="19"/>
  <c r="I70" i="19"/>
  <c r="D81" i="19"/>
  <c r="H82" i="19"/>
  <c r="I83" i="19"/>
  <c r="A85" i="19"/>
  <c r="S85" i="19"/>
  <c r="P87" i="19"/>
  <c r="K91" i="19"/>
  <c r="A95" i="19"/>
  <c r="R98" i="19"/>
  <c r="R106" i="19"/>
  <c r="F108" i="19"/>
  <c r="F110" i="19"/>
  <c r="S111" i="19"/>
  <c r="D115" i="19"/>
  <c r="L117" i="19"/>
  <c r="R120" i="19"/>
  <c r="R122" i="19"/>
  <c r="K109" i="19"/>
  <c r="N106" i="19"/>
  <c r="S81" i="19"/>
  <c r="H57" i="19"/>
  <c r="B59" i="19"/>
  <c r="F81" i="19"/>
  <c r="N82" i="19"/>
  <c r="L83" i="19"/>
  <c r="B85" i="19"/>
  <c r="F86" i="19"/>
  <c r="R87" i="19"/>
  <c r="L91" i="19"/>
  <c r="F96" i="19"/>
  <c r="S98" i="19"/>
  <c r="S106" i="19"/>
  <c r="R108" i="19"/>
  <c r="H110" i="19"/>
  <c r="H112" i="19"/>
  <c r="K115" i="19"/>
  <c r="M117" i="19"/>
  <c r="S120" i="19"/>
  <c r="S122" i="19"/>
  <c r="H97" i="19"/>
  <c r="P108" i="19"/>
  <c r="P105" i="19"/>
  <c r="I122" i="19"/>
  <c r="I57" i="19"/>
  <c r="F58" i="19"/>
  <c r="C59" i="19"/>
  <c r="A62" i="19"/>
  <c r="A65" i="19"/>
  <c r="A67" i="19"/>
  <c r="A69" i="19"/>
  <c r="H81" i="19"/>
  <c r="R82" i="19"/>
  <c r="M83" i="19"/>
  <c r="C85" i="19"/>
  <c r="I86" i="19"/>
  <c r="A88" i="19"/>
  <c r="M91" i="19"/>
  <c r="I96" i="19"/>
  <c r="H105" i="19"/>
  <c r="A107" i="19"/>
  <c r="S108" i="19"/>
  <c r="R110" i="19"/>
  <c r="I112" i="19"/>
  <c r="L115" i="19"/>
  <c r="N117" i="19"/>
  <c r="P107" i="19"/>
  <c r="I110" i="19"/>
  <c r="D105" i="19"/>
  <c r="F106" i="19"/>
  <c r="C107" i="19"/>
  <c r="H108" i="19"/>
  <c r="F109" i="19"/>
  <c r="A112" i="19"/>
  <c r="A115" i="19"/>
  <c r="A117" i="19"/>
  <c r="A119" i="19"/>
  <c r="F122" i="19"/>
  <c r="D109" i="19"/>
  <c r="F105" i="19"/>
  <c r="D107" i="19"/>
  <c r="I108" i="19"/>
  <c r="H109" i="19"/>
  <c r="F112" i="19"/>
  <c r="B115" i="19"/>
  <c r="B117" i="19"/>
  <c r="C119" i="19"/>
  <c r="H122" i="19"/>
  <c r="I105" i="19"/>
  <c r="I107" i="19"/>
  <c r="A109" i="19"/>
  <c r="I111" i="19"/>
  <c r="F120" i="19"/>
  <c r="Q121" i="19"/>
  <c r="P83" i="19"/>
  <c r="P85" i="19"/>
  <c r="P88" i="19"/>
  <c r="N91" i="19"/>
  <c r="K95" i="19"/>
  <c r="P97" i="19"/>
  <c r="R83" i="19"/>
  <c r="R85" i="19"/>
  <c r="R88" i="19"/>
  <c r="M95" i="19"/>
  <c r="R97" i="19"/>
  <c r="N81" i="19"/>
  <c r="P82" i="19"/>
  <c r="K83" i="19"/>
  <c r="P84" i="19"/>
  <c r="K85" i="19"/>
  <c r="S87" i="19"/>
  <c r="L93" i="19"/>
  <c r="P96" i="19"/>
  <c r="H84" i="19"/>
  <c r="D85" i="19"/>
  <c r="F88" i="19"/>
  <c r="B91" i="19"/>
  <c r="B93" i="19"/>
  <c r="C95" i="19"/>
  <c r="H98" i="19"/>
  <c r="A83" i="19"/>
  <c r="I84" i="19"/>
  <c r="F85" i="19"/>
  <c r="F87" i="19"/>
  <c r="H88" i="19"/>
  <c r="C91" i="19"/>
  <c r="C93" i="19"/>
  <c r="F97" i="19"/>
  <c r="I98" i="19"/>
  <c r="I81" i="19"/>
  <c r="I82" i="19"/>
  <c r="D83" i="19"/>
  <c r="H86" i="19"/>
  <c r="G72" i="19"/>
  <c r="K30" i="19"/>
  <c r="P47" i="19" s="1"/>
  <c r="A30" i="19"/>
  <c r="B43" i="19" s="1"/>
  <c r="I165" i="18"/>
  <c r="B165" i="18"/>
  <c r="I164" i="18"/>
  <c r="B164" i="18"/>
  <c r="H163" i="18"/>
  <c r="A163" i="18"/>
  <c r="I162" i="18"/>
  <c r="B162" i="18"/>
  <c r="I161" i="18"/>
  <c r="B161" i="18"/>
  <c r="H160" i="18"/>
  <c r="A160" i="18"/>
  <c r="I159" i="18"/>
  <c r="B159" i="18"/>
  <c r="I158" i="18"/>
  <c r="B158" i="18"/>
  <c r="H155" i="18"/>
  <c r="A155" i="18"/>
  <c r="I152" i="18"/>
  <c r="B152" i="18"/>
  <c r="I151" i="18"/>
  <c r="B151" i="18"/>
  <c r="H150" i="18"/>
  <c r="A150" i="18"/>
  <c r="I149" i="18"/>
  <c r="B149" i="18"/>
  <c r="I148" i="18"/>
  <c r="B148" i="18"/>
  <c r="H147" i="18"/>
  <c r="A147" i="18"/>
  <c r="I146" i="18"/>
  <c r="B146" i="18"/>
  <c r="I145" i="18"/>
  <c r="B145" i="18"/>
  <c r="H142" i="18"/>
  <c r="A142" i="18"/>
  <c r="I137" i="18"/>
  <c r="B137" i="18"/>
  <c r="I136" i="18"/>
  <c r="B136" i="18"/>
  <c r="H135" i="18"/>
  <c r="A135" i="18"/>
  <c r="I134" i="18"/>
  <c r="B134" i="18"/>
  <c r="I133" i="18"/>
  <c r="B133" i="18"/>
  <c r="H132" i="18"/>
  <c r="A132" i="18"/>
  <c r="I131" i="18"/>
  <c r="B131" i="18"/>
  <c r="I130" i="18"/>
  <c r="B130" i="18"/>
  <c r="H127" i="18"/>
  <c r="A127" i="18"/>
  <c r="I124" i="18"/>
  <c r="B124" i="18"/>
  <c r="I123" i="18"/>
  <c r="B123" i="18"/>
  <c r="H122" i="18"/>
  <c r="A122" i="18"/>
  <c r="I121" i="18"/>
  <c r="B121" i="18"/>
  <c r="I120" i="18"/>
  <c r="B120" i="18"/>
  <c r="H119" i="18"/>
  <c r="A119" i="18"/>
  <c r="I118" i="18"/>
  <c r="B118" i="18"/>
  <c r="I117" i="18"/>
  <c r="B117" i="18"/>
  <c r="H114" i="18"/>
  <c r="A114" i="18"/>
  <c r="I109" i="18"/>
  <c r="B109" i="18"/>
  <c r="I108" i="18"/>
  <c r="B108" i="18"/>
  <c r="H107" i="18"/>
  <c r="A107" i="18"/>
  <c r="I106" i="18"/>
  <c r="B106" i="18"/>
  <c r="I105" i="18"/>
  <c r="B105" i="18"/>
  <c r="H104" i="18"/>
  <c r="A104" i="18"/>
  <c r="I103" i="18"/>
  <c r="B103" i="18"/>
  <c r="I102" i="18"/>
  <c r="B102" i="18"/>
  <c r="H99" i="18"/>
  <c r="A99" i="18"/>
  <c r="I96" i="18"/>
  <c r="B96" i="18"/>
  <c r="I95" i="18"/>
  <c r="B95" i="18"/>
  <c r="H94" i="18"/>
  <c r="A94" i="18"/>
  <c r="I93" i="18"/>
  <c r="B93" i="18"/>
  <c r="I92" i="18"/>
  <c r="B92" i="18"/>
  <c r="H91" i="18"/>
  <c r="A91" i="18"/>
  <c r="I90" i="18"/>
  <c r="B90" i="18"/>
  <c r="I89" i="18"/>
  <c r="B89" i="18"/>
  <c r="H86" i="18"/>
  <c r="A86" i="18"/>
  <c r="I81" i="18"/>
  <c r="B81" i="18"/>
  <c r="I80" i="18"/>
  <c r="B80" i="18"/>
  <c r="H79" i="18"/>
  <c r="A79" i="18"/>
  <c r="I78" i="18"/>
  <c r="B78" i="18"/>
  <c r="I77" i="18"/>
  <c r="B77" i="18"/>
  <c r="H76" i="18"/>
  <c r="A76" i="18"/>
  <c r="I75" i="18"/>
  <c r="B75" i="18"/>
  <c r="I74" i="18"/>
  <c r="B74" i="18"/>
  <c r="H71" i="18"/>
  <c r="A71" i="18"/>
  <c r="I68" i="18"/>
  <c r="B68" i="18"/>
  <c r="I67" i="18"/>
  <c r="B67" i="18"/>
  <c r="H66" i="18"/>
  <c r="A66" i="18"/>
  <c r="I65" i="18"/>
  <c r="B65" i="18"/>
  <c r="I64" i="18"/>
  <c r="B64" i="18"/>
  <c r="H63" i="18"/>
  <c r="A63" i="18"/>
  <c r="I62" i="18"/>
  <c r="B62" i="18"/>
  <c r="I61" i="18"/>
  <c r="B61" i="18"/>
  <c r="H58" i="18"/>
  <c r="A58" i="18"/>
  <c r="H43" i="18"/>
  <c r="H30" i="18"/>
  <c r="H15" i="18"/>
  <c r="H2" i="18"/>
  <c r="I53" i="18"/>
  <c r="B53" i="18"/>
  <c r="I52" i="18"/>
  <c r="B52" i="18"/>
  <c r="H51" i="18"/>
  <c r="A51" i="18"/>
  <c r="I50" i="18"/>
  <c r="B50" i="18"/>
  <c r="I49" i="18"/>
  <c r="B49" i="18"/>
  <c r="H48" i="18"/>
  <c r="A48" i="18"/>
  <c r="I47" i="18"/>
  <c r="B47" i="18"/>
  <c r="I46" i="18"/>
  <c r="B46" i="18"/>
  <c r="A43" i="18"/>
  <c r="I40" i="18"/>
  <c r="B40" i="18"/>
  <c r="I39" i="18"/>
  <c r="B39" i="18"/>
  <c r="H38" i="18"/>
  <c r="A38" i="18"/>
  <c r="I37" i="18"/>
  <c r="B37" i="18"/>
  <c r="I36" i="18"/>
  <c r="B36" i="18"/>
  <c r="H35" i="18"/>
  <c r="A35" i="18"/>
  <c r="I34" i="18"/>
  <c r="B34" i="18"/>
  <c r="I33" i="18"/>
  <c r="B33" i="18"/>
  <c r="A30" i="18"/>
  <c r="K14" i="20"/>
  <c r="P15" i="20" s="1"/>
  <c r="K3" i="20"/>
  <c r="Q7" i="20" s="1"/>
  <c r="A14" i="20"/>
  <c r="F21" i="20" s="1"/>
  <c r="A3" i="20"/>
  <c r="F8" i="20" s="1"/>
  <c r="O64" i="20"/>
  <c r="K64" i="20"/>
  <c r="E64" i="20"/>
  <c r="A64" i="20"/>
  <c r="O45" i="20"/>
  <c r="K45" i="20"/>
  <c r="E45" i="20"/>
  <c r="A45" i="20"/>
  <c r="Z2" i="15"/>
  <c r="U2" i="15"/>
  <c r="T2" i="15"/>
  <c r="O2" i="15"/>
  <c r="N2" i="15"/>
  <c r="I2" i="15"/>
  <c r="H2" i="15"/>
  <c r="C2" i="15"/>
  <c r="O1" i="15"/>
  <c r="C1" i="15"/>
  <c r="Q73" i="19"/>
  <c r="P73" i="19"/>
  <c r="O73" i="19"/>
  <c r="K73" i="19"/>
  <c r="G30" i="19"/>
  <c r="F30" i="19"/>
  <c r="Q165" i="20" l="1"/>
  <c r="G138" i="19"/>
  <c r="G56" i="19"/>
  <c r="Q33" i="20"/>
  <c r="G115" i="20"/>
  <c r="G221" i="19"/>
  <c r="G58" i="19"/>
  <c r="Q38" i="20"/>
  <c r="G62" i="19"/>
  <c r="G61" i="19"/>
  <c r="G57" i="19"/>
  <c r="G60" i="19"/>
  <c r="G70" i="19"/>
  <c r="Q37" i="20"/>
  <c r="G222" i="19"/>
  <c r="Q34" i="20"/>
  <c r="Q36" i="20"/>
  <c r="Q120" i="19"/>
  <c r="G18" i="19"/>
  <c r="G217" i="20"/>
  <c r="G59" i="19"/>
  <c r="Q188" i="19"/>
  <c r="Q31" i="20"/>
  <c r="C20" i="19"/>
  <c r="B20" i="19"/>
  <c r="G156" i="19"/>
  <c r="D18" i="19"/>
  <c r="Q20" i="19"/>
  <c r="Q166" i="20"/>
  <c r="G97" i="19"/>
  <c r="Q122" i="19"/>
  <c r="Q110" i="19"/>
  <c r="G255" i="19"/>
  <c r="G114" i="20"/>
  <c r="G140" i="20"/>
  <c r="G209" i="20"/>
  <c r="Q209" i="20"/>
  <c r="G89" i="20"/>
  <c r="G120" i="19"/>
  <c r="C18" i="19"/>
  <c r="A18" i="19"/>
  <c r="B18" i="19"/>
  <c r="A20" i="19"/>
  <c r="Q21" i="19"/>
  <c r="D20" i="19"/>
  <c r="G88" i="20"/>
  <c r="G37" i="20"/>
  <c r="G157" i="20"/>
  <c r="Q113" i="20"/>
  <c r="G35" i="20"/>
  <c r="G36" i="20"/>
  <c r="G34" i="20"/>
  <c r="G31" i="20"/>
  <c r="G33" i="20"/>
  <c r="G32" i="20"/>
  <c r="G38" i="20"/>
  <c r="Q105" i="20"/>
  <c r="G191" i="20"/>
  <c r="Q17" i="19"/>
  <c r="G23" i="19"/>
  <c r="G21" i="19"/>
  <c r="G19" i="19"/>
  <c r="Q23" i="19"/>
  <c r="G16" i="19"/>
  <c r="G17" i="19"/>
  <c r="Q22" i="19"/>
  <c r="Q19" i="19"/>
  <c r="Q18" i="19"/>
  <c r="G20" i="19"/>
  <c r="Q16" i="19"/>
  <c r="G22" i="19"/>
  <c r="C41" i="19"/>
  <c r="C43" i="19"/>
  <c r="A43" i="19"/>
  <c r="B41" i="19"/>
  <c r="A45" i="19"/>
  <c r="D43" i="19"/>
  <c r="D41" i="19"/>
  <c r="H46" i="19"/>
  <c r="H48" i="19"/>
  <c r="H47" i="19"/>
  <c r="I46" i="19"/>
  <c r="I47" i="19"/>
  <c r="I48" i="19"/>
  <c r="C45" i="19"/>
  <c r="F46" i="19"/>
  <c r="M45" i="19"/>
  <c r="S47" i="19"/>
  <c r="S46" i="19"/>
  <c r="S48" i="19"/>
  <c r="K45" i="19"/>
  <c r="R46" i="19"/>
  <c r="R47" i="19"/>
  <c r="R48" i="19"/>
  <c r="K41" i="19"/>
  <c r="K43" i="19"/>
  <c r="M41" i="19"/>
  <c r="L41" i="19"/>
  <c r="L43" i="19"/>
  <c r="M43" i="19"/>
  <c r="N41" i="19"/>
  <c r="N43" i="19"/>
  <c r="P48" i="19"/>
  <c r="F47" i="19"/>
  <c r="F48" i="19"/>
  <c r="A41" i="19"/>
  <c r="P46" i="19"/>
  <c r="Q6" i="19"/>
  <c r="Q112" i="19"/>
  <c r="Q12" i="19"/>
  <c r="Q7" i="19"/>
  <c r="Q5" i="19"/>
  <c r="Q9" i="19"/>
  <c r="Q11" i="19"/>
  <c r="Q98" i="19"/>
  <c r="Q10" i="19"/>
  <c r="G6" i="19"/>
  <c r="G7" i="19"/>
  <c r="G84" i="19"/>
  <c r="G12" i="19"/>
  <c r="Q221" i="19"/>
  <c r="G171" i="19"/>
  <c r="Q170" i="19"/>
  <c r="G10" i="19"/>
  <c r="G196" i="19"/>
  <c r="G5" i="19"/>
  <c r="G147" i="19"/>
  <c r="G247" i="19"/>
  <c r="G8" i="19"/>
  <c r="G9" i="19"/>
  <c r="Q205" i="20"/>
  <c r="Q204" i="20"/>
  <c r="G193" i="20"/>
  <c r="G208" i="20"/>
  <c r="G204" i="20"/>
  <c r="G113" i="20"/>
  <c r="G207" i="20"/>
  <c r="Q203" i="20"/>
  <c r="G202" i="20"/>
  <c r="Q208" i="20"/>
  <c r="Q207" i="20"/>
  <c r="G205" i="20"/>
  <c r="G203" i="20"/>
  <c r="Q206" i="20"/>
  <c r="Q202" i="20"/>
  <c r="G206" i="20"/>
  <c r="Q182" i="20"/>
  <c r="G183" i="20"/>
  <c r="Q180" i="20"/>
  <c r="Q176" i="20"/>
  <c r="G180" i="20"/>
  <c r="Q179" i="20"/>
  <c r="Q178" i="20"/>
  <c r="G177" i="20"/>
  <c r="G182" i="20"/>
  <c r="G178" i="20"/>
  <c r="G181" i="20"/>
  <c r="Q177" i="20"/>
  <c r="G176" i="20"/>
  <c r="Q181" i="20"/>
  <c r="G179" i="20"/>
  <c r="Q183" i="20"/>
  <c r="G131" i="20"/>
  <c r="G141" i="20"/>
  <c r="Q156" i="20"/>
  <c r="G151" i="20"/>
  <c r="Q157" i="20"/>
  <c r="G156" i="20"/>
  <c r="G155" i="20"/>
  <c r="G139" i="20"/>
  <c r="Q150" i="20"/>
  <c r="Q155" i="20"/>
  <c r="Q153" i="20"/>
  <c r="Q127" i="20"/>
  <c r="G153" i="20"/>
  <c r="Q154" i="20"/>
  <c r="Q151" i="20"/>
  <c r="Q152" i="20"/>
  <c r="G150" i="20"/>
  <c r="G152" i="20"/>
  <c r="G154" i="20"/>
  <c r="Q128" i="20"/>
  <c r="G127" i="20"/>
  <c r="Q125" i="20"/>
  <c r="Q131" i="20"/>
  <c r="Q124" i="20"/>
  <c r="Q126" i="20"/>
  <c r="G130" i="20"/>
  <c r="G125" i="20"/>
  <c r="G126" i="20"/>
  <c r="G129" i="20"/>
  <c r="Q130" i="20"/>
  <c r="G128" i="20"/>
  <c r="Q129" i="20"/>
  <c r="G124" i="20"/>
  <c r="G105" i="20"/>
  <c r="G103" i="20"/>
  <c r="Q103" i="20"/>
  <c r="Q102" i="20"/>
  <c r="Q98" i="20"/>
  <c r="G98" i="20"/>
  <c r="Q99" i="20"/>
  <c r="G101" i="20"/>
  <c r="G99" i="20"/>
  <c r="Q101" i="20"/>
  <c r="G100" i="20"/>
  <c r="G104" i="20"/>
  <c r="Q104" i="20"/>
  <c r="Q100" i="20"/>
  <c r="G102" i="20"/>
  <c r="Q78" i="20"/>
  <c r="G75" i="20"/>
  <c r="G73" i="20"/>
  <c r="G76" i="20"/>
  <c r="Q75" i="20"/>
  <c r="G72" i="20"/>
  <c r="Q74" i="20"/>
  <c r="G74" i="20"/>
  <c r="G78" i="20"/>
  <c r="Q73" i="20"/>
  <c r="I48" i="20"/>
  <c r="H48" i="20"/>
  <c r="F48" i="20"/>
  <c r="B50" i="20"/>
  <c r="I53" i="20"/>
  <c r="H53" i="20"/>
  <c r="F53" i="20"/>
  <c r="A53" i="20"/>
  <c r="A48" i="20"/>
  <c r="I46" i="20"/>
  <c r="H46" i="20"/>
  <c r="F46" i="20"/>
  <c r="A50" i="20"/>
  <c r="I52" i="20"/>
  <c r="H52" i="20"/>
  <c r="F52" i="20"/>
  <c r="D50" i="20"/>
  <c r="D47" i="20"/>
  <c r="I51" i="20"/>
  <c r="H51" i="20"/>
  <c r="F51" i="20"/>
  <c r="D48" i="20"/>
  <c r="D46" i="20"/>
  <c r="I49" i="20"/>
  <c r="H49" i="20"/>
  <c r="F49" i="20"/>
  <c r="C48" i="20"/>
  <c r="I50" i="20"/>
  <c r="H50" i="20"/>
  <c r="F50" i="20"/>
  <c r="C50" i="20"/>
  <c r="I47" i="20"/>
  <c r="H47" i="20"/>
  <c r="F47" i="20"/>
  <c r="B48" i="20"/>
  <c r="S53" i="20"/>
  <c r="R51" i="20"/>
  <c r="K50" i="20"/>
  <c r="M48" i="20"/>
  <c r="R46" i="20"/>
  <c r="K53" i="20"/>
  <c r="R50" i="20"/>
  <c r="P49" i="20"/>
  <c r="S47" i="20"/>
  <c r="P53" i="20"/>
  <c r="S50" i="20"/>
  <c r="R49" i="20"/>
  <c r="K48" i="20"/>
  <c r="N46" i="20"/>
  <c r="S52" i="20"/>
  <c r="P50" i="20"/>
  <c r="S48" i="20"/>
  <c r="R47" i="20"/>
  <c r="R52" i="20"/>
  <c r="N50" i="20"/>
  <c r="R48" i="20"/>
  <c r="P47" i="20"/>
  <c r="S51" i="20"/>
  <c r="L50" i="20"/>
  <c r="N48" i="20"/>
  <c r="S46" i="20"/>
  <c r="P52" i="20"/>
  <c r="M50" i="20"/>
  <c r="P48" i="20"/>
  <c r="N47" i="20"/>
  <c r="R53" i="20"/>
  <c r="P51" i="20"/>
  <c r="S49" i="20"/>
  <c r="L48" i="20"/>
  <c r="P46" i="20"/>
  <c r="H63" i="20"/>
  <c r="D58" i="20"/>
  <c r="F63" i="20"/>
  <c r="C56" i="20"/>
  <c r="H61" i="20"/>
  <c r="C58" i="20"/>
  <c r="F62" i="20"/>
  <c r="B58" i="20"/>
  <c r="I63" i="20"/>
  <c r="F61" i="20"/>
  <c r="B56" i="20"/>
  <c r="I61" i="20"/>
  <c r="A60" i="20"/>
  <c r="A56" i="20"/>
  <c r="I62" i="20"/>
  <c r="C60" i="20"/>
  <c r="A58" i="20"/>
  <c r="H62" i="20"/>
  <c r="D56" i="20"/>
  <c r="S61" i="20"/>
  <c r="K58" i="20"/>
  <c r="R63" i="20"/>
  <c r="M60" i="20"/>
  <c r="L56" i="20"/>
  <c r="S63" i="20"/>
  <c r="P61" i="20"/>
  <c r="M56" i="20"/>
  <c r="P63" i="20"/>
  <c r="K60" i="20"/>
  <c r="K56" i="20"/>
  <c r="S62" i="20"/>
  <c r="N58" i="20"/>
  <c r="P62" i="20"/>
  <c r="L58" i="20"/>
  <c r="R62" i="20"/>
  <c r="M58" i="20"/>
  <c r="R61" i="20"/>
  <c r="N56" i="20"/>
  <c r="G77" i="20"/>
  <c r="Q77" i="20"/>
  <c r="G79" i="20"/>
  <c r="Q76" i="20"/>
  <c r="Q72" i="20"/>
  <c r="Q79" i="20"/>
  <c r="G53" i="20"/>
  <c r="Q255" i="19"/>
  <c r="Q261" i="19"/>
  <c r="Q271" i="19"/>
  <c r="Q234" i="19"/>
  <c r="Q246" i="19"/>
  <c r="G232" i="19"/>
  <c r="G236" i="19"/>
  <c r="Q209" i="19"/>
  <c r="G205" i="19"/>
  <c r="Q198" i="19"/>
  <c r="G186" i="19"/>
  <c r="G182" i="19"/>
  <c r="G158" i="19"/>
  <c r="Q134" i="19"/>
  <c r="Q148" i="19"/>
  <c r="Q131" i="19"/>
  <c r="Q260" i="19"/>
  <c r="Q231" i="19"/>
  <c r="G271" i="19"/>
  <c r="Q259" i="19"/>
  <c r="G248" i="19"/>
  <c r="Q272" i="19"/>
  <c r="G270" i="19"/>
  <c r="Q237" i="19"/>
  <c r="G259" i="19"/>
  <c r="G261" i="19"/>
  <c r="Q248" i="19"/>
  <c r="G237" i="19"/>
  <c r="Q235" i="19"/>
  <c r="Q258" i="19"/>
  <c r="G246" i="19"/>
  <c r="Q270" i="19"/>
  <c r="G260" i="19"/>
  <c r="Q247" i="19"/>
  <c r="Q262" i="19"/>
  <c r="Q257" i="19"/>
  <c r="Q236" i="19"/>
  <c r="G256" i="19"/>
  <c r="G238" i="19"/>
  <c r="G233" i="19"/>
  <c r="G257" i="19"/>
  <c r="G231" i="19"/>
  <c r="G235" i="19"/>
  <c r="Q256" i="19"/>
  <c r="Q238" i="19"/>
  <c r="Q233" i="19"/>
  <c r="G258" i="19"/>
  <c r="G234" i="19"/>
  <c r="Q232" i="19"/>
  <c r="G262" i="19"/>
  <c r="Q108" i="19"/>
  <c r="Q207" i="19"/>
  <c r="G183" i="19"/>
  <c r="G136" i="19"/>
  <c r="G212" i="19"/>
  <c r="Q181" i="19"/>
  <c r="Q161" i="19"/>
  <c r="Q172" i="19"/>
  <c r="G207" i="19"/>
  <c r="Q182" i="19"/>
  <c r="G208" i="19"/>
  <c r="Q160" i="19"/>
  <c r="G187" i="19"/>
  <c r="Q155" i="19"/>
  <c r="Q107" i="19"/>
  <c r="Q206" i="19"/>
  <c r="Q205" i="19"/>
  <c r="Q187" i="19"/>
  <c r="G134" i="19"/>
  <c r="Q159" i="19"/>
  <c r="Q211" i="19"/>
  <c r="G181" i="19"/>
  <c r="Q186" i="19"/>
  <c r="G155" i="19"/>
  <c r="G159" i="19"/>
  <c r="G131" i="19"/>
  <c r="G135" i="19"/>
  <c r="G162" i="19"/>
  <c r="Q147" i="19"/>
  <c r="G161" i="19"/>
  <c r="G55" i="19"/>
  <c r="Q210" i="19"/>
  <c r="Q222" i="19"/>
  <c r="Q185" i="19"/>
  <c r="G172" i="19"/>
  <c r="Q158" i="19"/>
  <c r="Q132" i="19"/>
  <c r="Q212" i="19"/>
  <c r="G146" i="19"/>
  <c r="G185" i="19"/>
  <c r="G211" i="19"/>
  <c r="Q157" i="19"/>
  <c r="G160" i="19"/>
  <c r="Q135" i="19"/>
  <c r="H32" i="19"/>
  <c r="Q109" i="19"/>
  <c r="G209" i="19"/>
  <c r="Q220" i="19"/>
  <c r="Q184" i="19"/>
  <c r="G170" i="19"/>
  <c r="G132" i="19"/>
  <c r="G210" i="19"/>
  <c r="Q197" i="19"/>
  <c r="G157" i="19"/>
  <c r="G206" i="19"/>
  <c r="G188" i="19"/>
  <c r="G184" i="19"/>
  <c r="Q136" i="19"/>
  <c r="G148" i="19"/>
  <c r="G133" i="19"/>
  <c r="Q208" i="19"/>
  <c r="Q183" i="19"/>
  <c r="G137" i="19"/>
  <c r="Q196" i="19"/>
  <c r="Q156" i="19"/>
  <c r="Q133" i="19"/>
  <c r="Q171" i="19"/>
  <c r="Q138" i="19"/>
  <c r="Q137" i="19"/>
  <c r="Q146" i="19"/>
  <c r="F38" i="19"/>
  <c r="P35" i="19"/>
  <c r="R33" i="19"/>
  <c r="I34" i="19"/>
  <c r="P31" i="19"/>
  <c r="G112" i="19"/>
  <c r="A38" i="19"/>
  <c r="S33" i="19"/>
  <c r="P32" i="19"/>
  <c r="H34" i="19"/>
  <c r="I32" i="19"/>
  <c r="Q105" i="19"/>
  <c r="K38" i="19"/>
  <c r="A33" i="19"/>
  <c r="A7" i="19" s="1"/>
  <c r="R32" i="19"/>
  <c r="I36" i="19"/>
  <c r="F34" i="19"/>
  <c r="R70" i="19"/>
  <c r="R60" i="19"/>
  <c r="N59" i="19"/>
  <c r="N20" i="19" s="1"/>
  <c r="R56" i="19"/>
  <c r="R55" i="19"/>
  <c r="M69" i="19"/>
  <c r="P58" i="19"/>
  <c r="M57" i="19"/>
  <c r="M18" i="19" s="1"/>
  <c r="S71" i="19"/>
  <c r="P70" i="19"/>
  <c r="N67" i="19"/>
  <c r="N65" i="19"/>
  <c r="S62" i="19"/>
  <c r="S61" i="19"/>
  <c r="P60" i="19"/>
  <c r="M59" i="19"/>
  <c r="M20" i="19" s="1"/>
  <c r="S57" i="19"/>
  <c r="P56" i="19"/>
  <c r="P55" i="19"/>
  <c r="R71" i="19"/>
  <c r="M67" i="19"/>
  <c r="M65" i="19"/>
  <c r="R62" i="19"/>
  <c r="R61" i="19"/>
  <c r="L59" i="19"/>
  <c r="L20" i="19" s="1"/>
  <c r="R57" i="19"/>
  <c r="N56" i="19"/>
  <c r="N55" i="19"/>
  <c r="S59" i="19"/>
  <c r="S60" i="19"/>
  <c r="P59" i="19"/>
  <c r="S72" i="19"/>
  <c r="P71" i="19"/>
  <c r="L67" i="19"/>
  <c r="L65" i="19"/>
  <c r="P62" i="19"/>
  <c r="P61" i="19"/>
  <c r="K59" i="19"/>
  <c r="K20" i="19" s="1"/>
  <c r="S58" i="19"/>
  <c r="P57" i="19"/>
  <c r="P72" i="19"/>
  <c r="Q72" i="19" s="1"/>
  <c r="K57" i="19"/>
  <c r="K18" i="19" s="1"/>
  <c r="S56" i="19"/>
  <c r="S55" i="19"/>
  <c r="R72" i="19"/>
  <c r="K67" i="19"/>
  <c r="K65" i="19"/>
  <c r="K62" i="19"/>
  <c r="R58" i="19"/>
  <c r="N57" i="19"/>
  <c r="N18" i="19" s="1"/>
  <c r="S70" i="19"/>
  <c r="K69" i="19"/>
  <c r="R59" i="19"/>
  <c r="L57" i="19"/>
  <c r="L18" i="19" s="1"/>
  <c r="C35" i="19"/>
  <c r="C9" i="19" s="1"/>
  <c r="I35" i="19"/>
  <c r="H35" i="19"/>
  <c r="F35" i="19"/>
  <c r="I31" i="19"/>
  <c r="H31" i="19"/>
  <c r="F31" i="19"/>
  <c r="A35" i="19"/>
  <c r="A9" i="19" s="1"/>
  <c r="I33" i="19"/>
  <c r="H33" i="19"/>
  <c r="F33" i="19"/>
  <c r="B35" i="19"/>
  <c r="B9" i="19" s="1"/>
  <c r="R35" i="19"/>
  <c r="I37" i="19"/>
  <c r="H36" i="19"/>
  <c r="Q111" i="19"/>
  <c r="C33" i="19"/>
  <c r="C7" i="19" s="1"/>
  <c r="F32" i="19"/>
  <c r="P37" i="19"/>
  <c r="M35" i="19"/>
  <c r="M9" i="19" s="1"/>
  <c r="P33" i="19"/>
  <c r="N32" i="19"/>
  <c r="P38" i="19"/>
  <c r="S35" i="19"/>
  <c r="R34" i="19"/>
  <c r="K33" i="19"/>
  <c r="K7" i="19" s="1"/>
  <c r="N31" i="19"/>
  <c r="S38" i="19"/>
  <c r="R36" i="19"/>
  <c r="K35" i="19"/>
  <c r="K9" i="19" s="1"/>
  <c r="M33" i="19"/>
  <c r="M7" i="19" s="1"/>
  <c r="R31" i="19"/>
  <c r="Q106" i="19"/>
  <c r="P34" i="19"/>
  <c r="H37" i="19"/>
  <c r="F36" i="19"/>
  <c r="S36" i="19"/>
  <c r="R38" i="19"/>
  <c r="B33" i="19"/>
  <c r="B7" i="19" s="1"/>
  <c r="S32" i="19"/>
  <c r="F37" i="19"/>
  <c r="D33" i="19"/>
  <c r="D7" i="19" s="1"/>
  <c r="L35" i="19"/>
  <c r="L9" i="19" s="1"/>
  <c r="P36" i="19"/>
  <c r="I38" i="19"/>
  <c r="D35" i="19"/>
  <c r="D9" i="19" s="1"/>
  <c r="R37" i="19"/>
  <c r="D31" i="19"/>
  <c r="N33" i="19"/>
  <c r="N7" i="19" s="1"/>
  <c r="G71" i="19"/>
  <c r="S34" i="19"/>
  <c r="G81" i="19"/>
  <c r="Q86" i="19"/>
  <c r="H38" i="19"/>
  <c r="S37" i="19"/>
  <c r="D32" i="19"/>
  <c r="N35" i="19"/>
  <c r="N9" i="19" s="1"/>
  <c r="S31" i="19"/>
  <c r="L33" i="19"/>
  <c r="L7" i="19" s="1"/>
  <c r="G105" i="19"/>
  <c r="G109" i="19"/>
  <c r="G110" i="19"/>
  <c r="G107" i="19"/>
  <c r="G122" i="19"/>
  <c r="G106" i="19"/>
  <c r="G108" i="19"/>
  <c r="G121" i="19"/>
  <c r="G111" i="19"/>
  <c r="Q96" i="19"/>
  <c r="Q88" i="19"/>
  <c r="Q81" i="19"/>
  <c r="Q87" i="19"/>
  <c r="Q84" i="19"/>
  <c r="Q82" i="19"/>
  <c r="Q85" i="19"/>
  <c r="Q97" i="19"/>
  <c r="Q83" i="19"/>
  <c r="G86" i="19"/>
  <c r="G87" i="19"/>
  <c r="G85" i="19"/>
  <c r="G88" i="19"/>
  <c r="G82" i="19"/>
  <c r="G83" i="19"/>
  <c r="G96" i="19"/>
  <c r="G98" i="19"/>
  <c r="P21" i="20"/>
  <c r="D149" i="18"/>
  <c r="P19" i="20"/>
  <c r="P20" i="20"/>
  <c r="K40" i="18"/>
  <c r="K49" i="18"/>
  <c r="K137" i="18"/>
  <c r="K39" i="18"/>
  <c r="K36" i="18"/>
  <c r="D78" i="18"/>
  <c r="D134" i="18"/>
  <c r="K123" i="18"/>
  <c r="L64" i="18"/>
  <c r="L120" i="18"/>
  <c r="K65" i="18"/>
  <c r="L121" i="18"/>
  <c r="D165" i="18"/>
  <c r="D162" i="18"/>
  <c r="D137" i="18"/>
  <c r="D37" i="18"/>
  <c r="K67" i="18"/>
  <c r="P16" i="20"/>
  <c r="P17" i="20"/>
  <c r="P18" i="20"/>
  <c r="D120" i="18"/>
  <c r="L96" i="18"/>
  <c r="K149" i="18"/>
  <c r="D67" i="18"/>
  <c r="K106" i="18"/>
  <c r="D152" i="18"/>
  <c r="K162" i="18"/>
  <c r="K121" i="18"/>
  <c r="L137" i="18"/>
  <c r="D151" i="18"/>
  <c r="D39" i="18"/>
  <c r="D95" i="18"/>
  <c r="K92" i="18"/>
  <c r="K124" i="18"/>
  <c r="L151" i="18"/>
  <c r="D109" i="18"/>
  <c r="L136" i="18"/>
  <c r="D68" i="18"/>
  <c r="K95" i="18"/>
  <c r="L124" i="18"/>
  <c r="D53" i="18"/>
  <c r="D65" i="18"/>
  <c r="K96" i="18"/>
  <c r="D124" i="18"/>
  <c r="L78" i="18"/>
  <c r="K78" i="18"/>
  <c r="L133" i="18"/>
  <c r="K161" i="18"/>
  <c r="K93" i="18"/>
  <c r="K91" i="18" s="1"/>
  <c r="K105" i="18"/>
  <c r="L134" i="18"/>
  <c r="K77" i="18"/>
  <c r="D92" i="18"/>
  <c r="L148" i="18"/>
  <c r="L152" i="18"/>
  <c r="L164" i="18"/>
  <c r="L68" i="18"/>
  <c r="L77" i="18"/>
  <c r="L109" i="18"/>
  <c r="L149" i="18"/>
  <c r="L165" i="18"/>
  <c r="L106" i="18"/>
  <c r="M106" i="18" s="1"/>
  <c r="L123" i="18"/>
  <c r="M123" i="18" s="1"/>
  <c r="L162" i="18"/>
  <c r="L93" i="18"/>
  <c r="D148" i="18"/>
  <c r="L161" i="18"/>
  <c r="D121" i="18"/>
  <c r="L67" i="18"/>
  <c r="L108" i="18"/>
  <c r="K120" i="18"/>
  <c r="K151" i="18"/>
  <c r="L95" i="18"/>
  <c r="K136" i="18"/>
  <c r="K135" i="18" s="1"/>
  <c r="D164" i="18"/>
  <c r="D123" i="18"/>
  <c r="K109" i="18"/>
  <c r="D136" i="18"/>
  <c r="D135" i="18" s="1"/>
  <c r="K38" i="18"/>
  <c r="K53" i="18"/>
  <c r="K134" i="18"/>
  <c r="K68" i="18"/>
  <c r="D52" i="18"/>
  <c r="K81" i="18"/>
  <c r="K152" i="18"/>
  <c r="K146" i="18" s="1"/>
  <c r="K165" i="18"/>
  <c r="K159" i="18" s="1"/>
  <c r="D133" i="18"/>
  <c r="K133" i="18"/>
  <c r="K148" i="18"/>
  <c r="J148" i="18" s="1"/>
  <c r="D161" i="18"/>
  <c r="K164" i="18"/>
  <c r="L105" i="18"/>
  <c r="D105" i="18"/>
  <c r="K122" i="18"/>
  <c r="K160" i="18"/>
  <c r="J121" i="18"/>
  <c r="J124" i="18"/>
  <c r="J137" i="18"/>
  <c r="D159" i="18"/>
  <c r="L65" i="18"/>
  <c r="D81" i="18"/>
  <c r="D80" i="18"/>
  <c r="D50" i="18"/>
  <c r="K50" i="18"/>
  <c r="L80" i="18"/>
  <c r="D93" i="18"/>
  <c r="L92" i="18"/>
  <c r="D106" i="18"/>
  <c r="D103" i="18" s="1"/>
  <c r="L118" i="18"/>
  <c r="D40" i="18"/>
  <c r="D49" i="18"/>
  <c r="K80" i="18"/>
  <c r="K52" i="18"/>
  <c r="L81" i="18"/>
  <c r="D96" i="18"/>
  <c r="D94" i="18" s="1"/>
  <c r="K37" i="18"/>
  <c r="K35" i="18" s="1"/>
  <c r="L40" i="18"/>
  <c r="D64" i="18"/>
  <c r="K64" i="18"/>
  <c r="K63" i="18" s="1"/>
  <c r="D77" i="18"/>
  <c r="K108" i="18"/>
  <c r="D108" i="18"/>
  <c r="D107" i="18" s="1"/>
  <c r="D36" i="18"/>
  <c r="L53" i="18"/>
  <c r="K90" i="18"/>
  <c r="D62" i="18"/>
  <c r="L49" i="18"/>
  <c r="M49" i="18" s="1"/>
  <c r="L50" i="18"/>
  <c r="L52" i="18"/>
  <c r="L36" i="18"/>
  <c r="L37" i="18"/>
  <c r="L39" i="18"/>
  <c r="M39" i="18" s="1"/>
  <c r="Q19" i="20"/>
  <c r="F15" i="20"/>
  <c r="G15" i="20"/>
  <c r="F16" i="20"/>
  <c r="F17" i="20"/>
  <c r="F18" i="20"/>
  <c r="F5" i="20"/>
  <c r="G5" i="20"/>
  <c r="G16" i="20"/>
  <c r="G17" i="20"/>
  <c r="F9" i="20"/>
  <c r="Q16" i="20"/>
  <c r="Q20" i="20"/>
  <c r="Q17" i="20"/>
  <c r="Q21" i="20"/>
  <c r="P8" i="20"/>
  <c r="Q8" i="20"/>
  <c r="Q18" i="20"/>
  <c r="Q15" i="20"/>
  <c r="G18" i="20"/>
  <c r="G19" i="20"/>
  <c r="G20" i="20"/>
  <c r="F19" i="20"/>
  <c r="G21" i="20"/>
  <c r="F10" i="20"/>
  <c r="F20" i="20"/>
  <c r="P14" i="20"/>
  <c r="G7" i="20"/>
  <c r="P5" i="20"/>
  <c r="P9" i="20"/>
  <c r="G8" i="20"/>
  <c r="Q5" i="20"/>
  <c r="Q9" i="20"/>
  <c r="G9" i="20"/>
  <c r="P6" i="20"/>
  <c r="P10" i="20"/>
  <c r="G10" i="20"/>
  <c r="Q6" i="20"/>
  <c r="Q10" i="20"/>
  <c r="F7" i="20"/>
  <c r="P7" i="20"/>
  <c r="O7" i="20" s="1"/>
  <c r="G4" i="20"/>
  <c r="F6" i="20"/>
  <c r="G6" i="20"/>
  <c r="F4" i="20"/>
  <c r="P4" i="20"/>
  <c r="Q4" i="20"/>
  <c r="I25" i="18"/>
  <c r="I24" i="18"/>
  <c r="I22" i="18"/>
  <c r="I21" i="18"/>
  <c r="I19" i="18"/>
  <c r="I18" i="18"/>
  <c r="I12" i="18"/>
  <c r="I11" i="18"/>
  <c r="I9" i="18"/>
  <c r="I8" i="18"/>
  <c r="B25" i="18"/>
  <c r="B24" i="18"/>
  <c r="B22" i="18"/>
  <c r="B21" i="18"/>
  <c r="B19" i="18"/>
  <c r="B18" i="18"/>
  <c r="B12" i="18"/>
  <c r="B11" i="18"/>
  <c r="B9" i="18"/>
  <c r="B8" i="18"/>
  <c r="B6" i="18"/>
  <c r="B5" i="18"/>
  <c r="I6" i="18"/>
  <c r="I5" i="18"/>
  <c r="H23" i="18"/>
  <c r="K25" i="18" s="1"/>
  <c r="H20" i="18"/>
  <c r="H10" i="18"/>
  <c r="H7" i="18"/>
  <c r="A23" i="18"/>
  <c r="A20" i="18"/>
  <c r="A10" i="18"/>
  <c r="A7" i="18"/>
  <c r="A15" i="18"/>
  <c r="E105" i="18" s="1"/>
  <c r="F105" i="18" s="1"/>
  <c r="A2" i="18"/>
  <c r="M77" i="18" l="1"/>
  <c r="K118" i="18"/>
  <c r="M137" i="18"/>
  <c r="K66" i="18"/>
  <c r="M81" i="18"/>
  <c r="D131" i="18"/>
  <c r="L119" i="18"/>
  <c r="M67" i="18"/>
  <c r="M92" i="18"/>
  <c r="Q46" i="19"/>
  <c r="M53" i="18"/>
  <c r="G61" i="20"/>
  <c r="D150" i="18"/>
  <c r="Q46" i="20"/>
  <c r="J120" i="18"/>
  <c r="K75" i="18"/>
  <c r="K48" i="18"/>
  <c r="Q36" i="19"/>
  <c r="H17" i="20"/>
  <c r="G47" i="19"/>
  <c r="G46" i="19"/>
  <c r="G48" i="19"/>
  <c r="Q48" i="19"/>
  <c r="Q47" i="19"/>
  <c r="Q63" i="20"/>
  <c r="Q61" i="20"/>
  <c r="Q48" i="20"/>
  <c r="Q62" i="20"/>
  <c r="Q52" i="20"/>
  <c r="Q53" i="20"/>
  <c r="Q51" i="20"/>
  <c r="Q50" i="20"/>
  <c r="Q49" i="20"/>
  <c r="Q47" i="20"/>
  <c r="G49" i="20"/>
  <c r="G62" i="20"/>
  <c r="G48" i="20"/>
  <c r="G51" i="20"/>
  <c r="G46" i="20"/>
  <c r="G50" i="20"/>
  <c r="G63" i="20"/>
  <c r="G52" i="20"/>
  <c r="G47" i="20"/>
  <c r="Q62" i="19"/>
  <c r="Q37" i="19"/>
  <c r="Q71" i="19"/>
  <c r="Q38" i="19"/>
  <c r="Q57" i="19"/>
  <c r="Q32" i="19"/>
  <c r="Q59" i="19"/>
  <c r="Q60" i="19"/>
  <c r="Q58" i="19"/>
  <c r="Q34" i="19"/>
  <c r="Q61" i="19"/>
  <c r="Q35" i="19"/>
  <c r="Q33" i="19"/>
  <c r="Q55" i="19"/>
  <c r="Q56" i="19"/>
  <c r="Q70" i="19"/>
  <c r="Q31" i="19"/>
  <c r="G34" i="19"/>
  <c r="R6" i="20"/>
  <c r="H4" i="20"/>
  <c r="G33" i="19"/>
  <c r="G35" i="19"/>
  <c r="G32" i="19"/>
  <c r="G38" i="19"/>
  <c r="G31" i="19"/>
  <c r="G36" i="19"/>
  <c r="G37" i="19"/>
  <c r="M162" i="18"/>
  <c r="H9" i="20"/>
  <c r="H6" i="20"/>
  <c r="H18" i="20"/>
  <c r="R5" i="20"/>
  <c r="J96" i="18"/>
  <c r="M37" i="18"/>
  <c r="M50" i="18"/>
  <c r="M118" i="18"/>
  <c r="M105" i="18"/>
  <c r="K158" i="18"/>
  <c r="K157" i="18" s="1"/>
  <c r="M161" i="18"/>
  <c r="H16" i="20"/>
  <c r="R9" i="20"/>
  <c r="R8" i="20"/>
  <c r="R4" i="20"/>
  <c r="R10" i="20"/>
  <c r="H7" i="20"/>
  <c r="O16" i="20"/>
  <c r="R16" i="20"/>
  <c r="O15" i="20"/>
  <c r="R15" i="20"/>
  <c r="H15" i="20"/>
  <c r="O18" i="20"/>
  <c r="R18" i="20"/>
  <c r="E21" i="20"/>
  <c r="H21" i="20"/>
  <c r="H5" i="20"/>
  <c r="O19" i="20"/>
  <c r="R19" i="20"/>
  <c r="E8" i="20"/>
  <c r="H8" i="20"/>
  <c r="O21" i="20"/>
  <c r="R21" i="20"/>
  <c r="H20" i="20"/>
  <c r="O17" i="20"/>
  <c r="R17" i="20"/>
  <c r="H10" i="20"/>
  <c r="H19" i="20"/>
  <c r="O20" i="20"/>
  <c r="R20" i="20"/>
  <c r="R7" i="20"/>
  <c r="M52" i="18"/>
  <c r="M124" i="18"/>
  <c r="J40" i="18"/>
  <c r="M40" i="18"/>
  <c r="L94" i="18"/>
  <c r="M95" i="18"/>
  <c r="L90" i="18"/>
  <c r="M90" i="18" s="1"/>
  <c r="M93" i="18"/>
  <c r="M68" i="18"/>
  <c r="M64" i="18"/>
  <c r="M164" i="18"/>
  <c r="J36" i="18"/>
  <c r="M36" i="18"/>
  <c r="L63" i="18"/>
  <c r="M63" i="18" s="1"/>
  <c r="M65" i="18"/>
  <c r="M152" i="18"/>
  <c r="M133" i="18"/>
  <c r="M108" i="18"/>
  <c r="M148" i="18"/>
  <c r="M96" i="18"/>
  <c r="M165" i="18"/>
  <c r="M78" i="18"/>
  <c r="M136" i="18"/>
  <c r="M80" i="18"/>
  <c r="J149" i="18"/>
  <c r="M149" i="18"/>
  <c r="M121" i="18"/>
  <c r="M109" i="18"/>
  <c r="M134" i="18"/>
  <c r="M151" i="18"/>
  <c r="M120" i="18"/>
  <c r="L158" i="18"/>
  <c r="L91" i="18"/>
  <c r="M91" i="18" s="1"/>
  <c r="J134" i="18"/>
  <c r="J151" i="18"/>
  <c r="E5" i="20"/>
  <c r="J109" i="18"/>
  <c r="L163" i="18"/>
  <c r="J68" i="18"/>
  <c r="K103" i="18"/>
  <c r="L150" i="18"/>
  <c r="L145" i="18"/>
  <c r="K76" i="18"/>
  <c r="L76" i="18"/>
  <c r="L130" i="18"/>
  <c r="K104" i="18"/>
  <c r="J78" i="18"/>
  <c r="L104" i="18"/>
  <c r="L147" i="18"/>
  <c r="L135" i="18"/>
  <c r="M135" i="18" s="1"/>
  <c r="L131" i="18"/>
  <c r="L122" i="18"/>
  <c r="J53" i="18"/>
  <c r="K107" i="18"/>
  <c r="K51" i="18"/>
  <c r="D79" i="18"/>
  <c r="L107" i="18"/>
  <c r="E15" i="20"/>
  <c r="L132" i="18"/>
  <c r="K94" i="18"/>
  <c r="K117" i="18"/>
  <c r="K116" i="18" s="1"/>
  <c r="L146" i="18"/>
  <c r="L117" i="18"/>
  <c r="K119" i="18"/>
  <c r="J133" i="18"/>
  <c r="K150" i="18"/>
  <c r="L159" i="18"/>
  <c r="J37" i="18"/>
  <c r="E18" i="20"/>
  <c r="J81" i="18"/>
  <c r="L66" i="18"/>
  <c r="K62" i="18"/>
  <c r="E10" i="20"/>
  <c r="J135" i="18"/>
  <c r="J165" i="18"/>
  <c r="J164" i="18"/>
  <c r="J152" i="18"/>
  <c r="L103" i="18"/>
  <c r="J118" i="18"/>
  <c r="K131" i="18"/>
  <c r="L160" i="18"/>
  <c r="J123" i="18"/>
  <c r="J161" i="18"/>
  <c r="J162" i="18"/>
  <c r="J52" i="18"/>
  <c r="J136" i="18"/>
  <c r="E9" i="20"/>
  <c r="L38" i="18"/>
  <c r="L62" i="18"/>
  <c r="K79" i="18"/>
  <c r="K132" i="18"/>
  <c r="J132" i="18" s="1"/>
  <c r="J50" i="18"/>
  <c r="K163" i="18"/>
  <c r="K147" i="18"/>
  <c r="K130" i="18"/>
  <c r="K145" i="18"/>
  <c r="K144" i="18" s="1"/>
  <c r="K74" i="18"/>
  <c r="E152" i="18"/>
  <c r="E149" i="18"/>
  <c r="E148" i="18"/>
  <c r="E124" i="18"/>
  <c r="E151" i="18"/>
  <c r="F151" i="18" s="1"/>
  <c r="E123" i="18"/>
  <c r="F123" i="18" s="1"/>
  <c r="E121" i="18"/>
  <c r="E120" i="18"/>
  <c r="F120" i="18" s="1"/>
  <c r="E92" i="18"/>
  <c r="E165" i="18"/>
  <c r="E162" i="18"/>
  <c r="E137" i="18"/>
  <c r="E164" i="18"/>
  <c r="F164" i="18" s="1"/>
  <c r="E161" i="18"/>
  <c r="F161" i="18" s="1"/>
  <c r="E136" i="18"/>
  <c r="E134" i="18"/>
  <c r="F134" i="18" s="1"/>
  <c r="E133" i="18"/>
  <c r="F133" i="18" s="1"/>
  <c r="E16" i="20"/>
  <c r="E17" i="20"/>
  <c r="K61" i="18"/>
  <c r="J65" i="18"/>
  <c r="D160" i="18"/>
  <c r="D158" i="18"/>
  <c r="D157" i="18" s="1"/>
  <c r="D146" i="18"/>
  <c r="D145" i="18"/>
  <c r="D147" i="18"/>
  <c r="D163" i="18"/>
  <c r="D90" i="18"/>
  <c r="E49" i="18"/>
  <c r="D119" i="18"/>
  <c r="D117" i="18"/>
  <c r="E65" i="18"/>
  <c r="F65" i="18" s="1"/>
  <c r="E109" i="18"/>
  <c r="L48" i="18"/>
  <c r="E80" i="18"/>
  <c r="E68" i="18"/>
  <c r="E39" i="18"/>
  <c r="E108" i="18"/>
  <c r="E53" i="18"/>
  <c r="E52" i="18"/>
  <c r="E77" i="18"/>
  <c r="F77" i="18" s="1"/>
  <c r="E37" i="18"/>
  <c r="E40" i="18"/>
  <c r="L75" i="18"/>
  <c r="E36" i="18"/>
  <c r="E64" i="18"/>
  <c r="F64" i="18" s="1"/>
  <c r="E93" i="18"/>
  <c r="F93" i="18" s="1"/>
  <c r="D132" i="18"/>
  <c r="D130" i="18"/>
  <c r="D129" i="18" s="1"/>
  <c r="E81" i="18"/>
  <c r="E50" i="18"/>
  <c r="E96" i="18"/>
  <c r="E95" i="18"/>
  <c r="F95" i="18" s="1"/>
  <c r="E67" i="18"/>
  <c r="D122" i="18"/>
  <c r="L79" i="18"/>
  <c r="D118" i="18"/>
  <c r="E78" i="18"/>
  <c r="F78" i="18" s="1"/>
  <c r="E106" i="18"/>
  <c r="F106" i="18" s="1"/>
  <c r="J106" i="18"/>
  <c r="C105" i="18"/>
  <c r="K102" i="18"/>
  <c r="K101" i="18" s="1"/>
  <c r="D91" i="18"/>
  <c r="D89" i="18"/>
  <c r="J108" i="18"/>
  <c r="L102" i="18"/>
  <c r="J105" i="18"/>
  <c r="J95" i="18"/>
  <c r="J93" i="18"/>
  <c r="L89" i="18"/>
  <c r="J92" i="18"/>
  <c r="K89" i="18"/>
  <c r="K88" i="18" s="1"/>
  <c r="D104" i="18"/>
  <c r="D102" i="18"/>
  <c r="D101" i="18" s="1"/>
  <c r="D76" i="18"/>
  <c r="D74" i="18"/>
  <c r="D63" i="18"/>
  <c r="D61" i="18"/>
  <c r="D60" i="18" s="1"/>
  <c r="J80" i="18"/>
  <c r="D66" i="18"/>
  <c r="L74" i="18"/>
  <c r="J77" i="18"/>
  <c r="J67" i="18"/>
  <c r="J63" i="18"/>
  <c r="L61" i="18"/>
  <c r="J64" i="18"/>
  <c r="D75" i="18"/>
  <c r="J49" i="18"/>
  <c r="L51" i="18"/>
  <c r="J39" i="18"/>
  <c r="L35" i="18"/>
  <c r="E20" i="20"/>
  <c r="Q14" i="20"/>
  <c r="F14" i="20"/>
  <c r="O8" i="20"/>
  <c r="L22" i="18"/>
  <c r="E7" i="20"/>
  <c r="E19" i="20"/>
  <c r="G14" i="20"/>
  <c r="Q3" i="20"/>
  <c r="O6" i="20"/>
  <c r="D51" i="18"/>
  <c r="D47" i="18"/>
  <c r="K34" i="18"/>
  <c r="D48" i="18"/>
  <c r="D46" i="18"/>
  <c r="K33" i="18"/>
  <c r="D38" i="18"/>
  <c r="D34" i="18"/>
  <c r="K47" i="18"/>
  <c r="D35" i="18"/>
  <c r="D33" i="18"/>
  <c r="K46" i="18"/>
  <c r="O9" i="20"/>
  <c r="O5" i="20"/>
  <c r="E4" i="20"/>
  <c r="F3" i="20"/>
  <c r="G3" i="20"/>
  <c r="E6" i="20"/>
  <c r="O10" i="20"/>
  <c r="P3" i="20"/>
  <c r="O4" i="20"/>
  <c r="D11" i="18"/>
  <c r="D25" i="18"/>
  <c r="K11" i="18"/>
  <c r="K12" i="18"/>
  <c r="D22" i="18"/>
  <c r="K8" i="18"/>
  <c r="K9" i="18"/>
  <c r="K22" i="18"/>
  <c r="K19" i="18" s="1"/>
  <c r="D24" i="18"/>
  <c r="D12" i="18"/>
  <c r="L11" i="18"/>
  <c r="D8" i="18"/>
  <c r="E25" i="18"/>
  <c r="E11" i="18"/>
  <c r="E9" i="18"/>
  <c r="E22" i="18"/>
  <c r="D9" i="18"/>
  <c r="K21" i="18"/>
  <c r="E21" i="18"/>
  <c r="E8" i="18"/>
  <c r="F8" i="18" s="1"/>
  <c r="D21" i="18"/>
  <c r="E12" i="18"/>
  <c r="K24" i="18"/>
  <c r="L24" i="18"/>
  <c r="L25" i="18"/>
  <c r="L8" i="18"/>
  <c r="L12" i="18"/>
  <c r="L9" i="18"/>
  <c r="L21" i="18"/>
  <c r="E24" i="18"/>
  <c r="J119" i="18" l="1"/>
  <c r="K73" i="18"/>
  <c r="J107" i="18"/>
  <c r="J158" i="18"/>
  <c r="M74" i="18"/>
  <c r="F25" i="18"/>
  <c r="F24" i="18"/>
  <c r="M21" i="18"/>
  <c r="R3" i="20"/>
  <c r="J91" i="18"/>
  <c r="F11" i="18"/>
  <c r="H14" i="20"/>
  <c r="F12" i="18"/>
  <c r="J150" i="18"/>
  <c r="M158" i="18"/>
  <c r="J76" i="18"/>
  <c r="J90" i="18"/>
  <c r="M11" i="18"/>
  <c r="M61" i="18"/>
  <c r="M8" i="18"/>
  <c r="M22" i="18"/>
  <c r="M9" i="18"/>
  <c r="M12" i="18"/>
  <c r="H3" i="20"/>
  <c r="O14" i="20"/>
  <c r="R14" i="20"/>
  <c r="J94" i="18"/>
  <c r="M102" i="18"/>
  <c r="M24" i="18"/>
  <c r="M103" i="18"/>
  <c r="M163" i="18"/>
  <c r="M131" i="18"/>
  <c r="F21" i="18"/>
  <c r="C50" i="18"/>
  <c r="F50" i="18"/>
  <c r="C40" i="18"/>
  <c r="F40" i="18"/>
  <c r="C80" i="18"/>
  <c r="F80" i="18"/>
  <c r="M62" i="18"/>
  <c r="J160" i="18"/>
  <c r="M160" i="18"/>
  <c r="M107" i="18"/>
  <c r="M147" i="18"/>
  <c r="M150" i="18"/>
  <c r="M119" i="18"/>
  <c r="C81" i="18"/>
  <c r="F81" i="18"/>
  <c r="C37" i="18"/>
  <c r="F37" i="18"/>
  <c r="J48" i="18"/>
  <c r="M48" i="18"/>
  <c r="C136" i="18"/>
  <c r="F136" i="18"/>
  <c r="C121" i="18"/>
  <c r="F121" i="18"/>
  <c r="J38" i="18"/>
  <c r="M38" i="18"/>
  <c r="M104" i="18"/>
  <c r="C109" i="18"/>
  <c r="F109" i="18"/>
  <c r="J66" i="18"/>
  <c r="M66" i="18"/>
  <c r="L116" i="18"/>
  <c r="M116" i="18" s="1"/>
  <c r="M117" i="18"/>
  <c r="F22" i="18"/>
  <c r="M89" i="18"/>
  <c r="J79" i="18"/>
  <c r="M79" i="18"/>
  <c r="C52" i="18"/>
  <c r="F52" i="18"/>
  <c r="J146" i="18"/>
  <c r="M146" i="18"/>
  <c r="J25" i="18"/>
  <c r="M25" i="18"/>
  <c r="F9" i="18"/>
  <c r="J35" i="18"/>
  <c r="M35" i="18"/>
  <c r="C53" i="18"/>
  <c r="F53" i="18"/>
  <c r="C137" i="18"/>
  <c r="F137" i="18"/>
  <c r="C124" i="18"/>
  <c r="F124" i="18"/>
  <c r="M130" i="18"/>
  <c r="C67" i="18"/>
  <c r="F67" i="18"/>
  <c r="E102" i="18"/>
  <c r="F102" i="18" s="1"/>
  <c r="F108" i="18"/>
  <c r="C162" i="18"/>
  <c r="F162" i="18"/>
  <c r="C148" i="18"/>
  <c r="F148" i="18"/>
  <c r="J122" i="18"/>
  <c r="M122" i="18"/>
  <c r="M76" i="18"/>
  <c r="M94" i="18"/>
  <c r="J51" i="18"/>
  <c r="M51" i="18"/>
  <c r="C36" i="18"/>
  <c r="F36" i="18"/>
  <c r="C39" i="18"/>
  <c r="F39" i="18"/>
  <c r="C49" i="18"/>
  <c r="F49" i="18"/>
  <c r="C165" i="18"/>
  <c r="F165" i="18"/>
  <c r="C149" i="18"/>
  <c r="F149" i="18"/>
  <c r="J159" i="18"/>
  <c r="M159" i="18"/>
  <c r="M132" i="18"/>
  <c r="C96" i="18"/>
  <c r="F96" i="18"/>
  <c r="J75" i="18"/>
  <c r="M75" i="18"/>
  <c r="C68" i="18"/>
  <c r="F68" i="18"/>
  <c r="C92" i="18"/>
  <c r="F92" i="18"/>
  <c r="C152" i="18"/>
  <c r="F152" i="18"/>
  <c r="M145" i="18"/>
  <c r="J163" i="18"/>
  <c r="J130" i="18"/>
  <c r="J117" i="18"/>
  <c r="J103" i="18"/>
  <c r="J131" i="18"/>
  <c r="J147" i="18"/>
  <c r="L129" i="18"/>
  <c r="L157" i="18"/>
  <c r="L144" i="18"/>
  <c r="J12" i="18"/>
  <c r="K129" i="18"/>
  <c r="J145" i="18"/>
  <c r="K60" i="18"/>
  <c r="J62" i="18"/>
  <c r="C108" i="18"/>
  <c r="E150" i="18"/>
  <c r="C151" i="18"/>
  <c r="E74" i="18"/>
  <c r="E147" i="18"/>
  <c r="E163" i="18"/>
  <c r="L20" i="18"/>
  <c r="E160" i="18"/>
  <c r="E89" i="18"/>
  <c r="C161" i="18"/>
  <c r="E158" i="18"/>
  <c r="E146" i="18"/>
  <c r="E145" i="18"/>
  <c r="F145" i="18" s="1"/>
  <c r="D88" i="18"/>
  <c r="E63" i="18"/>
  <c r="C164" i="18"/>
  <c r="E159" i="18"/>
  <c r="E103" i="18"/>
  <c r="E76" i="18"/>
  <c r="E107" i="18"/>
  <c r="E62" i="18"/>
  <c r="E33" i="18"/>
  <c r="C64" i="18"/>
  <c r="E66" i="18"/>
  <c r="C65" i="18"/>
  <c r="C77" i="18"/>
  <c r="E61" i="18"/>
  <c r="E90" i="18"/>
  <c r="E94" i="18"/>
  <c r="D144" i="18"/>
  <c r="E79" i="18"/>
  <c r="C106" i="18"/>
  <c r="C95" i="18"/>
  <c r="E119" i="18"/>
  <c r="E117" i="18"/>
  <c r="F117" i="18" s="1"/>
  <c r="C120" i="18"/>
  <c r="E132" i="18"/>
  <c r="E130" i="18"/>
  <c r="F130" i="18" s="1"/>
  <c r="C133" i="18"/>
  <c r="E122" i="18"/>
  <c r="C123" i="18"/>
  <c r="C78" i="18"/>
  <c r="E75" i="18"/>
  <c r="F75" i="18" s="1"/>
  <c r="D116" i="18"/>
  <c r="E135" i="18"/>
  <c r="C93" i="18"/>
  <c r="E91" i="18"/>
  <c r="E104" i="18"/>
  <c r="E131" i="18"/>
  <c r="C134" i="18"/>
  <c r="E118" i="18"/>
  <c r="L101" i="18"/>
  <c r="J102" i="18"/>
  <c r="L88" i="18"/>
  <c r="J89" i="18"/>
  <c r="J104" i="18"/>
  <c r="L73" i="18"/>
  <c r="J74" i="18"/>
  <c r="D73" i="18"/>
  <c r="L60" i="18"/>
  <c r="J61" i="18"/>
  <c r="D32" i="18"/>
  <c r="O3" i="20"/>
  <c r="E14" i="20"/>
  <c r="C25" i="18"/>
  <c r="K32" i="18"/>
  <c r="D45" i="18"/>
  <c r="C11" i="18"/>
  <c r="L34" i="18"/>
  <c r="E34" i="18"/>
  <c r="J9" i="18"/>
  <c r="E38" i="18"/>
  <c r="E51" i="18"/>
  <c r="L46" i="18"/>
  <c r="E35" i="18"/>
  <c r="E47" i="18"/>
  <c r="L33" i="18"/>
  <c r="L47" i="18"/>
  <c r="E46" i="18"/>
  <c r="K45" i="18"/>
  <c r="E48" i="18"/>
  <c r="E3" i="20"/>
  <c r="D10" i="18"/>
  <c r="D5" i="18"/>
  <c r="D23" i="18"/>
  <c r="D19" i="18"/>
  <c r="K5" i="18"/>
  <c r="K10" i="18"/>
  <c r="D20" i="18"/>
  <c r="J11" i="18"/>
  <c r="K6" i="18"/>
  <c r="D7" i="18"/>
  <c r="L5" i="18"/>
  <c r="J22" i="18"/>
  <c r="K7" i="18"/>
  <c r="K20" i="18"/>
  <c r="E10" i="18"/>
  <c r="E5" i="18"/>
  <c r="E19" i="18"/>
  <c r="E20" i="18"/>
  <c r="D6" i="18"/>
  <c r="E18" i="18"/>
  <c r="C9" i="18"/>
  <c r="C22" i="18"/>
  <c r="K18" i="18"/>
  <c r="K17" i="18" s="1"/>
  <c r="E7" i="18"/>
  <c r="J24" i="18"/>
  <c r="C8" i="18"/>
  <c r="D18" i="18"/>
  <c r="C21" i="18"/>
  <c r="K23" i="18"/>
  <c r="E6" i="18"/>
  <c r="C12" i="18"/>
  <c r="L10" i="18"/>
  <c r="L7" i="18"/>
  <c r="L6" i="18"/>
  <c r="J8" i="18"/>
  <c r="L23" i="18"/>
  <c r="L18" i="18"/>
  <c r="J21" i="18"/>
  <c r="L19" i="18"/>
  <c r="E23" i="18"/>
  <c r="C24" i="18"/>
  <c r="M10" i="18" l="1"/>
  <c r="F19" i="18"/>
  <c r="M7" i="18"/>
  <c r="M23" i="18"/>
  <c r="M5" i="18"/>
  <c r="M6" i="18"/>
  <c r="F20" i="18"/>
  <c r="M60" i="18"/>
  <c r="J33" i="18"/>
  <c r="M33" i="18"/>
  <c r="J34" i="18"/>
  <c r="M34" i="18"/>
  <c r="J88" i="18"/>
  <c r="M88" i="18"/>
  <c r="C33" i="18"/>
  <c r="F33" i="18"/>
  <c r="C163" i="18"/>
  <c r="F163" i="18"/>
  <c r="C135" i="18"/>
  <c r="F135" i="18"/>
  <c r="C132" i="18"/>
  <c r="F132" i="18"/>
  <c r="C94" i="18"/>
  <c r="F94" i="18"/>
  <c r="C62" i="18"/>
  <c r="F62" i="18"/>
  <c r="C147" i="18"/>
  <c r="F147" i="18"/>
  <c r="C47" i="18"/>
  <c r="F47" i="18"/>
  <c r="J101" i="18"/>
  <c r="M101" i="18"/>
  <c r="C90" i="18"/>
  <c r="F90" i="18"/>
  <c r="C107" i="18"/>
  <c r="F107" i="18"/>
  <c r="C146" i="18"/>
  <c r="F146" i="18"/>
  <c r="C74" i="18"/>
  <c r="F74" i="18"/>
  <c r="F23" i="18"/>
  <c r="F7" i="18"/>
  <c r="F5" i="18"/>
  <c r="J46" i="18"/>
  <c r="M46" i="18"/>
  <c r="C118" i="18"/>
  <c r="F118" i="18"/>
  <c r="C61" i="18"/>
  <c r="F61" i="18"/>
  <c r="C76" i="18"/>
  <c r="F76" i="18"/>
  <c r="C158" i="18"/>
  <c r="F158" i="18"/>
  <c r="J144" i="18"/>
  <c r="M144" i="18"/>
  <c r="J116" i="18"/>
  <c r="F10" i="18"/>
  <c r="C48" i="18"/>
  <c r="F48" i="18"/>
  <c r="C51" i="18"/>
  <c r="F51" i="18"/>
  <c r="J73" i="18"/>
  <c r="M73" i="18"/>
  <c r="C119" i="18"/>
  <c r="F119" i="18"/>
  <c r="C103" i="18"/>
  <c r="F103" i="18"/>
  <c r="C150" i="18"/>
  <c r="F150" i="18"/>
  <c r="J157" i="18"/>
  <c r="M157" i="18"/>
  <c r="F6" i="18"/>
  <c r="C38" i="18"/>
  <c r="F38" i="18"/>
  <c r="C102" i="18"/>
  <c r="C131" i="18"/>
  <c r="F131" i="18"/>
  <c r="C159" i="18"/>
  <c r="F159" i="18"/>
  <c r="C89" i="18"/>
  <c r="F89" i="18"/>
  <c r="M129" i="18"/>
  <c r="C35" i="18"/>
  <c r="F35" i="18"/>
  <c r="M18" i="18"/>
  <c r="C46" i="18"/>
  <c r="F46" i="18"/>
  <c r="C104" i="18"/>
  <c r="F104" i="18"/>
  <c r="C122" i="18"/>
  <c r="F122" i="18"/>
  <c r="C66" i="18"/>
  <c r="F66" i="18"/>
  <c r="C160" i="18"/>
  <c r="F160" i="18"/>
  <c r="J19" i="18"/>
  <c r="M19" i="18"/>
  <c r="F18" i="18"/>
  <c r="J47" i="18"/>
  <c r="M47" i="18"/>
  <c r="C34" i="18"/>
  <c r="F34" i="18"/>
  <c r="C91" i="18"/>
  <c r="F91" i="18"/>
  <c r="C79" i="18"/>
  <c r="F79" i="18"/>
  <c r="C63" i="18"/>
  <c r="F63" i="18"/>
  <c r="M20" i="18"/>
  <c r="J129" i="18"/>
  <c r="J60" i="18"/>
  <c r="J20" i="18"/>
  <c r="E73" i="18"/>
  <c r="F73" i="18" s="1"/>
  <c r="E144" i="18"/>
  <c r="C145" i="18"/>
  <c r="E157" i="18"/>
  <c r="E101" i="18"/>
  <c r="E60" i="18"/>
  <c r="C75" i="18"/>
  <c r="E88" i="18"/>
  <c r="E116" i="18"/>
  <c r="C117" i="18"/>
  <c r="E129" i="18"/>
  <c r="C130" i="18"/>
  <c r="L32" i="18"/>
  <c r="L45" i="18"/>
  <c r="E45" i="18"/>
  <c r="E32" i="18"/>
  <c r="C5" i="18"/>
  <c r="C10" i="18"/>
  <c r="D4" i="18"/>
  <c r="C19" i="18"/>
  <c r="C23" i="18"/>
  <c r="D17" i="18"/>
  <c r="J5" i="18"/>
  <c r="K4" i="18"/>
  <c r="J10" i="18"/>
  <c r="C20" i="18"/>
  <c r="J7" i="18"/>
  <c r="C7" i="18"/>
  <c r="L4" i="18"/>
  <c r="E4" i="18"/>
  <c r="C18" i="18"/>
  <c r="E17" i="18"/>
  <c r="C6" i="18"/>
  <c r="J23" i="18"/>
  <c r="J6" i="18"/>
  <c r="L17" i="18"/>
  <c r="J18" i="18"/>
  <c r="F4" i="18" l="1"/>
  <c r="M4" i="18"/>
  <c r="C73" i="18"/>
  <c r="C88" i="18"/>
  <c r="F88" i="18"/>
  <c r="J17" i="18"/>
  <c r="M17" i="18"/>
  <c r="C101" i="18"/>
  <c r="F101" i="18"/>
  <c r="J45" i="18"/>
  <c r="M45" i="18"/>
  <c r="C129" i="18"/>
  <c r="F129" i="18"/>
  <c r="C60" i="18"/>
  <c r="F60" i="18"/>
  <c r="C157" i="18"/>
  <c r="F157" i="18"/>
  <c r="C144" i="18"/>
  <c r="F144" i="18"/>
  <c r="C45" i="18"/>
  <c r="F45" i="18"/>
  <c r="J32" i="18"/>
  <c r="M32" i="18"/>
  <c r="F17" i="18"/>
  <c r="C32" i="18"/>
  <c r="F32" i="18"/>
  <c r="C116" i="18"/>
  <c r="F116" i="18"/>
  <c r="C4" i="18"/>
  <c r="C17" i="18"/>
  <c r="J4" i="18"/>
  <c r="B60" i="15"/>
  <c r="B59" i="15"/>
  <c r="B58" i="15"/>
  <c r="B57" i="15"/>
  <c r="B56" i="15"/>
  <c r="B55" i="15"/>
  <c r="B52" i="15"/>
  <c r="B51" i="15"/>
  <c r="B50" i="15"/>
  <c r="B49" i="15"/>
  <c r="B48" i="15"/>
  <c r="B47" i="15"/>
  <c r="B44" i="15"/>
  <c r="B43" i="15"/>
  <c r="B42" i="15"/>
  <c r="B41" i="15"/>
  <c r="B40" i="15"/>
  <c r="B39" i="15"/>
  <c r="B36" i="15"/>
  <c r="B35" i="15"/>
  <c r="B34" i="15"/>
  <c r="B33" i="15"/>
  <c r="B32" i="15"/>
  <c r="B31" i="15"/>
  <c r="B28" i="15" l="1"/>
  <c r="B27" i="15"/>
  <c r="B26" i="15"/>
  <c r="B25" i="15"/>
  <c r="B24" i="15"/>
  <c r="B23" i="15"/>
  <c r="B20" i="15"/>
  <c r="B19" i="15"/>
  <c r="B18" i="15"/>
  <c r="B17" i="15"/>
  <c r="B16" i="15"/>
  <c r="B15" i="15"/>
  <c r="B12" i="15"/>
  <c r="B11" i="15"/>
  <c r="B10" i="15"/>
  <c r="B9" i="15"/>
  <c r="B8" i="15"/>
  <c r="B7" i="15"/>
</calcChain>
</file>

<file path=xl/sharedStrings.xml><?xml version="1.0" encoding="utf-8"?>
<sst xmlns="http://schemas.openxmlformats.org/spreadsheetml/2006/main" count="2019" uniqueCount="291">
  <si>
    <t>試合データ</t>
    <rPh sb="0" eb="2">
      <t>シアイ</t>
    </rPh>
    <phoneticPr fontId="2"/>
  </si>
  <si>
    <t>利き腕</t>
    <rPh sb="0" eb="1">
      <t>キ</t>
    </rPh>
    <rPh sb="2" eb="3">
      <t>ウデ</t>
    </rPh>
    <phoneticPr fontId="2"/>
  </si>
  <si>
    <t>所属</t>
    <rPh sb="0" eb="2">
      <t>ショゾク</t>
    </rPh>
    <phoneticPr fontId="2"/>
  </si>
  <si>
    <t>所属</t>
    <rPh sb="0" eb="2">
      <t>ショゾク</t>
    </rPh>
    <phoneticPr fontId="5"/>
  </si>
  <si>
    <t>選手</t>
    <rPh sb="0" eb="2">
      <t>センシュ</t>
    </rPh>
    <phoneticPr fontId="5"/>
  </si>
  <si>
    <t>Abyell</t>
  </si>
  <si>
    <t>TOP</t>
  </si>
  <si>
    <t>RedELF</t>
  </si>
  <si>
    <t>Mallets</t>
  </si>
  <si>
    <t>利き腕</t>
    <rPh sb="0" eb="1">
      <t>キ</t>
    </rPh>
    <rPh sb="2" eb="3">
      <t>ウデ</t>
    </rPh>
    <phoneticPr fontId="5"/>
  </si>
  <si>
    <t>Abyell</t>
    <phoneticPr fontId="5"/>
  </si>
  <si>
    <t>TOP</t>
    <phoneticPr fontId="5"/>
  </si>
  <si>
    <t>RedELF</t>
    <phoneticPr fontId="5"/>
  </si>
  <si>
    <t>Mallets</t>
    <phoneticPr fontId="5"/>
  </si>
  <si>
    <t>Chiquita</t>
  </si>
  <si>
    <t>Flick</t>
  </si>
  <si>
    <t>Stop</t>
  </si>
  <si>
    <t>Push</t>
  </si>
  <si>
    <t>HAMAMOTO Yui</t>
  </si>
  <si>
    <t>HARIMOTO Miwa</t>
  </si>
  <si>
    <t>ISHIKAWA Kasumi</t>
  </si>
  <si>
    <t>KIHARA Miyuu</t>
  </si>
  <si>
    <t>NAGASAKI Miyu</t>
  </si>
  <si>
    <t>ANDO Minami</t>
  </si>
  <si>
    <t>CHENG I-Ching</t>
  </si>
  <si>
    <t>SUH Hyowon</t>
  </si>
  <si>
    <t>SAMARA Elizabeta</t>
  </si>
  <si>
    <t>SUZUKI Rika</t>
  </si>
  <si>
    <t>HIRANO Miu</t>
  </si>
  <si>
    <t>HAYATA Hina</t>
  </si>
  <si>
    <t>MORI Sakura</t>
  </si>
  <si>
    <t>MINAGAWA Yuka</t>
  </si>
  <si>
    <t>KATO Miyu</t>
  </si>
  <si>
    <t>R</t>
  </si>
  <si>
    <t>L</t>
  </si>
  <si>
    <t>Side</t>
    <phoneticPr fontId="7"/>
  </si>
  <si>
    <t>横回転</t>
    <rPh sb="0" eb="1">
      <t>ヨコ</t>
    </rPh>
    <rPh sb="1" eb="3">
      <t>カイテン</t>
    </rPh>
    <phoneticPr fontId="7"/>
  </si>
  <si>
    <t>Back</t>
    <phoneticPr fontId="7"/>
  </si>
  <si>
    <t>縦回転</t>
    <rPh sb="0" eb="1">
      <t>タテ</t>
    </rPh>
    <rPh sb="1" eb="3">
      <t>カイテン</t>
    </rPh>
    <phoneticPr fontId="7"/>
  </si>
  <si>
    <t>(Side)</t>
    <phoneticPr fontId="7"/>
  </si>
  <si>
    <t>逆横回転</t>
    <rPh sb="0" eb="1">
      <t>ギャク</t>
    </rPh>
    <rPh sb="1" eb="2">
      <t>ヨコ</t>
    </rPh>
    <rPh sb="2" eb="4">
      <t>カイテン</t>
    </rPh>
    <phoneticPr fontId="7"/>
  </si>
  <si>
    <t>Chiquita</t>
    <phoneticPr fontId="7"/>
  </si>
  <si>
    <t>チキータ</t>
    <phoneticPr fontId="7"/>
  </si>
  <si>
    <t>Flick</t>
    <phoneticPr fontId="7"/>
  </si>
  <si>
    <t>フリック</t>
    <phoneticPr fontId="7"/>
  </si>
  <si>
    <t>Stop</t>
    <phoneticPr fontId="7"/>
  </si>
  <si>
    <t>ストップ</t>
    <phoneticPr fontId="7"/>
  </si>
  <si>
    <t>Push</t>
    <phoneticPr fontId="7"/>
  </si>
  <si>
    <t>ツッツキ</t>
    <phoneticPr fontId="7"/>
  </si>
  <si>
    <t>ドライブ</t>
    <phoneticPr fontId="7"/>
  </si>
  <si>
    <t>ミユータ</t>
    <phoneticPr fontId="7"/>
  </si>
  <si>
    <t>その他</t>
    <rPh sb="2" eb="3">
      <t>タ</t>
    </rPh>
    <phoneticPr fontId="7"/>
  </si>
  <si>
    <t>Team</t>
    <phoneticPr fontId="8"/>
  </si>
  <si>
    <t>Player</t>
    <phoneticPr fontId="8"/>
  </si>
  <si>
    <t>■得点推移</t>
    <rPh sb="1" eb="3">
      <t>トクテン</t>
    </rPh>
    <rPh sb="3" eb="5">
      <t>スイイ</t>
    </rPh>
    <phoneticPr fontId="8"/>
  </si>
  <si>
    <t>ラリー</t>
    <phoneticPr fontId="8"/>
  </si>
  <si>
    <t>1st 
Game</t>
    <phoneticPr fontId="8"/>
  </si>
  <si>
    <t>2nd
Game</t>
    <phoneticPr fontId="8"/>
  </si>
  <si>
    <t>3rd
Game</t>
    <phoneticPr fontId="8"/>
  </si>
  <si>
    <t>言語</t>
    <rPh sb="0" eb="2">
      <t>ゲンゴ</t>
    </rPh>
    <phoneticPr fontId="2"/>
  </si>
  <si>
    <t>#02</t>
  </si>
  <si>
    <t>(Side)</t>
  </si>
  <si>
    <t>#03</t>
  </si>
  <si>
    <t>Side</t>
  </si>
  <si>
    <t>B</t>
  </si>
  <si>
    <t>#05</t>
  </si>
  <si>
    <t>#01</t>
  </si>
  <si>
    <t>#06</t>
  </si>
  <si>
    <t>#04</t>
  </si>
  <si>
    <t>00_01_GameCount</t>
  </si>
  <si>
    <t>00_02_Time Out</t>
  </si>
  <si>
    <t>00_03_Point</t>
  </si>
  <si>
    <t>00_04_#</t>
  </si>
  <si>
    <t>01_SV_00</t>
  </si>
  <si>
    <t>01_SV_01</t>
  </si>
  <si>
    <t>01_SV_02</t>
  </si>
  <si>
    <t>01_SV_03</t>
  </si>
  <si>
    <t>02_RV_00</t>
  </si>
  <si>
    <t>02_RV_01</t>
  </si>
  <si>
    <t>02_RV_02</t>
  </si>
  <si>
    <t>オーバーミス</t>
  </si>
  <si>
    <t>ネット</t>
  </si>
  <si>
    <t>ドライブ</t>
  </si>
  <si>
    <t>ミユータ</t>
  </si>
  <si>
    <t>■サービス得点率</t>
    <rPh sb="5" eb="7">
      <t>トクテン</t>
    </rPh>
    <rPh sb="7" eb="8">
      <t>リツ</t>
    </rPh>
    <phoneticPr fontId="8"/>
  </si>
  <si>
    <t>得点率</t>
    <rPh sb="0" eb="2">
      <t>トクテン</t>
    </rPh>
    <rPh sb="2" eb="3">
      <t>リツ</t>
    </rPh>
    <phoneticPr fontId="8"/>
  </si>
  <si>
    <t>本数</t>
    <rPh sb="0" eb="1">
      <t>ホン</t>
    </rPh>
    <rPh sb="1" eb="2">
      <t>スウ</t>
    </rPh>
    <phoneticPr fontId="8"/>
  </si>
  <si>
    <t>得点</t>
    <rPh sb="0" eb="2">
      <t>トクテン</t>
    </rPh>
    <phoneticPr fontId="8"/>
  </si>
  <si>
    <t>Total</t>
    <phoneticPr fontId="8"/>
  </si>
  <si>
    <t>■レシーブ得点率</t>
    <rPh sb="5" eb="7">
      <t>トクテン</t>
    </rPh>
    <rPh sb="7" eb="8">
      <t>リツ</t>
    </rPh>
    <phoneticPr fontId="8"/>
  </si>
  <si>
    <t>選手1</t>
    <rPh sb="0" eb="2">
      <t>センシュ</t>
    </rPh>
    <phoneticPr fontId="2"/>
  </si>
  <si>
    <t>選手2</t>
    <rPh sb="0" eb="2">
      <t>センシュ</t>
    </rPh>
    <phoneticPr fontId="2"/>
  </si>
  <si>
    <t>モード</t>
    <phoneticPr fontId="2"/>
  </si>
  <si>
    <t>4th
Game</t>
    <phoneticPr fontId="8"/>
  </si>
  <si>
    <t>5th
Game</t>
    <phoneticPr fontId="8"/>
  </si>
  <si>
    <t>6th
Game</t>
    <phoneticPr fontId="8"/>
  </si>
  <si>
    <t>7th
Game</t>
    <phoneticPr fontId="8"/>
  </si>
  <si>
    <t>ネット</t>
    <phoneticPr fontId="5"/>
  </si>
  <si>
    <t>オーバーミス</t>
    <phoneticPr fontId="5"/>
  </si>
  <si>
    <t>Chiquita</t>
    <phoneticPr fontId="5"/>
  </si>
  <si>
    <t>Flick</t>
    <phoneticPr fontId="5"/>
  </si>
  <si>
    <t>Push</t>
    <phoneticPr fontId="5"/>
  </si>
  <si>
    <t>Stop</t>
    <phoneticPr fontId="5"/>
  </si>
  <si>
    <t>その他</t>
  </si>
  <si>
    <t>その他</t>
    <rPh sb="2" eb="3">
      <t>タ</t>
    </rPh>
    <phoneticPr fontId="5"/>
  </si>
  <si>
    <t>ドライブ</t>
    <phoneticPr fontId="5"/>
  </si>
  <si>
    <t>ミユータ</t>
    <phoneticPr fontId="5"/>
  </si>
  <si>
    <t>空振り</t>
  </si>
  <si>
    <t>空振り</t>
    <rPh sb="0" eb="2">
      <t>カラブ</t>
    </rPh>
    <phoneticPr fontId="5"/>
  </si>
  <si>
    <t>Gain</t>
    <phoneticPr fontId="5"/>
  </si>
  <si>
    <t>Loose</t>
    <phoneticPr fontId="5"/>
  </si>
  <si>
    <t>Back</t>
    <phoneticPr fontId="5"/>
  </si>
  <si>
    <t>Side</t>
    <phoneticPr fontId="5"/>
  </si>
  <si>
    <t>(Side)</t>
    <phoneticPr fontId="5"/>
  </si>
  <si>
    <t>ネットイン</t>
    <phoneticPr fontId="5"/>
  </si>
  <si>
    <t>日本語</t>
    <rPh sb="0" eb="3">
      <t>ニホンゴ</t>
    </rPh>
    <phoneticPr fontId="5"/>
  </si>
  <si>
    <t>中国語</t>
    <rPh sb="0" eb="2">
      <t>チュウゴク</t>
    </rPh>
    <rPh sb="2" eb="3">
      <t>ゴ</t>
    </rPh>
    <phoneticPr fontId="5"/>
  </si>
  <si>
    <t>デフォルト</t>
    <phoneticPr fontId="5"/>
  </si>
  <si>
    <t>英語</t>
    <rPh sb="0" eb="2">
      <t>エイゴ</t>
    </rPh>
    <phoneticPr fontId="5"/>
  </si>
  <si>
    <t>Banana</t>
  </si>
  <si>
    <t>Short Stop</t>
  </si>
  <si>
    <t>Other</t>
  </si>
  <si>
    <t>Top Spin</t>
  </si>
  <si>
    <t>Strawberry</t>
  </si>
  <si>
    <r>
      <t>N</t>
    </r>
    <r>
      <rPr>
        <sz val="11"/>
        <color theme="1"/>
        <rFont val="游ゴシック"/>
        <family val="3"/>
        <charset val="128"/>
      </rPr>
      <t>et</t>
    </r>
    <phoneticPr fontId="5"/>
  </si>
  <si>
    <r>
      <t>M</t>
    </r>
    <r>
      <rPr>
        <sz val="11"/>
        <color theme="1"/>
        <rFont val="游ゴシック"/>
        <family val="3"/>
        <charset val="128"/>
      </rPr>
      <t>iss</t>
    </r>
    <phoneticPr fontId="5"/>
  </si>
  <si>
    <r>
      <t>B</t>
    </r>
    <r>
      <rPr>
        <sz val="11"/>
        <color theme="1"/>
        <rFont val="游ゴシック"/>
        <family val="3"/>
        <charset val="128"/>
      </rPr>
      <t>ack Spin</t>
    </r>
    <phoneticPr fontId="5"/>
  </si>
  <si>
    <r>
      <t>S</t>
    </r>
    <r>
      <rPr>
        <sz val="11"/>
        <color theme="1"/>
        <rFont val="游ゴシック"/>
        <family val="3"/>
        <charset val="128"/>
      </rPr>
      <t>ide Spin</t>
    </r>
    <phoneticPr fontId="5"/>
  </si>
  <si>
    <r>
      <t>R</t>
    </r>
    <r>
      <rPr>
        <sz val="11"/>
        <color theme="1"/>
        <rFont val="游ゴシック"/>
        <family val="3"/>
        <charset val="128"/>
      </rPr>
      <t>everse Side Spin</t>
    </r>
    <phoneticPr fontId="5"/>
  </si>
  <si>
    <r>
      <t>G</t>
    </r>
    <r>
      <rPr>
        <sz val="11"/>
        <color theme="1"/>
        <rFont val="游ゴシック"/>
        <family val="3"/>
        <charset val="128"/>
      </rPr>
      <t>ain</t>
    </r>
    <phoneticPr fontId="5"/>
  </si>
  <si>
    <r>
      <t>L</t>
    </r>
    <r>
      <rPr>
        <sz val="11"/>
        <color theme="1"/>
        <rFont val="游ゴシック"/>
        <family val="3"/>
        <charset val="128"/>
      </rPr>
      <t>oose</t>
    </r>
    <phoneticPr fontId="5"/>
  </si>
  <si>
    <r>
      <t>C</t>
    </r>
    <r>
      <rPr>
        <sz val="11"/>
        <color theme="1"/>
        <rFont val="游ゴシック"/>
        <family val="3"/>
        <charset val="128"/>
      </rPr>
      <t>ourse</t>
    </r>
    <phoneticPr fontId="5"/>
  </si>
  <si>
    <t>得点</t>
    <rPh sb="0" eb="2">
      <t>トクテン</t>
    </rPh>
    <phoneticPr fontId="5"/>
  </si>
  <si>
    <t>失点</t>
    <rPh sb="0" eb="2">
      <t>シッテン</t>
    </rPh>
    <phoneticPr fontId="5"/>
  </si>
  <si>
    <t>コース</t>
    <phoneticPr fontId="5"/>
  </si>
  <si>
    <t>バウンド</t>
    <phoneticPr fontId="5"/>
  </si>
  <si>
    <t>部分</t>
  </si>
  <si>
    <t>完全</t>
  </si>
  <si>
    <t>一致方法</t>
    <rPh sb="0" eb="2">
      <t>イッチ</t>
    </rPh>
    <rPh sb="2" eb="4">
      <t>ホウホウ</t>
    </rPh>
    <phoneticPr fontId="5"/>
  </si>
  <si>
    <t>■RV バウンド</t>
    <phoneticPr fontId="5"/>
  </si>
  <si>
    <t>■SV バウンド</t>
    <phoneticPr fontId="5"/>
  </si>
  <si>
    <t>SV Player</t>
    <phoneticPr fontId="8"/>
  </si>
  <si>
    <t>RV Player</t>
    <phoneticPr fontId="8"/>
  </si>
  <si>
    <t>得点推移</t>
    <rPh sb="0" eb="2">
      <t>トクテン</t>
    </rPh>
    <rPh sb="2" eb="4">
      <t>スイイ</t>
    </rPh>
    <phoneticPr fontId="5"/>
  </si>
  <si>
    <t>サービス</t>
    <phoneticPr fontId="5"/>
  </si>
  <si>
    <t>レシーブ</t>
    <phoneticPr fontId="5"/>
  </si>
  <si>
    <t xml:space="preserve">Receive </t>
    <phoneticPr fontId="5"/>
  </si>
  <si>
    <t xml:space="preserve">Service </t>
    <phoneticPr fontId="5"/>
  </si>
  <si>
    <t>得点率</t>
    <rPh sb="0" eb="2">
      <t>トクテン</t>
    </rPh>
    <rPh sb="2" eb="3">
      <t>リツ</t>
    </rPh>
    <phoneticPr fontId="5"/>
  </si>
  <si>
    <t>Asteeda</t>
  </si>
  <si>
    <t>Asteeda</t>
    <phoneticPr fontId="5"/>
  </si>
  <si>
    <t>名前</t>
  </si>
  <si>
    <t>ポジション</t>
  </si>
  <si>
    <t>デュレーション</t>
  </si>
  <si>
    <t>ネットミス</t>
    <phoneticPr fontId="5"/>
  </si>
  <si>
    <t>1st</t>
    <phoneticPr fontId="5"/>
  </si>
  <si>
    <t>2nd</t>
    <phoneticPr fontId="5"/>
  </si>
  <si>
    <t>3rd</t>
    <phoneticPr fontId="5"/>
  </si>
  <si>
    <t>4th</t>
    <phoneticPr fontId="5"/>
  </si>
  <si>
    <t>5th</t>
    <phoneticPr fontId="5"/>
  </si>
  <si>
    <t>6th</t>
    <phoneticPr fontId="5"/>
  </si>
  <si>
    <t>7th</t>
    <phoneticPr fontId="5"/>
  </si>
  <si>
    <t>■Total サービス得点率</t>
    <rPh sb="11" eb="13">
      <t>トクテン</t>
    </rPh>
    <rPh sb="13" eb="14">
      <t>リツ</t>
    </rPh>
    <phoneticPr fontId="8"/>
  </si>
  <si>
    <t>■Total レシーブ得点率</t>
    <rPh sb="11" eb="13">
      <t>トクテン</t>
    </rPh>
    <rPh sb="13" eb="14">
      <t>リツ</t>
    </rPh>
    <phoneticPr fontId="8"/>
  </si>
  <si>
    <t>■2nd サービス得点率</t>
    <rPh sb="9" eb="11">
      <t>トクテン</t>
    </rPh>
    <rPh sb="11" eb="12">
      <t>リツ</t>
    </rPh>
    <phoneticPr fontId="8"/>
  </si>
  <si>
    <t>■1st サービス得点率</t>
    <rPh sb="9" eb="11">
      <t>トクテン</t>
    </rPh>
    <rPh sb="11" eb="12">
      <t>リツ</t>
    </rPh>
    <phoneticPr fontId="8"/>
  </si>
  <si>
    <t>■1st レシーブ得点率</t>
    <rPh sb="9" eb="11">
      <t>トクテン</t>
    </rPh>
    <rPh sb="11" eb="12">
      <t>リツ</t>
    </rPh>
    <phoneticPr fontId="8"/>
  </si>
  <si>
    <t>■2nd レシーブ得点率</t>
    <rPh sb="9" eb="11">
      <t>トクテン</t>
    </rPh>
    <rPh sb="11" eb="12">
      <t>リツ</t>
    </rPh>
    <phoneticPr fontId="8"/>
  </si>
  <si>
    <t>■3rd サービス得点率</t>
    <rPh sb="9" eb="11">
      <t>トクテン</t>
    </rPh>
    <rPh sb="11" eb="12">
      <t>リツ</t>
    </rPh>
    <phoneticPr fontId="8"/>
  </si>
  <si>
    <t>■3rd レシーブ得点率</t>
    <rPh sb="9" eb="11">
      <t>トクテン</t>
    </rPh>
    <rPh sb="11" eb="12">
      <t>リツ</t>
    </rPh>
    <phoneticPr fontId="8"/>
  </si>
  <si>
    <t>■4th サービス得点率</t>
    <rPh sb="9" eb="11">
      <t>トクテン</t>
    </rPh>
    <rPh sb="11" eb="12">
      <t>リツ</t>
    </rPh>
    <phoneticPr fontId="8"/>
  </si>
  <si>
    <t>■4th レシーブ得点率</t>
    <rPh sb="9" eb="11">
      <t>トクテン</t>
    </rPh>
    <rPh sb="11" eb="12">
      <t>リツ</t>
    </rPh>
    <phoneticPr fontId="8"/>
  </si>
  <si>
    <t>■5th サービス得点率</t>
    <rPh sb="9" eb="11">
      <t>トクテン</t>
    </rPh>
    <rPh sb="11" eb="12">
      <t>リツ</t>
    </rPh>
    <phoneticPr fontId="8"/>
  </si>
  <si>
    <t>■5th レシーブ得点率</t>
    <rPh sb="9" eb="11">
      <t>トクテン</t>
    </rPh>
    <rPh sb="11" eb="12">
      <t>リツ</t>
    </rPh>
    <phoneticPr fontId="8"/>
  </si>
  <si>
    <t>Back</t>
  </si>
  <si>
    <t>失点</t>
    <rPh sb="0" eb="2">
      <t>シッテン</t>
    </rPh>
    <phoneticPr fontId="8"/>
  </si>
  <si>
    <t>ネットイン</t>
  </si>
  <si>
    <t>Gain</t>
  </si>
  <si>
    <t>Loose</t>
  </si>
  <si>
    <t>■SV バウンド</t>
  </si>
  <si>
    <t>Total</t>
    <phoneticPr fontId="5"/>
  </si>
  <si>
    <t>OMODA Kotomi</t>
  </si>
  <si>
    <t>MIMURA Yuka</t>
  </si>
  <si>
    <t>KIMURA Kasumi</t>
  </si>
  <si>
    <t>TANIOKA Ayuka</t>
  </si>
  <si>
    <t>MAKINO Mirei</t>
  </si>
  <si>
    <t>FUJIMOTO Waka</t>
  </si>
  <si>
    <t>HAN Ying</t>
  </si>
  <si>
    <t>SUGITA Haruna</t>
  </si>
  <si>
    <t>OKADA Kotona</t>
  </si>
  <si>
    <t>OKAWA Mami</t>
  </si>
  <si>
    <t>SASAO Asuka</t>
  </si>
  <si>
    <t>ASO Reina</t>
  </si>
  <si>
    <t>UESAWA Anne</t>
  </si>
  <si>
    <t>YU Mengyu</t>
  </si>
  <si>
    <t>YUMOTO Fuwa</t>
  </si>
  <si>
    <t>SHINOHARA Yura</t>
  </si>
  <si>
    <t>AKAE Kaho</t>
  </si>
  <si>
    <t>FENG Tianwei</t>
  </si>
  <si>
    <t>SHAN Xiaona</t>
  </si>
  <si>
    <t>NAGAO Takako</t>
  </si>
  <si>
    <t>OJIO Haruna</t>
  </si>
  <si>
    <t>SHIBATA Saki</t>
  </si>
  <si>
    <t>ODO Satsuki</t>
  </si>
  <si>
    <t>NAMBA Yurika</t>
  </si>
  <si>
    <t>HASHIMOTO Honoka</t>
  </si>
  <si>
    <t>IDESAWA Kyoka</t>
  </si>
  <si>
    <t>SATO Hitomi</t>
  </si>
  <si>
    <t>YOKOI Sakura</t>
  </si>
  <si>
    <t>SHIOMI Maki</t>
  </si>
  <si>
    <t>挑</t>
  </si>
  <si>
    <t>其他</t>
  </si>
  <si>
    <t>拉</t>
  </si>
  <si>
    <t>拐</t>
  </si>
  <si>
    <t>下网</t>
  </si>
  <si>
    <t>擦网</t>
  </si>
  <si>
    <t>出界</t>
  </si>
  <si>
    <t>得分</t>
  </si>
  <si>
    <t>得分率</t>
  </si>
  <si>
    <t>落点</t>
  </si>
  <si>
    <r>
      <rPr>
        <sz val="11"/>
        <color theme="1"/>
        <rFont val="游ゴシック"/>
        <family val="3"/>
        <charset val="134"/>
      </rPr>
      <t>转</t>
    </r>
    <r>
      <rPr>
        <sz val="11"/>
        <color theme="1"/>
        <rFont val="ＭＳ ゴシック"/>
        <family val="3"/>
        <charset val="128"/>
      </rPr>
      <t>不</t>
    </r>
    <r>
      <rPr>
        <sz val="11"/>
        <color theme="1"/>
        <rFont val="游ゴシック"/>
        <family val="3"/>
        <charset val="134"/>
      </rPr>
      <t>转</t>
    </r>
  </si>
  <si>
    <r>
      <rPr>
        <sz val="11"/>
        <color theme="1"/>
        <rFont val="游ゴシック"/>
        <family val="3"/>
        <charset val="128"/>
      </rPr>
      <t>侧</t>
    </r>
    <r>
      <rPr>
        <sz val="11"/>
        <color theme="1"/>
        <rFont val="ＭＳ ゴシック"/>
        <family val="3"/>
        <charset val="128"/>
      </rPr>
      <t>旋</t>
    </r>
  </si>
  <si>
    <r>
      <t>逆</t>
    </r>
    <r>
      <rPr>
        <sz val="11"/>
        <color theme="1"/>
        <rFont val="游ゴシック"/>
        <family val="3"/>
        <charset val="128"/>
      </rPr>
      <t>侧</t>
    </r>
    <r>
      <rPr>
        <sz val="11"/>
        <color theme="1"/>
        <rFont val="ＭＳ ゴシック"/>
        <family val="3"/>
        <charset val="128"/>
      </rPr>
      <t>旋</t>
    </r>
  </si>
  <si>
    <r>
      <rPr>
        <sz val="11"/>
        <color theme="1"/>
        <rFont val="游ゴシック"/>
        <family val="3"/>
        <charset val="128"/>
      </rPr>
      <t>拧</t>
    </r>
  </si>
  <si>
    <r>
      <t>劈</t>
    </r>
    <r>
      <rPr>
        <sz val="11"/>
        <color theme="1"/>
        <rFont val="游ゴシック"/>
        <family val="3"/>
        <charset val="128"/>
      </rPr>
      <t>长</t>
    </r>
  </si>
  <si>
    <r>
      <rPr>
        <sz val="11"/>
        <color theme="1"/>
        <rFont val="游ゴシック"/>
        <family val="3"/>
        <charset val="128"/>
      </rPr>
      <t>摆</t>
    </r>
    <r>
      <rPr>
        <sz val="11"/>
        <color theme="1"/>
        <rFont val="ＭＳ ゴシック"/>
        <family val="3"/>
        <charset val="128"/>
      </rPr>
      <t>短</t>
    </r>
  </si>
  <si>
    <r>
      <t>失</t>
    </r>
    <r>
      <rPr>
        <sz val="11"/>
        <color theme="1"/>
        <rFont val="游ゴシック"/>
        <family val="3"/>
        <charset val="128"/>
      </rPr>
      <t>误</t>
    </r>
  </si>
  <si>
    <r>
      <rPr>
        <sz val="11"/>
        <color theme="1"/>
        <rFont val="游ゴシック"/>
        <family val="3"/>
        <charset val="128"/>
      </rPr>
      <t>发</t>
    </r>
    <r>
      <rPr>
        <sz val="11"/>
        <color theme="1"/>
        <rFont val="ＭＳ ゴシック"/>
        <family val="3"/>
        <charset val="128"/>
      </rPr>
      <t>球</t>
    </r>
  </si>
  <si>
    <r>
      <t>接</t>
    </r>
    <r>
      <rPr>
        <sz val="11"/>
        <color theme="1"/>
        <rFont val="游ゴシック"/>
        <family val="3"/>
        <charset val="128"/>
      </rPr>
      <t>发</t>
    </r>
    <r>
      <rPr>
        <sz val="11"/>
        <color theme="1"/>
        <rFont val="ＭＳ ゴシック"/>
        <family val="3"/>
        <charset val="128"/>
      </rPr>
      <t>球</t>
    </r>
  </si>
  <si>
    <t/>
  </si>
  <si>
    <t>#09-</t>
  </si>
  <si>
    <t>SV Let</t>
  </si>
  <si>
    <t>日本語</t>
  </si>
  <si>
    <t>02_RV_03</t>
  </si>
  <si>
    <t>FMS</t>
  </si>
  <si>
    <t>F</t>
  </si>
  <si>
    <t>C:\Users\IKEBUKURO Haruhiko\Desktop\20220227_01\20220227_04_HIRANO_NAMBA\20220227_04_HIRANO_NAMBA.csv</t>
    <phoneticPr fontId="2"/>
  </si>
  <si>
    <t>R</t>
    <phoneticPr fontId="2"/>
  </si>
  <si>
    <t>#10-</t>
  </si>
  <si>
    <t>BS</t>
  </si>
  <si>
    <t>HIR 0|0-0|0 NAM</t>
    <phoneticPr fontId="5"/>
  </si>
  <si>
    <t>HIR 0|0-1|0 NAM</t>
    <phoneticPr fontId="5"/>
  </si>
  <si>
    <t>HIR 0|1-1|0 NAM</t>
    <phoneticPr fontId="5"/>
  </si>
  <si>
    <t>HIR 0|2-1|0 NAM</t>
    <phoneticPr fontId="5"/>
  </si>
  <si>
    <t>HIR 0|3-1|0 NAM</t>
    <phoneticPr fontId="5"/>
  </si>
  <si>
    <t>HIR 0|3-2|0 NAM</t>
    <phoneticPr fontId="5"/>
  </si>
  <si>
    <t>HIR 0|4-2|0 NAM</t>
    <phoneticPr fontId="5"/>
  </si>
  <si>
    <t>HIR 0|4-3|0 NAM</t>
    <phoneticPr fontId="5"/>
  </si>
  <si>
    <t>HIR 0|5-3|0 NAM</t>
    <phoneticPr fontId="5"/>
  </si>
  <si>
    <t>HIR 0|5-4|0 NAM</t>
    <phoneticPr fontId="5"/>
  </si>
  <si>
    <t>HIR 0|6-4|0 NAM</t>
    <phoneticPr fontId="5"/>
  </si>
  <si>
    <t>HIR 0|6-5|0 NAM</t>
    <phoneticPr fontId="5"/>
  </si>
  <si>
    <t>HIR 0|7-5|0 NAM</t>
    <phoneticPr fontId="5"/>
  </si>
  <si>
    <t>HIR 0|8-5|0 NAM</t>
    <phoneticPr fontId="5"/>
  </si>
  <si>
    <t>HIR 0|8-6|0 NAM</t>
    <phoneticPr fontId="5"/>
  </si>
  <si>
    <t>HIR 0|9-6|0 NAM</t>
    <phoneticPr fontId="5"/>
  </si>
  <si>
    <t>HIR 0|10-6|0 NAM</t>
    <phoneticPr fontId="5"/>
  </si>
  <si>
    <t>HIR 1|0-0|0 NAM</t>
    <phoneticPr fontId="5"/>
  </si>
  <si>
    <t>HIR 1|1-0|0 NAM</t>
    <phoneticPr fontId="5"/>
  </si>
  <si>
    <t>HIR 1|1-1|0 NAM</t>
    <phoneticPr fontId="5"/>
  </si>
  <si>
    <t>HIR 1|2-1|0 NAM</t>
    <phoneticPr fontId="5"/>
  </si>
  <si>
    <t>HIR 1|3-1|0 NAM</t>
    <phoneticPr fontId="5"/>
  </si>
  <si>
    <t>HIR 1|4-1|0 NAM</t>
    <phoneticPr fontId="5"/>
  </si>
  <si>
    <t>HIR 1|5-1|0 NAM</t>
    <phoneticPr fontId="5"/>
  </si>
  <si>
    <t>HIR 1|5-2|0 NAM</t>
    <phoneticPr fontId="5"/>
  </si>
  <si>
    <t>HIR 1|5-3|0 NAM</t>
    <phoneticPr fontId="5"/>
  </si>
  <si>
    <t>HIR 1|6-3|0 NAM</t>
    <phoneticPr fontId="5"/>
  </si>
  <si>
    <t>HIR 1|7-3|0 NAM</t>
    <phoneticPr fontId="5"/>
  </si>
  <si>
    <t>HIR 1|7-4|0 NAM</t>
    <phoneticPr fontId="5"/>
  </si>
  <si>
    <t>HIR 1|8-4|0 NAM</t>
    <phoneticPr fontId="5"/>
  </si>
  <si>
    <t>HIR 1|8-5|0 NAM</t>
    <phoneticPr fontId="5"/>
  </si>
  <si>
    <t>HIR 1|8-6|0 NAM</t>
    <phoneticPr fontId="5"/>
  </si>
  <si>
    <t>HIR 1|9-6|0 NAM</t>
    <phoneticPr fontId="5"/>
  </si>
  <si>
    <t>HIR 1|9-7|0 NAM</t>
    <phoneticPr fontId="5"/>
  </si>
  <si>
    <t>HIR 1|10-7|0 NAM</t>
    <phoneticPr fontId="5"/>
  </si>
  <si>
    <t>HIR 2|0-0|0 NAM</t>
    <phoneticPr fontId="5"/>
  </si>
  <si>
    <t>HIR 2|1-0|0 NAM</t>
    <phoneticPr fontId="5"/>
  </si>
  <si>
    <t>HIR 2|1-1|0 NAM</t>
    <phoneticPr fontId="5"/>
  </si>
  <si>
    <t>HIR 2|2-1|0 NAM</t>
    <phoneticPr fontId="5"/>
  </si>
  <si>
    <t>HIR 2|3-1|0 NAM</t>
    <phoneticPr fontId="5"/>
  </si>
  <si>
    <t>HIR 2|4-1|0 NAM</t>
    <phoneticPr fontId="5"/>
  </si>
  <si>
    <t>HIR 2|4-2|0 NAM</t>
    <phoneticPr fontId="5"/>
  </si>
  <si>
    <t>HIR 2|5-2|0 NAM</t>
    <phoneticPr fontId="5"/>
  </si>
  <si>
    <t>HIR 2|6-2|0 NAM</t>
    <phoneticPr fontId="5"/>
  </si>
  <si>
    <t>HIR 2|6-3|0 NAM</t>
    <phoneticPr fontId="5"/>
  </si>
  <si>
    <t>HIR 2|7-3|0 NAM</t>
    <phoneticPr fontId="5"/>
  </si>
  <si>
    <t>HIR 2|7-4|0 NAM</t>
    <phoneticPr fontId="5"/>
  </si>
  <si>
    <t>HIR 2|7-5|0 NAM</t>
    <phoneticPr fontId="5"/>
  </si>
  <si>
    <t>HIR 2|8-5|0 NAM</t>
    <phoneticPr fontId="5"/>
  </si>
  <si>
    <t>HIR 2|9-5|0 NAM</t>
    <phoneticPr fontId="5"/>
  </si>
  <si>
    <t>HIR 2|10-5|0 NAM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</si>
</sst>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(0%\)"/>
    <numFmt numFmtId="177" formatCode="\+0;\-0;&quot;±0&quot;"/>
  </numFmts>
  <fonts count="17" x14ac:knownFonts="1">
    <font>
      <sz val="11"/>
      <color theme="1"/>
      <name val="游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ゴシック"/>
      <family val="2"/>
      <charset val="128"/>
    </font>
    <font>
      <sz val="10"/>
      <color theme="1"/>
      <name val="ＭＳ ゴシック"/>
      <family val="2"/>
      <charset val="128"/>
    </font>
    <font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b/>
      <sz val="11"/>
      <color theme="0" tint="-0.499984740745262"/>
      <name val="游ゴシック"/>
      <family val="3"/>
      <charset val="128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color theme="1"/>
      <name val="ＭＳ Ｐゴシック"/>
      <family val="2"/>
      <scheme val="minor"/>
    </font>
    <font>
      <sz val="12"/>
      <color theme="1"/>
      <name val="游ゴシック"/>
      <family val="3"/>
      <charset val="128"/>
    </font>
    <font>
      <sz val="11"/>
      <color theme="0"/>
      <name val="游ゴシック"/>
      <family val="3"/>
      <charset val="128"/>
    </font>
    <font>
      <sz val="11"/>
      <color rgb="FFFF00FF"/>
      <name val="游ゴシック"/>
      <family val="3"/>
      <charset val="128"/>
    </font>
    <font>
      <sz val="11"/>
      <color rgb="FF0000FF"/>
      <name val="游ゴシック"/>
      <family val="3"/>
      <charset val="128"/>
    </font>
    <font>
      <sz val="11"/>
      <color theme="1"/>
      <name val="游ゴシック"/>
      <family val="3"/>
      <charset val="134"/>
    </font>
    <font>
      <sz val="6"/>
      <color theme="1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45"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0" tint="-0.14996795556505021"/>
        <bgColor indexed="64"/>
      </patternFill>
    </fill>
  </fills>
  <borders count="3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ck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ck">
        <color theme="0" tint="-0.24994659260841701"/>
      </bottom>
      <diagonal/>
    </border>
    <border>
      <left/>
      <right/>
      <top style="thin">
        <color theme="0" tint="-0.24994659260841701"/>
      </top>
      <bottom style="thick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ck">
        <color theme="0" tint="-0.24994659260841701"/>
      </bottom>
      <diagonal/>
    </border>
    <border>
      <left style="thin">
        <color theme="0" tint="-0.24994659260841701"/>
      </left>
      <right/>
      <top style="thick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ck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ck">
        <color theme="0" tint="-0.24994659260841701"/>
      </top>
      <bottom/>
      <diagonal/>
    </border>
    <border>
      <left/>
      <right style="thin">
        <color theme="0" tint="-0.24994659260841701"/>
      </right>
      <top style="thick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ck">
        <color theme="0" tint="-0.24994659260841701"/>
      </bottom>
      <diagonal/>
    </border>
  </borders>
  <cellStyleXfs count="5">
    <xf numFmtId="0" fontId="0" fillId="0" borderId="0">
      <alignment vertical="center"/>
    </xf>
    <xf numFmtId="0" fontId="10" fillId="0" borderId="0"/>
    <xf numFmtId="0" fontId="3" fillId="0" borderId="0">
      <alignment vertical="center"/>
    </xf>
    <xf numFmtId="0" fontId="1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192">
    <xf numFmtId="0" fontId="0" fillId="0" borderId="0" xfId="0">
      <alignment vertical="center"/>
    </xf>
    <xf numFmtId="49" fontId="4" fillId="0" borderId="0" xfId="0" applyNumberFormat="1" applyFont="1" applyBorder="1" applyAlignment="1">
      <alignment vertical="center"/>
    </xf>
    <xf numFmtId="0" fontId="0" fillId="0" borderId="0" xfId="0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4" fillId="0" borderId="0" xfId="0" applyNumberFormat="1" applyFont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49" fontId="4" fillId="0" borderId="3" xfId="0" applyNumberFormat="1" applyFont="1" applyBorder="1" applyAlignment="1">
      <alignment vertical="center"/>
    </xf>
    <xf numFmtId="49" fontId="6" fillId="0" borderId="3" xfId="0" applyNumberFormat="1" applyFont="1" applyFill="1" applyBorder="1" applyAlignment="1">
      <alignment horizontal="center" vertical="center"/>
    </xf>
    <xf numFmtId="49" fontId="6" fillId="4" borderId="0" xfId="0" applyNumberFormat="1" applyFont="1" applyFill="1" applyBorder="1" applyAlignment="1">
      <alignment horizontal="right" vertical="center"/>
    </xf>
    <xf numFmtId="0" fontId="0" fillId="0" borderId="0" xfId="0" applyAlignment="1"/>
    <xf numFmtId="0" fontId="0" fillId="0" borderId="0" xfId="0" applyAlignment="1">
      <alignment shrinkToFit="1"/>
    </xf>
    <xf numFmtId="0" fontId="9" fillId="0" borderId="0" xfId="0" applyFont="1" applyAlignment="1">
      <alignment horizontal="center"/>
    </xf>
    <xf numFmtId="0" fontId="0" fillId="0" borderId="6" xfId="0" applyBorder="1" applyAlignment="1">
      <alignment shrinkToFi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shrinkToFit="1"/>
    </xf>
    <xf numFmtId="0" fontId="0" fillId="0" borderId="0" xfId="0" applyAlignment="1">
      <alignment horizontal="center"/>
    </xf>
    <xf numFmtId="0" fontId="0" fillId="0" borderId="12" xfId="0" applyBorder="1" applyAlignment="1">
      <alignment shrinkToFit="1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9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 shrinkToFit="1"/>
    </xf>
    <xf numFmtId="49" fontId="4" fillId="0" borderId="3" xfId="0" applyNumberFormat="1" applyFont="1" applyBorder="1" applyAlignment="1">
      <alignment horizontal="center" vertical="center"/>
    </xf>
    <xf numFmtId="0" fontId="4" fillId="0" borderId="1" xfId="3" applyFont="1" applyBorder="1" applyAlignment="1">
      <alignment horizontal="center" vertical="center"/>
    </xf>
    <xf numFmtId="0" fontId="4" fillId="0" borderId="1" xfId="3" applyFont="1" applyFill="1" applyBorder="1" applyAlignment="1">
      <alignment horizontal="center" vertical="center"/>
    </xf>
    <xf numFmtId="0" fontId="0" fillId="0" borderId="0" xfId="0" applyFont="1" applyAlignment="1"/>
    <xf numFmtId="0" fontId="0" fillId="0" borderId="0" xfId="0" applyFont="1" applyAlignment="1">
      <alignment shrinkToFit="1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0" xfId="0" applyNumberFormat="1" applyFont="1" applyAlignment="1"/>
    <xf numFmtId="0" fontId="0" fillId="0" borderId="0" xfId="4" applyNumberFormat="1" applyFont="1" applyAlignment="1">
      <alignment horizontal="center"/>
    </xf>
    <xf numFmtId="9" fontId="0" fillId="0" borderId="0" xfId="0" applyNumberFormat="1" applyFont="1" applyAlignment="1"/>
    <xf numFmtId="176" fontId="0" fillId="0" borderId="0" xfId="0" applyNumberFormat="1">
      <alignment vertical="center"/>
    </xf>
    <xf numFmtId="49" fontId="11" fillId="0" borderId="0" xfId="0" applyNumberFormat="1" applyFont="1">
      <alignment vertical="center"/>
    </xf>
    <xf numFmtId="0" fontId="12" fillId="0" borderId="0" xfId="0" applyFont="1">
      <alignment vertical="center"/>
    </xf>
    <xf numFmtId="176" fontId="12" fillId="0" borderId="0" xfId="0" applyNumberFormat="1" applyFont="1">
      <alignment vertic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>
      <alignment vertical="center"/>
    </xf>
    <xf numFmtId="176" fontId="13" fillId="0" borderId="0" xfId="0" applyNumberFormat="1" applyFont="1">
      <alignment vertical="center"/>
    </xf>
    <xf numFmtId="0" fontId="13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176" fontId="11" fillId="0" borderId="0" xfId="0" applyNumberFormat="1" applyFont="1">
      <alignment vertical="center"/>
    </xf>
    <xf numFmtId="0" fontId="11" fillId="0" borderId="0" xfId="0" applyNumberFormat="1" applyFont="1">
      <alignment vertic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0" fillId="0" borderId="1" xfId="3" applyFont="1" applyFill="1" applyBorder="1" applyAlignment="1">
      <alignment horizontal="center" vertical="center"/>
    </xf>
    <xf numFmtId="0" fontId="0" fillId="0" borderId="1" xfId="3" applyFont="1" applyBorder="1" applyAlignment="1">
      <alignment horizontal="center" vertical="center"/>
    </xf>
    <xf numFmtId="0" fontId="4" fillId="0" borderId="17" xfId="3" applyFont="1" applyBorder="1" applyAlignment="1">
      <alignment horizontal="center" vertical="center"/>
    </xf>
    <xf numFmtId="0" fontId="0" fillId="0" borderId="17" xfId="3" applyFont="1" applyBorder="1" applyAlignment="1">
      <alignment horizontal="center" vertical="center"/>
    </xf>
    <xf numFmtId="0" fontId="4" fillId="0" borderId="2" xfId="3" applyFont="1" applyBorder="1" applyAlignment="1">
      <alignment horizontal="center" vertical="center"/>
    </xf>
    <xf numFmtId="49" fontId="0" fillId="0" borderId="4" xfId="0" applyNumberFormat="1" applyBorder="1" applyAlignment="1">
      <alignment horizontal="center" shrinkToFit="1"/>
    </xf>
    <xf numFmtId="0" fontId="0" fillId="0" borderId="0" xfId="0" applyFont="1" applyBorder="1" applyAlignment="1"/>
    <xf numFmtId="0" fontId="0" fillId="3" borderId="22" xfId="0" applyFont="1" applyFill="1" applyBorder="1" applyAlignment="1">
      <alignment horizontal="center"/>
    </xf>
    <xf numFmtId="0" fontId="0" fillId="3" borderId="22" xfId="0" applyFont="1" applyFill="1" applyBorder="1" applyAlignment="1">
      <alignment horizontal="center" shrinkToFit="1"/>
    </xf>
    <xf numFmtId="9" fontId="0" fillId="3" borderId="22" xfId="0" applyNumberFormat="1" applyFont="1" applyFill="1" applyBorder="1" applyAlignment="1"/>
    <xf numFmtId="0" fontId="0" fillId="3" borderId="22" xfId="0" applyNumberFormat="1" applyFont="1" applyFill="1" applyBorder="1" applyAlignment="1">
      <alignment horizontal="center"/>
    </xf>
    <xf numFmtId="0" fontId="0" fillId="0" borderId="22" xfId="0" applyFont="1" applyBorder="1" applyAlignment="1">
      <alignment shrinkToFit="1"/>
    </xf>
    <xf numFmtId="9" fontId="0" fillId="0" borderId="22" xfId="4" applyNumberFormat="1" applyFont="1" applyBorder="1" applyAlignment="1">
      <alignment horizontal="center" shrinkToFit="1"/>
    </xf>
    <xf numFmtId="0" fontId="0" fillId="0" borderId="22" xfId="4" applyNumberFormat="1" applyFont="1" applyBorder="1" applyAlignment="1">
      <alignment horizontal="center" shrinkToFit="1"/>
    </xf>
    <xf numFmtId="0" fontId="0" fillId="0" borderId="0" xfId="0" applyFont="1" applyBorder="1" applyAlignment="1">
      <alignment shrinkToFit="1"/>
    </xf>
    <xf numFmtId="49" fontId="0" fillId="0" borderId="22" xfId="0" applyNumberFormat="1" applyFont="1" applyBorder="1" applyAlignment="1">
      <alignment shrinkToFit="1"/>
    </xf>
    <xf numFmtId="9" fontId="0" fillId="0" borderId="0" xfId="0" applyNumberFormat="1" applyFont="1" applyBorder="1" applyAlignment="1">
      <alignment shrinkToFit="1"/>
    </xf>
    <xf numFmtId="0" fontId="0" fillId="0" borderId="0" xfId="0" applyNumberFormat="1" applyFont="1" applyBorder="1" applyAlignment="1">
      <alignment shrinkToFit="1"/>
    </xf>
    <xf numFmtId="20" fontId="0" fillId="0" borderId="0" xfId="0" applyNumberFormat="1">
      <alignment vertical="center"/>
    </xf>
    <xf numFmtId="49" fontId="0" fillId="0" borderId="3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9" fontId="0" fillId="3" borderId="22" xfId="0" applyNumberFormat="1" applyFill="1" applyBorder="1" applyAlignment="1">
      <alignment vertical="center"/>
    </xf>
    <xf numFmtId="0" fontId="0" fillId="3" borderId="22" xfId="0" applyFill="1" applyBorder="1" applyAlignment="1">
      <alignment horizontal="center" vertical="center"/>
    </xf>
    <xf numFmtId="49" fontId="11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176" fontId="12" fillId="0" borderId="0" xfId="0" applyNumberFormat="1" applyFont="1" applyAlignment="1">
      <alignment vertical="center"/>
    </xf>
    <xf numFmtId="176" fontId="13" fillId="0" borderId="0" xfId="0" applyNumberFormat="1" applyFont="1" applyAlignment="1">
      <alignment vertical="center"/>
    </xf>
    <xf numFmtId="0" fontId="0" fillId="0" borderId="22" xfId="0" applyBorder="1" applyAlignment="1">
      <alignment vertical="center"/>
    </xf>
    <xf numFmtId="9" fontId="0" fillId="0" borderId="22" xfId="0" applyNumberFormat="1" applyBorder="1" applyAlignment="1">
      <alignment vertical="center"/>
    </xf>
    <xf numFmtId="49" fontId="0" fillId="0" borderId="0" xfId="0" applyNumberFormat="1" applyFont="1" applyAlignment="1">
      <alignment vertical="center"/>
    </xf>
    <xf numFmtId="176" fontId="0" fillId="0" borderId="0" xfId="0" applyNumberFormat="1" applyFont="1" applyAlignment="1">
      <alignment vertical="center"/>
    </xf>
    <xf numFmtId="0" fontId="0" fillId="0" borderId="22" xfId="0" applyBorder="1" applyAlignment="1">
      <alignment vertical="center"/>
    </xf>
    <xf numFmtId="0" fontId="12" fillId="0" borderId="25" xfId="0" applyFont="1" applyBorder="1" applyAlignment="1">
      <alignment horizontal="left" vertical="center"/>
    </xf>
    <xf numFmtId="0" fontId="13" fillId="0" borderId="25" xfId="0" applyFont="1" applyBorder="1" applyAlignment="1">
      <alignment horizontal="left" vertical="center"/>
    </xf>
    <xf numFmtId="0" fontId="0" fillId="3" borderId="22" xfId="0" applyFill="1" applyBorder="1" applyAlignment="1">
      <alignment horizontal="center" vertical="center"/>
    </xf>
    <xf numFmtId="0" fontId="15" fillId="0" borderId="7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 vertical="top"/>
    </xf>
    <xf numFmtId="0" fontId="9" fillId="0" borderId="0" xfId="0" applyFont="1" applyBorder="1" applyAlignment="1">
      <alignment horizontal="center"/>
    </xf>
    <xf numFmtId="177" fontId="0" fillId="0" borderId="0" xfId="0" applyNumberFormat="1" applyFont="1" applyAlignment="1"/>
    <xf numFmtId="177" fontId="0" fillId="3" borderId="22" xfId="0" applyNumberFormat="1" applyFont="1" applyFill="1" applyBorder="1" applyAlignment="1">
      <alignment horizontal="center"/>
    </xf>
    <xf numFmtId="177" fontId="0" fillId="0" borderId="22" xfId="4" applyNumberFormat="1" applyFont="1" applyBorder="1" applyAlignment="1">
      <alignment horizontal="center" shrinkToFit="1"/>
    </xf>
    <xf numFmtId="177" fontId="0" fillId="0" borderId="22" xfId="0" applyNumberFormat="1" applyFont="1" applyBorder="1" applyAlignment="1">
      <alignment horizontal="center" shrinkToFit="1"/>
    </xf>
    <xf numFmtId="177" fontId="0" fillId="0" borderId="0" xfId="0" applyNumberFormat="1" applyFont="1" applyBorder="1" applyAlignment="1">
      <alignment shrinkToFit="1"/>
    </xf>
    <xf numFmtId="177" fontId="0" fillId="0" borderId="0" xfId="4" applyNumberFormat="1" applyFont="1" applyAlignment="1">
      <alignment horizontal="center"/>
    </xf>
    <xf numFmtId="177" fontId="0" fillId="0" borderId="0" xfId="0" applyNumberFormat="1" applyFont="1" applyBorder="1" applyAlignment="1">
      <alignment horizontal="center"/>
    </xf>
    <xf numFmtId="177" fontId="0" fillId="3" borderId="0" xfId="0" applyNumberFormat="1" applyFont="1" applyFill="1" applyBorder="1" applyAlignment="1">
      <alignment horizontal="center"/>
    </xf>
    <xf numFmtId="177" fontId="0" fillId="0" borderId="0" xfId="0" applyNumberFormat="1" applyFont="1" applyBorder="1" applyAlignment="1">
      <alignment horizontal="center" shrinkToFit="1"/>
    </xf>
    <xf numFmtId="49" fontId="0" fillId="0" borderId="3" xfId="0" applyNumberFormat="1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177" fontId="0" fillId="0" borderId="22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2" fillId="0" borderId="28" xfId="0" applyFont="1" applyBorder="1" applyAlignment="1">
      <alignment horizontal="left" vertical="center"/>
    </xf>
    <xf numFmtId="0" fontId="13" fillId="0" borderId="28" xfId="0" applyFont="1" applyBorder="1" applyAlignment="1">
      <alignment horizontal="left" vertical="center"/>
    </xf>
    <xf numFmtId="0" fontId="11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NumberFormat="1" applyFont="1">
      <alignment vertical="center"/>
    </xf>
    <xf numFmtId="0" fontId="0" fillId="0" borderId="0" xfId="0" applyFill="1" applyAlignment="1">
      <alignment vertical="center"/>
    </xf>
    <xf numFmtId="0" fontId="13" fillId="0" borderId="0" xfId="0" applyFont="1" applyBorder="1">
      <alignment vertical="center"/>
    </xf>
    <xf numFmtId="0" fontId="11" fillId="0" borderId="0" xfId="0" applyFont="1" applyFill="1" applyAlignment="1">
      <alignment vertical="center"/>
    </xf>
    <xf numFmtId="49" fontId="11" fillId="0" borderId="0" xfId="0" applyNumberFormat="1" applyFont="1" applyBorder="1">
      <alignment vertical="center"/>
    </xf>
    <xf numFmtId="0" fontId="11" fillId="0" borderId="0" xfId="0" applyNumberFormat="1" applyFont="1" applyBorder="1">
      <alignment vertical="center"/>
    </xf>
    <xf numFmtId="0" fontId="11" fillId="0" borderId="0" xfId="0" applyFont="1" applyAlignment="1">
      <alignment vertical="center"/>
    </xf>
    <xf numFmtId="0" fontId="16" fillId="0" borderId="17" xfId="3" applyFont="1" applyBorder="1" applyAlignment="1">
      <alignment horizontal="center" vertical="center"/>
    </xf>
    <xf numFmtId="0" fontId="16" fillId="0" borderId="1" xfId="3" applyFont="1" applyBorder="1" applyAlignment="1">
      <alignment horizontal="center" vertical="center"/>
    </xf>
    <xf numFmtId="0" fontId="16" fillId="0" borderId="1" xfId="3" applyFont="1" applyFill="1" applyBorder="1" applyAlignment="1">
      <alignment horizontal="center" vertical="center"/>
    </xf>
    <xf numFmtId="49" fontId="0" fillId="0" borderId="3" xfId="0" applyNumberFormat="1" applyFont="1" applyBorder="1" applyAlignment="1">
      <alignment vertical="center"/>
    </xf>
    <xf numFmtId="49" fontId="4" fillId="0" borderId="3" xfId="0" applyNumberFormat="1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49" fontId="0" fillId="0" borderId="4" xfId="0" applyNumberFormat="1" applyBorder="1" applyAlignment="1">
      <alignment horizontal="center" shrinkToFit="1"/>
    </xf>
    <xf numFmtId="0" fontId="0" fillId="0" borderId="4" xfId="0" applyNumberFormat="1" applyBorder="1" applyAlignment="1">
      <alignment horizontal="center" shrinkToFit="1"/>
    </xf>
    <xf numFmtId="0" fontId="0" fillId="3" borderId="4" xfId="0" applyFill="1" applyBorder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0" fillId="5" borderId="0" xfId="0" applyFill="1" applyAlignment="1">
      <alignment vertical="center"/>
    </xf>
    <xf numFmtId="49" fontId="0" fillId="0" borderId="3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49" fontId="0" fillId="0" borderId="22" xfId="0" applyNumberFormat="1" applyBorder="1" applyAlignment="1">
      <alignment horizontal="center" vertical="center"/>
    </xf>
    <xf numFmtId="49" fontId="0" fillId="0" borderId="22" xfId="0" applyNumberFormat="1" applyBorder="1" applyAlignment="1">
      <alignment vertical="center"/>
    </xf>
    <xf numFmtId="0" fontId="0" fillId="0" borderId="22" xfId="0" applyNumberFormat="1" applyBorder="1" applyAlignment="1">
      <alignment vertical="center"/>
    </xf>
    <xf numFmtId="0" fontId="0" fillId="0" borderId="22" xfId="0" applyBorder="1" applyAlignment="1">
      <alignment vertical="center"/>
    </xf>
    <xf numFmtId="49" fontId="0" fillId="0" borderId="19" xfId="0" applyNumberFormat="1" applyBorder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0" fillId="0" borderId="22" xfId="0" applyFont="1" applyBorder="1" applyAlignment="1">
      <alignment horizontal="left" vertical="top" shrinkToFit="1"/>
    </xf>
    <xf numFmtId="49" fontId="0" fillId="0" borderId="22" xfId="0" applyNumberFormat="1" applyFont="1" applyBorder="1" applyAlignment="1">
      <alignment horizontal="left" vertical="top" shrinkToFit="1"/>
    </xf>
    <xf numFmtId="49" fontId="0" fillId="0" borderId="3" xfId="0" applyNumberFormat="1" applyFont="1" applyBorder="1" applyAlignment="1">
      <alignment horizontal="center" shrinkToFit="1"/>
    </xf>
    <xf numFmtId="0" fontId="0" fillId="0" borderId="3" xfId="0" applyNumberFormat="1" applyFont="1" applyBorder="1" applyAlignment="1">
      <alignment horizontal="center" shrinkToFit="1"/>
    </xf>
    <xf numFmtId="0" fontId="13" fillId="0" borderId="36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0" fontId="12" fillId="0" borderId="17" xfId="0" applyNumberFormat="1" applyFont="1" applyBorder="1" applyAlignment="1">
      <alignment horizontal="center" vertical="center"/>
    </xf>
    <xf numFmtId="0" fontId="12" fillId="0" borderId="1" xfId="0" applyNumberFormat="1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35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</cellXfs>
  <cellStyles count="5">
    <cellStyle name="パーセント" xfId="4" builtinId="5"/>
    <cellStyle name="標準" xfId="0" builtinId="0" customBuiltin="1"/>
    <cellStyle name="標準 2" xfId="1" xr:uid="{00000000-0005-0000-0000-000001000000}"/>
    <cellStyle name="標準 3" xfId="2" xr:uid="{00000000-0005-0000-0000-000002000000}"/>
    <cellStyle name="標準 4" xfId="3" xr:uid="{A5F46FFB-0C74-45CC-B2F9-FB667C804FF3}"/>
  </cellStyles>
  <dxfs count="29">
    <dxf>
      <font>
        <color theme="0"/>
      </font>
    </dxf>
    <dxf>
      <font>
        <b/>
        <i val="0"/>
      </font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b/>
        <i val="0"/>
      </font>
    </dxf>
    <dxf>
      <font>
        <b/>
        <i val="0"/>
      </font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b/>
        <i val="0"/>
      </font>
    </dxf>
    <dxf>
      <font>
        <b/>
        <i val="0"/>
      </font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b/>
        <i val="0"/>
      </font>
    </dxf>
    <dxf>
      <font>
        <b/>
        <i val="0"/>
      </font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b/>
        <i val="0"/>
      </font>
    </dxf>
    <dxf>
      <font>
        <b/>
        <i val="0"/>
      </font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b/>
        <i val="0"/>
      </font>
    </dxf>
    <dxf>
      <font>
        <b/>
        <i val="0"/>
      </font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00FF"/>
      <color rgb="FFCCCCCC"/>
      <color rgb="FF00FF00"/>
      <color rgb="FF00FFFF"/>
      <color rgb="FFFFFF00"/>
      <color rgb="FFFF0000"/>
      <color rgb="FF4B94A2"/>
      <color rgb="FF009999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15</xdr:row>
          <xdr:rowOff>0</xdr:rowOff>
        </xdr:from>
        <xdr:to>
          <xdr:col>6</xdr:col>
          <xdr:colOff>0</xdr:colOff>
          <xdr:row>16</xdr:row>
          <xdr:rowOff>38100</xdr:rowOff>
        </xdr:to>
        <xdr:sp macro="" textlink="">
          <xdr:nvSpPr>
            <xdr:cNvPr id="1055" name="cmdExec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5</xdr:row>
          <xdr:rowOff>0</xdr:rowOff>
        </xdr:from>
        <xdr:to>
          <xdr:col>6</xdr:col>
          <xdr:colOff>0</xdr:colOff>
          <xdr:row>6</xdr:row>
          <xdr:rowOff>11430</xdr:rowOff>
        </xdr:to>
        <xdr:sp macro="" textlink="">
          <xdr:nvSpPr>
            <xdr:cNvPr id="1056" name="cmdShowDlg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</xdr:colOff>
          <xdr:row>3</xdr:row>
          <xdr:rowOff>7620</xdr:rowOff>
        </xdr:from>
        <xdr:to>
          <xdr:col>4</xdr:col>
          <xdr:colOff>0</xdr:colOff>
          <xdr:row>4</xdr:row>
          <xdr:rowOff>11430</xdr:rowOff>
        </xdr:to>
        <xdr:sp macro="" textlink="">
          <xdr:nvSpPr>
            <xdr:cNvPr id="1060" name="optTSingl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3</xdr:row>
          <xdr:rowOff>7620</xdr:rowOff>
        </xdr:from>
        <xdr:to>
          <xdr:col>1</xdr:col>
          <xdr:colOff>1306830</xdr:colOff>
          <xdr:row>4</xdr:row>
          <xdr:rowOff>11430</xdr:rowOff>
        </xdr:to>
        <xdr:sp macro="" textlink="">
          <xdr:nvSpPr>
            <xdr:cNvPr id="1061" name="optNSingle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3</xdr:row>
          <xdr:rowOff>7620</xdr:rowOff>
        </xdr:from>
        <xdr:to>
          <xdr:col>6</xdr:col>
          <xdr:colOff>0</xdr:colOff>
          <xdr:row>4</xdr:row>
          <xdr:rowOff>11430</xdr:rowOff>
        </xdr:to>
        <xdr:sp macro="" textlink="">
          <xdr:nvSpPr>
            <xdr:cNvPr id="1062" name="optTDoubles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1417320</xdr:colOff>
          <xdr:row>3</xdr:row>
          <xdr:rowOff>7620</xdr:rowOff>
        </xdr:from>
        <xdr:to>
          <xdr:col>3</xdr:col>
          <xdr:colOff>0</xdr:colOff>
          <xdr:row>4</xdr:row>
          <xdr:rowOff>11430</xdr:rowOff>
        </xdr:to>
        <xdr:sp macro="" textlink="">
          <xdr:nvSpPr>
            <xdr:cNvPr id="1063" name="optNDouble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Main"/>
  <dimension ref="A2:F15"/>
  <sheetViews>
    <sheetView showGridLines="0" workbookViewId="0">
      <selection activeCell="D12" sqref="D12"/>
    </sheetView>
  </sheetViews>
  <sheetFormatPr defaultColWidth="13" defaultRowHeight="18" x14ac:dyDescent="0.45"/>
  <cols>
    <col min="1" max="1" width="13" style="1" customWidth="1"/>
    <col min="2" max="2" width="20.59765625" style="1" customWidth="1"/>
    <col min="3" max="3" width="13" style="1" customWidth="1"/>
    <col min="4" max="4" width="20.59765625" style="1" customWidth="1"/>
    <col min="5" max="5" width="13" style="1" customWidth="1"/>
    <col min="6" max="6" width="6.59765625" style="4" customWidth="1"/>
    <col min="7" max="16384" width="13" style="1"/>
  </cols>
  <sheetData>
    <row r="2" spans="1:6" s="3" customFormat="1" x14ac:dyDescent="0.45">
      <c r="A2" s="10" t="s">
        <v>59</v>
      </c>
      <c r="B2" s="8" t="s">
        <v>232</v>
      </c>
      <c r="F2" s="4"/>
    </row>
    <row r="3" spans="1:6" s="3" customFormat="1" x14ac:dyDescent="0.45">
      <c r="F3" s="4"/>
    </row>
    <row r="4" spans="1:6" s="3" customFormat="1" x14ac:dyDescent="0.45">
      <c r="A4" s="10" t="s">
        <v>92</v>
      </c>
      <c r="B4" s="8"/>
      <c r="C4" s="8"/>
      <c r="D4" s="8"/>
      <c r="E4" s="8"/>
      <c r="F4" s="25"/>
    </row>
    <row r="5" spans="1:6" s="3" customFormat="1" x14ac:dyDescent="0.45">
      <c r="F5" s="4"/>
    </row>
    <row r="6" spans="1:6" x14ac:dyDescent="0.45">
      <c r="A6" s="10" t="s">
        <v>0</v>
      </c>
      <c r="B6" s="123" t="s">
        <v>236</v>
      </c>
      <c r="C6" s="124"/>
      <c r="D6" s="124"/>
      <c r="E6" s="124"/>
      <c r="F6" s="3"/>
    </row>
    <row r="8" spans="1:6" x14ac:dyDescent="0.45">
      <c r="A8" s="10" t="s">
        <v>2</v>
      </c>
      <c r="B8" s="67" t="s">
        <v>7</v>
      </c>
      <c r="C8" s="10" t="s">
        <v>90</v>
      </c>
      <c r="D8" s="102" t="s">
        <v>28</v>
      </c>
      <c r="E8" s="10" t="s">
        <v>1</v>
      </c>
      <c r="F8" s="9" t="s">
        <v>237</v>
      </c>
    </row>
    <row r="9" spans="1:6" x14ac:dyDescent="0.45">
      <c r="F9" s="5"/>
    </row>
    <row r="10" spans="1:6" s="3" customFormat="1" x14ac:dyDescent="0.45">
      <c r="C10" s="10" t="s">
        <v>91</v>
      </c>
      <c r="D10" s="8" t="s">
        <v>229</v>
      </c>
      <c r="E10" s="10" t="s">
        <v>1</v>
      </c>
      <c r="F10" s="9" t="s">
        <v>229</v>
      </c>
    </row>
    <row r="11" spans="1:6" s="3" customFormat="1" x14ac:dyDescent="0.45">
      <c r="F11" s="5"/>
    </row>
    <row r="12" spans="1:6" x14ac:dyDescent="0.45">
      <c r="A12" s="10" t="s">
        <v>2</v>
      </c>
      <c r="B12" s="67" t="s">
        <v>8</v>
      </c>
      <c r="C12" s="10" t="s">
        <v>90</v>
      </c>
      <c r="D12" s="106" t="s">
        <v>204</v>
      </c>
      <c r="E12" s="10" t="s">
        <v>1</v>
      </c>
      <c r="F12" s="9" t="s">
        <v>237</v>
      </c>
    </row>
    <row r="14" spans="1:6" s="3" customFormat="1" x14ac:dyDescent="0.45">
      <c r="C14" s="10" t="s">
        <v>91</v>
      </c>
      <c r="D14" s="8" t="s">
        <v>229</v>
      </c>
      <c r="E14" s="10" t="s">
        <v>1</v>
      </c>
      <c r="F14" s="9" t="s">
        <v>229</v>
      </c>
    </row>
    <row r="15" spans="1:6" s="3" customFormat="1" x14ac:dyDescent="0.45">
      <c r="F15" s="4"/>
    </row>
  </sheetData>
  <mergeCells count="1">
    <mergeCell ref="B6:E6"/>
  </mergeCells>
  <phoneticPr fontId="2"/>
  <dataValidations count="3">
    <dataValidation type="list" allowBlank="1" showInputMessage="1" showErrorMessage="1" sqref="B2" xr:uid="{DAB0EDA7-8A5E-4D41-B97E-9683BB5DB9CB}">
      <formula1>"デフォルト,日本語,中国語,英語"</formula1>
    </dataValidation>
    <dataValidation type="list" operator="equal" allowBlank="1" showInputMessage="1" showErrorMessage="1" sqref="D12 D14" xr:uid="{60AE6E21-7BB7-4285-B6F8-4FECB4F15ED4}">
      <formula1>"KATO Miyu,FENG Tianwei,SHAN Xiaona,NAGAO Takako,OJIO Haruna,SHIBATA Saki,ODO Satsuki,NAMBA Yurika"</formula1>
    </dataValidation>
    <dataValidation type="list" operator="equal" allowBlank="1" showInputMessage="1" showErrorMessage="1" sqref="D8 D10" xr:uid="{6533A334-4325-4337-9676-F1B079F50DC6}">
      <formula1>"SASAO Asuka,HIRANO Miu,HAYATA Hina,ASO Reina,UESAWA Anne,MORI Sakura,NAGASAKI Miyu,MINAGAWA Yuka,YU Mengyu,YUMOTO Fuwa,SHINOHARA Yura,AKAE Kaho"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55" r:id="rId4" name="cmdExec">
          <controlPr defaultSize="0" autoLine="0" r:id="rId5">
            <anchor moveWithCells="1">
              <from>
                <xdr:col>4</xdr:col>
                <xdr:colOff>304800</xdr:colOff>
                <xdr:row>15</xdr:row>
                <xdr:rowOff>0</xdr:rowOff>
              </from>
              <to>
                <xdr:col>6</xdr:col>
                <xdr:colOff>0</xdr:colOff>
                <xdr:row>16</xdr:row>
                <xdr:rowOff>38100</xdr:rowOff>
              </to>
            </anchor>
          </controlPr>
        </control>
      </mc:Choice>
      <mc:Fallback>
        <control shapeId="1055" r:id="rId4" name="cmdExec"/>
      </mc:Fallback>
    </mc:AlternateContent>
    <mc:AlternateContent xmlns:mc="http://schemas.openxmlformats.org/markup-compatibility/2006">
      <mc:Choice Requires="x14">
        <control shapeId="1056" r:id="rId6" name="cmdShowDlg">
          <controlPr defaultSize="0" autoLine="0" r:id="rId7">
            <anchor moveWithCells="1">
              <from>
                <xdr:col>5</xdr:col>
                <xdr:colOff>7620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7620</xdr:rowOff>
              </to>
            </anchor>
          </controlPr>
        </control>
      </mc:Choice>
      <mc:Fallback>
        <control shapeId="1056" r:id="rId6" name="cmdShowDlg"/>
      </mc:Fallback>
    </mc:AlternateContent>
    <mc:AlternateContent xmlns:mc="http://schemas.openxmlformats.org/markup-compatibility/2006">
      <mc:Choice Requires="x14">
        <control shapeId="1060" r:id="rId8" name="optTSingles">
          <controlPr defaultSize="0" autoLine="0" r:id="rId9">
            <anchor moveWithCells="1">
              <from>
                <xdr:col>3</xdr:col>
                <xdr:colOff>45720</xdr:colOff>
                <xdr:row>3</xdr:row>
                <xdr:rowOff>7620</xdr:rowOff>
              </from>
              <to>
                <xdr:col>4</xdr:col>
                <xdr:colOff>0</xdr:colOff>
                <xdr:row>4</xdr:row>
                <xdr:rowOff>7620</xdr:rowOff>
              </to>
            </anchor>
          </controlPr>
        </control>
      </mc:Choice>
      <mc:Fallback>
        <control shapeId="1060" r:id="rId8" name="optTSingles"/>
      </mc:Fallback>
    </mc:AlternateContent>
    <mc:AlternateContent xmlns:mc="http://schemas.openxmlformats.org/markup-compatibility/2006">
      <mc:Choice Requires="x14">
        <control shapeId="1061" r:id="rId10" name="optNSingles">
          <controlPr defaultSize="0" autoLine="0" r:id="rId11">
            <anchor moveWithCells="1">
              <from>
                <xdr:col>1</xdr:col>
                <xdr:colOff>83820</xdr:colOff>
                <xdr:row>3</xdr:row>
                <xdr:rowOff>7620</xdr:rowOff>
              </from>
              <to>
                <xdr:col>1</xdr:col>
                <xdr:colOff>1303020</xdr:colOff>
                <xdr:row>4</xdr:row>
                <xdr:rowOff>7620</xdr:rowOff>
              </to>
            </anchor>
          </controlPr>
        </control>
      </mc:Choice>
      <mc:Fallback>
        <control shapeId="1061" r:id="rId10" name="optNSingles"/>
      </mc:Fallback>
    </mc:AlternateContent>
    <mc:AlternateContent xmlns:mc="http://schemas.openxmlformats.org/markup-compatibility/2006">
      <mc:Choice Requires="x14">
        <control shapeId="1062" r:id="rId12" name="optTDoubles">
          <controlPr defaultSize="0" autoLine="0" r:id="rId13">
            <anchor moveWithCells="1">
              <from>
                <xdr:col>4</xdr:col>
                <xdr:colOff>121920</xdr:colOff>
                <xdr:row>3</xdr:row>
                <xdr:rowOff>7620</xdr:rowOff>
              </from>
              <to>
                <xdr:col>6</xdr:col>
                <xdr:colOff>0</xdr:colOff>
                <xdr:row>4</xdr:row>
                <xdr:rowOff>7620</xdr:rowOff>
              </to>
            </anchor>
          </controlPr>
        </control>
      </mc:Choice>
      <mc:Fallback>
        <control shapeId="1062" r:id="rId12" name="optTDoubles"/>
      </mc:Fallback>
    </mc:AlternateContent>
    <mc:AlternateContent xmlns:mc="http://schemas.openxmlformats.org/markup-compatibility/2006">
      <mc:Choice Requires="x14">
        <control shapeId="1063" r:id="rId14" name="optNDoubles">
          <controlPr defaultSize="0" autoLine="0" r:id="rId15">
            <anchor moveWithCells="1">
              <from>
                <xdr:col>1</xdr:col>
                <xdr:colOff>1417320</xdr:colOff>
                <xdr:row>3</xdr:row>
                <xdr:rowOff>7620</xdr:rowOff>
              </from>
              <to>
                <xdr:col>3</xdr:col>
                <xdr:colOff>0</xdr:colOff>
                <xdr:row>4</xdr:row>
                <xdr:rowOff>7620</xdr:rowOff>
              </to>
            </anchor>
          </controlPr>
        </control>
      </mc:Choice>
      <mc:Fallback>
        <control shapeId="1063" r:id="rId14" name="optNDouble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 xr:uid="{FC95399C-0F66-4B99-A1F9-A7B34C266DF7}">
          <x14:formula1>
            <xm:f>OFFSET(所属マスタ!$A$2, 0, 0, COUNTA(所属マスタ!$A:$A) -1, 1)</xm:f>
          </x14:formula1>
          <xm:sqref>B8 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2CF4F-A7B9-44CA-A0C3-EE183C5A4052}">
  <sheetPr codeName="wsData"/>
  <dimension ref="A1:P52"/>
  <sheetViews>
    <sheetView workbookViewId="0"/>
  </sheetViews>
  <sheetFormatPr defaultRowHeight="18" x14ac:dyDescent="0.45"/>
  <cols>
    <col min="1" max="1" width="14.8984375" bestFit="1" customWidth="1"/>
    <col min="2" max="2" width="11" bestFit="1" customWidth="1"/>
    <col min="3" max="3" width="15.09765625" bestFit="1" customWidth="1"/>
    <col min="4" max="4" width="18.5" bestFit="1" customWidth="1"/>
    <col min="5" max="5" width="16" bestFit="1" customWidth="1"/>
    <col min="6" max="6" width="14.8984375" bestFit="1" customWidth="1"/>
    <col min="7" max="7" width="8.59765625" bestFit="1" customWidth="1"/>
    <col min="8" max="8" width="14.8984375" bestFit="1" customWidth="1"/>
    <col min="9" max="11" width="9.8984375" bestFit="1" customWidth="1"/>
    <col min="12" max="12" width="14.8984375" bestFit="1" customWidth="1"/>
    <col min="13" max="15" width="10" bestFit="1" customWidth="1"/>
    <col min="16" max="16" width="2.69921875" bestFit="1" customWidth="1"/>
    <col min="18" max="18" width="13" bestFit="1" customWidth="1"/>
  </cols>
  <sheetData>
    <row r="1" spans="1:16" x14ac:dyDescent="0.45">
      <c r="A1" t="s">
        <v>151</v>
      </c>
      <c r="B1" t="s">
        <v>152</v>
      </c>
      <c r="C1" t="s">
        <v>153</v>
      </c>
      <c r="D1" t="s">
        <v>69</v>
      </c>
      <c r="E1" t="s">
        <v>70</v>
      </c>
      <c r="F1" t="s">
        <v>71</v>
      </c>
      <c r="G1" t="s">
        <v>72</v>
      </c>
      <c r="H1" t="s">
        <v>73</v>
      </c>
      <c r="I1" t="s">
        <v>74</v>
      </c>
      <c r="J1" t="s">
        <v>75</v>
      </c>
      <c r="K1" t="s">
        <v>76</v>
      </c>
      <c r="L1" t="s">
        <v>77</v>
      </c>
      <c r="M1" t="s">
        <v>78</v>
      </c>
      <c r="N1" t="s">
        <v>79</v>
      </c>
      <c r="O1" t="s">
        <v>233</v>
      </c>
    </row>
    <row r="2" spans="1:16" x14ac:dyDescent="0.45">
      <c r="A2" t="s">
        <v>204</v>
      </c>
      <c r="B2">
        <v>44144</v>
      </c>
      <c r="C2">
        <v>5271</v>
      </c>
      <c r="D2" s="66">
        <v>0</v>
      </c>
      <c r="E2" s="66">
        <v>0</v>
      </c>
      <c r="F2" t="s">
        <v>204</v>
      </c>
      <c r="G2" t="s">
        <v>66</v>
      </c>
      <c r="H2" t="s">
        <v>204</v>
      </c>
      <c r="I2" t="s">
        <v>61</v>
      </c>
      <c r="J2" t="s">
        <v>64</v>
      </c>
      <c r="K2" t="s">
        <v>64</v>
      </c>
      <c r="L2" t="s">
        <v>28</v>
      </c>
      <c r="M2" t="s">
        <v>64</v>
      </c>
      <c r="N2" t="s">
        <v>82</v>
      </c>
      <c r="O2" t="s">
        <v>81</v>
      </c>
      <c r="P2">
        <v>1</v>
      </c>
    </row>
    <row r="3" spans="1:16" x14ac:dyDescent="0.45">
      <c r="A3" t="s">
        <v>204</v>
      </c>
      <c r="B3">
        <v>56823</v>
      </c>
      <c r="C3">
        <v>6673</v>
      </c>
      <c r="D3" s="66">
        <v>0</v>
      </c>
      <c r="E3" s="66">
        <v>0</v>
      </c>
      <c r="F3" t="s">
        <v>28</v>
      </c>
      <c r="G3" t="s">
        <v>68</v>
      </c>
      <c r="H3" t="s">
        <v>204</v>
      </c>
      <c r="I3" t="s">
        <v>63</v>
      </c>
      <c r="J3" t="s">
        <v>64</v>
      </c>
      <c r="L3" t="s">
        <v>28</v>
      </c>
      <c r="P3">
        <v>1</v>
      </c>
    </row>
    <row r="4" spans="1:16" x14ac:dyDescent="0.45">
      <c r="A4" t="s">
        <v>28</v>
      </c>
      <c r="B4">
        <v>80146</v>
      </c>
      <c r="C4">
        <v>7140</v>
      </c>
      <c r="D4" s="66">
        <v>0</v>
      </c>
      <c r="E4" s="66">
        <v>0</v>
      </c>
      <c r="F4" t="s">
        <v>28</v>
      </c>
      <c r="G4" t="s">
        <v>62</v>
      </c>
      <c r="H4" t="s">
        <v>28</v>
      </c>
      <c r="L4" t="s">
        <v>204</v>
      </c>
      <c r="P4">
        <v>1</v>
      </c>
    </row>
    <row r="5" spans="1:16" x14ac:dyDescent="0.45">
      <c r="A5" t="s">
        <v>28</v>
      </c>
      <c r="B5">
        <v>105071</v>
      </c>
      <c r="C5">
        <v>9009</v>
      </c>
      <c r="D5" s="66">
        <v>0</v>
      </c>
      <c r="E5" s="66">
        <v>0</v>
      </c>
      <c r="F5" t="s">
        <v>28</v>
      </c>
      <c r="G5" t="s">
        <v>65</v>
      </c>
      <c r="H5" t="s">
        <v>28</v>
      </c>
      <c r="L5" t="s">
        <v>204</v>
      </c>
      <c r="P5">
        <v>1</v>
      </c>
    </row>
    <row r="6" spans="1:16" x14ac:dyDescent="0.45">
      <c r="A6" t="s">
        <v>204</v>
      </c>
      <c r="B6">
        <v>125291</v>
      </c>
      <c r="C6">
        <v>5538</v>
      </c>
      <c r="D6" s="66">
        <v>0</v>
      </c>
      <c r="E6" s="66">
        <v>0</v>
      </c>
      <c r="F6" t="s">
        <v>204</v>
      </c>
      <c r="G6" t="s">
        <v>66</v>
      </c>
      <c r="H6" t="s">
        <v>204</v>
      </c>
      <c r="I6" t="s">
        <v>61</v>
      </c>
      <c r="J6" t="s">
        <v>64</v>
      </c>
      <c r="L6" t="s">
        <v>28</v>
      </c>
      <c r="P6">
        <v>1</v>
      </c>
    </row>
    <row r="7" spans="1:16" x14ac:dyDescent="0.45">
      <c r="A7" t="s">
        <v>204</v>
      </c>
      <c r="B7">
        <v>143743</v>
      </c>
      <c r="C7">
        <v>6006</v>
      </c>
      <c r="D7" s="66">
        <v>0</v>
      </c>
      <c r="E7" s="66">
        <v>0</v>
      </c>
      <c r="F7" t="s">
        <v>28</v>
      </c>
      <c r="G7" t="s">
        <v>60</v>
      </c>
      <c r="H7" t="s">
        <v>204</v>
      </c>
      <c r="I7" t="s">
        <v>61</v>
      </c>
      <c r="J7" t="s">
        <v>64</v>
      </c>
      <c r="L7" t="s">
        <v>28</v>
      </c>
      <c r="P7">
        <v>1</v>
      </c>
    </row>
    <row r="8" spans="1:16" x14ac:dyDescent="0.45">
      <c r="A8" t="s">
        <v>28</v>
      </c>
      <c r="B8">
        <v>170236</v>
      </c>
      <c r="C8">
        <v>8074</v>
      </c>
      <c r="D8" s="66">
        <v>0</v>
      </c>
      <c r="E8" s="66">
        <v>0</v>
      </c>
      <c r="F8" t="s">
        <v>204</v>
      </c>
      <c r="G8" t="s">
        <v>60</v>
      </c>
      <c r="H8" t="s">
        <v>28</v>
      </c>
      <c r="L8" t="s">
        <v>204</v>
      </c>
      <c r="P8">
        <v>1</v>
      </c>
    </row>
    <row r="9" spans="1:16" x14ac:dyDescent="0.45">
      <c r="A9" t="s">
        <v>28</v>
      </c>
      <c r="B9">
        <v>200466</v>
      </c>
      <c r="C9">
        <v>8008</v>
      </c>
      <c r="D9" s="66">
        <v>0</v>
      </c>
      <c r="E9" s="66">
        <v>0</v>
      </c>
      <c r="F9" t="s">
        <v>28</v>
      </c>
      <c r="G9" t="s">
        <v>62</v>
      </c>
      <c r="H9" t="s">
        <v>28</v>
      </c>
      <c r="L9" t="s">
        <v>204</v>
      </c>
      <c r="P9">
        <v>1</v>
      </c>
    </row>
    <row r="10" spans="1:16" x14ac:dyDescent="0.45">
      <c r="A10" t="s">
        <v>204</v>
      </c>
      <c r="B10">
        <v>222889</v>
      </c>
      <c r="C10">
        <v>8208</v>
      </c>
      <c r="D10" s="66">
        <v>0</v>
      </c>
      <c r="E10" s="66">
        <v>0</v>
      </c>
      <c r="F10" t="s">
        <v>204</v>
      </c>
      <c r="G10" t="s">
        <v>65</v>
      </c>
      <c r="H10" t="s">
        <v>204</v>
      </c>
      <c r="I10" t="s">
        <v>61</v>
      </c>
      <c r="J10" t="s">
        <v>64</v>
      </c>
      <c r="L10" t="s">
        <v>28</v>
      </c>
      <c r="P10">
        <v>1</v>
      </c>
    </row>
    <row r="11" spans="1:16" x14ac:dyDescent="0.45">
      <c r="A11" t="s">
        <v>204</v>
      </c>
      <c r="B11">
        <v>243009</v>
      </c>
      <c r="C11">
        <v>7941</v>
      </c>
      <c r="D11" s="66">
        <v>0</v>
      </c>
      <c r="E11" s="66">
        <v>0</v>
      </c>
      <c r="F11" t="s">
        <v>28</v>
      </c>
      <c r="G11" t="s">
        <v>68</v>
      </c>
      <c r="H11" t="s">
        <v>204</v>
      </c>
      <c r="I11" t="s">
        <v>61</v>
      </c>
      <c r="J11" t="s">
        <v>64</v>
      </c>
      <c r="L11" t="s">
        <v>28</v>
      </c>
      <c r="P11">
        <v>1</v>
      </c>
    </row>
    <row r="12" spans="1:16" x14ac:dyDescent="0.45">
      <c r="A12" t="s">
        <v>28</v>
      </c>
      <c r="B12">
        <v>268635</v>
      </c>
      <c r="C12">
        <v>9075</v>
      </c>
      <c r="D12" s="66">
        <v>0</v>
      </c>
      <c r="E12" s="66">
        <v>0</v>
      </c>
      <c r="F12" t="s">
        <v>204</v>
      </c>
      <c r="G12" t="s">
        <v>68</v>
      </c>
      <c r="H12" t="s">
        <v>28</v>
      </c>
      <c r="L12" t="s">
        <v>204</v>
      </c>
      <c r="P12">
        <v>1</v>
      </c>
    </row>
    <row r="13" spans="1:16" x14ac:dyDescent="0.45">
      <c r="A13" t="s">
        <v>28</v>
      </c>
      <c r="B13">
        <v>293459</v>
      </c>
      <c r="C13">
        <v>8608</v>
      </c>
      <c r="D13" s="66">
        <v>0</v>
      </c>
      <c r="E13" s="66">
        <v>0</v>
      </c>
      <c r="F13" t="s">
        <v>28</v>
      </c>
      <c r="G13" t="s">
        <v>62</v>
      </c>
      <c r="H13" t="s">
        <v>28</v>
      </c>
      <c r="L13" t="s">
        <v>204</v>
      </c>
      <c r="P13">
        <v>1</v>
      </c>
    </row>
    <row r="14" spans="1:16" x14ac:dyDescent="0.45">
      <c r="A14" t="s">
        <v>204</v>
      </c>
      <c r="B14">
        <v>323089</v>
      </c>
      <c r="C14">
        <v>6139</v>
      </c>
      <c r="D14" s="66">
        <v>0</v>
      </c>
      <c r="E14" s="66">
        <v>0</v>
      </c>
      <c r="F14" t="s">
        <v>28</v>
      </c>
      <c r="G14" t="s">
        <v>60</v>
      </c>
      <c r="H14" t="s">
        <v>204</v>
      </c>
      <c r="I14" t="s">
        <v>61</v>
      </c>
      <c r="J14" t="s">
        <v>64</v>
      </c>
      <c r="L14" t="s">
        <v>28</v>
      </c>
      <c r="P14">
        <v>1</v>
      </c>
    </row>
    <row r="15" spans="1:16" x14ac:dyDescent="0.45">
      <c r="A15" t="s">
        <v>204</v>
      </c>
      <c r="B15">
        <v>343443</v>
      </c>
      <c r="C15">
        <v>7140</v>
      </c>
      <c r="D15" s="66">
        <v>0</v>
      </c>
      <c r="E15" s="66">
        <v>0</v>
      </c>
      <c r="F15" t="s">
        <v>204</v>
      </c>
      <c r="G15" t="s">
        <v>66</v>
      </c>
      <c r="H15" t="s">
        <v>204</v>
      </c>
      <c r="I15" t="s">
        <v>63</v>
      </c>
      <c r="J15" t="s">
        <v>64</v>
      </c>
      <c r="L15" t="s">
        <v>28</v>
      </c>
      <c r="P15">
        <v>1</v>
      </c>
    </row>
    <row r="16" spans="1:16" x14ac:dyDescent="0.45">
      <c r="A16" t="s">
        <v>28</v>
      </c>
      <c r="B16">
        <v>366632</v>
      </c>
      <c r="C16">
        <v>9409</v>
      </c>
      <c r="D16" s="66">
        <v>0</v>
      </c>
      <c r="E16" s="66">
        <v>0</v>
      </c>
      <c r="F16" t="s">
        <v>28</v>
      </c>
      <c r="G16" t="s">
        <v>65</v>
      </c>
      <c r="H16" t="s">
        <v>28</v>
      </c>
      <c r="L16" t="s">
        <v>204</v>
      </c>
      <c r="P16">
        <v>1</v>
      </c>
    </row>
    <row r="17" spans="1:16" x14ac:dyDescent="0.45">
      <c r="A17" t="s">
        <v>28</v>
      </c>
      <c r="B17">
        <v>392191</v>
      </c>
      <c r="C17">
        <v>8808</v>
      </c>
      <c r="D17" s="66">
        <v>0</v>
      </c>
      <c r="E17" s="66">
        <v>0</v>
      </c>
      <c r="F17" t="s">
        <v>28</v>
      </c>
      <c r="G17" t="s">
        <v>62</v>
      </c>
      <c r="H17" t="s">
        <v>28</v>
      </c>
      <c r="L17" t="s">
        <v>204</v>
      </c>
      <c r="P17">
        <v>1</v>
      </c>
    </row>
    <row r="18" spans="1:16" x14ac:dyDescent="0.45">
      <c r="A18" t="s">
        <v>204</v>
      </c>
      <c r="B18">
        <v>415815</v>
      </c>
      <c r="C18">
        <v>7007</v>
      </c>
      <c r="D18" s="66">
        <v>0</v>
      </c>
      <c r="E18" s="66">
        <v>0</v>
      </c>
      <c r="F18" t="s">
        <v>28</v>
      </c>
      <c r="G18" t="s">
        <v>68</v>
      </c>
      <c r="H18" t="s">
        <v>204</v>
      </c>
      <c r="I18" t="s">
        <v>63</v>
      </c>
      <c r="J18" t="s">
        <v>64</v>
      </c>
      <c r="L18" t="s">
        <v>28</v>
      </c>
      <c r="P18">
        <v>1</v>
      </c>
    </row>
    <row r="19" spans="1:16" x14ac:dyDescent="0.45">
      <c r="A19" t="s">
        <v>28</v>
      </c>
      <c r="B19">
        <v>532465</v>
      </c>
      <c r="C19">
        <v>7407</v>
      </c>
      <c r="D19" s="66">
        <v>4.1666666666666664E-2</v>
      </c>
      <c r="E19" s="66">
        <v>0</v>
      </c>
      <c r="F19" t="s">
        <v>28</v>
      </c>
      <c r="G19" t="s">
        <v>66</v>
      </c>
      <c r="H19" t="s">
        <v>28</v>
      </c>
      <c r="L19" t="s">
        <v>204</v>
      </c>
      <c r="P19">
        <v>2</v>
      </c>
    </row>
    <row r="20" spans="1:16" x14ac:dyDescent="0.45">
      <c r="A20" t="s">
        <v>28</v>
      </c>
      <c r="B20">
        <v>553352</v>
      </c>
      <c r="C20">
        <v>10543</v>
      </c>
      <c r="D20" s="66">
        <v>4.1666666666666664E-2</v>
      </c>
      <c r="E20" s="66">
        <v>0</v>
      </c>
      <c r="F20" t="s">
        <v>204</v>
      </c>
      <c r="G20" t="s">
        <v>68</v>
      </c>
      <c r="H20" t="s">
        <v>28</v>
      </c>
      <c r="L20" t="s">
        <v>204</v>
      </c>
      <c r="P20">
        <v>2</v>
      </c>
    </row>
    <row r="21" spans="1:16" x14ac:dyDescent="0.45">
      <c r="A21" t="s">
        <v>204</v>
      </c>
      <c r="B21">
        <v>580913</v>
      </c>
      <c r="C21">
        <v>5605</v>
      </c>
      <c r="D21" s="66">
        <v>4.1666666666666664E-2</v>
      </c>
      <c r="E21" s="66">
        <v>0</v>
      </c>
      <c r="F21" t="s">
        <v>28</v>
      </c>
      <c r="G21" t="s">
        <v>60</v>
      </c>
      <c r="H21" t="s">
        <v>204</v>
      </c>
      <c r="I21" t="s">
        <v>61</v>
      </c>
      <c r="J21" t="s">
        <v>235</v>
      </c>
      <c r="L21" t="s">
        <v>28</v>
      </c>
      <c r="P21">
        <v>2</v>
      </c>
    </row>
    <row r="22" spans="1:16" x14ac:dyDescent="0.45">
      <c r="A22" t="s">
        <v>204</v>
      </c>
      <c r="B22">
        <v>599599</v>
      </c>
      <c r="C22">
        <v>6139</v>
      </c>
      <c r="D22" s="66">
        <v>4.1666666666666664E-2</v>
      </c>
      <c r="E22" s="66">
        <v>0</v>
      </c>
      <c r="F22" t="s">
        <v>28</v>
      </c>
      <c r="G22" t="s">
        <v>60</v>
      </c>
      <c r="H22" t="s">
        <v>204</v>
      </c>
      <c r="I22" t="s">
        <v>174</v>
      </c>
      <c r="J22" t="s">
        <v>64</v>
      </c>
      <c r="L22" t="s">
        <v>28</v>
      </c>
      <c r="P22">
        <v>2</v>
      </c>
    </row>
    <row r="23" spans="1:16" x14ac:dyDescent="0.45">
      <c r="A23" t="s">
        <v>28</v>
      </c>
      <c r="B23">
        <v>623556</v>
      </c>
      <c r="C23">
        <v>9142</v>
      </c>
      <c r="D23" s="66">
        <v>4.1666666666666664E-2</v>
      </c>
      <c r="E23" s="66">
        <v>0</v>
      </c>
      <c r="F23" t="s">
        <v>28</v>
      </c>
      <c r="G23" t="s">
        <v>65</v>
      </c>
      <c r="H23" t="s">
        <v>28</v>
      </c>
      <c r="L23" t="s">
        <v>204</v>
      </c>
      <c r="P23">
        <v>2</v>
      </c>
    </row>
    <row r="24" spans="1:16" x14ac:dyDescent="0.45">
      <c r="A24" t="s">
        <v>28</v>
      </c>
      <c r="B24">
        <v>650182</v>
      </c>
      <c r="C24">
        <v>8341</v>
      </c>
      <c r="D24" s="66">
        <v>4.1666666666666664E-2</v>
      </c>
      <c r="E24" s="66">
        <v>0</v>
      </c>
      <c r="F24" t="s">
        <v>28</v>
      </c>
      <c r="G24" t="s">
        <v>62</v>
      </c>
      <c r="H24" t="s">
        <v>28</v>
      </c>
      <c r="L24" t="s">
        <v>204</v>
      </c>
      <c r="P24">
        <v>2</v>
      </c>
    </row>
    <row r="25" spans="1:16" x14ac:dyDescent="0.45">
      <c r="A25" t="s">
        <v>204</v>
      </c>
      <c r="B25">
        <v>680279</v>
      </c>
      <c r="C25">
        <v>5205</v>
      </c>
      <c r="D25" s="66">
        <v>4.1666666666666664E-2</v>
      </c>
      <c r="E25" s="66">
        <v>0</v>
      </c>
      <c r="F25" t="s">
        <v>204</v>
      </c>
      <c r="G25" t="s">
        <v>66</v>
      </c>
      <c r="H25" t="s">
        <v>204</v>
      </c>
      <c r="I25" t="s">
        <v>174</v>
      </c>
      <c r="J25" t="s">
        <v>64</v>
      </c>
      <c r="L25" t="s">
        <v>28</v>
      </c>
      <c r="P25">
        <v>2</v>
      </c>
    </row>
    <row r="26" spans="1:16" x14ac:dyDescent="0.45">
      <c r="A26" t="s">
        <v>204</v>
      </c>
      <c r="B26">
        <v>696762</v>
      </c>
      <c r="C26">
        <v>6940</v>
      </c>
      <c r="D26" s="66">
        <v>4.1666666666666664E-2</v>
      </c>
      <c r="E26" s="66">
        <v>0</v>
      </c>
      <c r="F26" t="s">
        <v>204</v>
      </c>
      <c r="G26" t="s">
        <v>62</v>
      </c>
      <c r="H26" t="s">
        <v>204</v>
      </c>
      <c r="I26" t="s">
        <v>174</v>
      </c>
      <c r="J26" t="s">
        <v>64</v>
      </c>
      <c r="L26" t="s">
        <v>28</v>
      </c>
      <c r="P26">
        <v>2</v>
      </c>
    </row>
    <row r="27" spans="1:16" x14ac:dyDescent="0.45">
      <c r="A27" t="s">
        <v>28</v>
      </c>
      <c r="B27">
        <v>725157</v>
      </c>
      <c r="C27">
        <v>7273</v>
      </c>
      <c r="D27" s="66">
        <v>4.1666666666666664E-2</v>
      </c>
      <c r="E27" s="66">
        <v>0</v>
      </c>
      <c r="F27" t="s">
        <v>28</v>
      </c>
      <c r="G27" t="s">
        <v>62</v>
      </c>
      <c r="H27" t="s">
        <v>28</v>
      </c>
      <c r="L27" t="s">
        <v>204</v>
      </c>
      <c r="P27">
        <v>2</v>
      </c>
    </row>
    <row r="28" spans="1:16" x14ac:dyDescent="0.45">
      <c r="A28" t="s">
        <v>28</v>
      </c>
      <c r="B28">
        <v>750216</v>
      </c>
      <c r="C28">
        <v>8408</v>
      </c>
      <c r="D28" s="66">
        <v>4.1666666666666664E-2</v>
      </c>
      <c r="E28" s="66">
        <v>0</v>
      </c>
      <c r="F28" t="s">
        <v>28</v>
      </c>
      <c r="G28" t="s">
        <v>66</v>
      </c>
      <c r="H28" t="s">
        <v>28</v>
      </c>
      <c r="L28" t="s">
        <v>204</v>
      </c>
      <c r="P28">
        <v>2</v>
      </c>
    </row>
    <row r="29" spans="1:16" x14ac:dyDescent="0.45">
      <c r="A29" t="s">
        <v>204</v>
      </c>
      <c r="B29">
        <v>771737</v>
      </c>
      <c r="C29">
        <v>5872</v>
      </c>
      <c r="D29" s="66">
        <v>4.1666666666666664E-2</v>
      </c>
      <c r="E29" s="66">
        <v>0</v>
      </c>
      <c r="F29" t="s">
        <v>204</v>
      </c>
      <c r="G29" t="s">
        <v>66</v>
      </c>
      <c r="H29" t="s">
        <v>204</v>
      </c>
      <c r="I29" t="s">
        <v>174</v>
      </c>
      <c r="J29" t="s">
        <v>64</v>
      </c>
      <c r="L29" t="s">
        <v>28</v>
      </c>
      <c r="P29">
        <v>2</v>
      </c>
    </row>
    <row r="30" spans="1:16" x14ac:dyDescent="0.45">
      <c r="A30" t="s">
        <v>204</v>
      </c>
      <c r="B30">
        <v>791223</v>
      </c>
      <c r="C30">
        <v>7207</v>
      </c>
      <c r="D30" s="66">
        <v>4.1666666666666664E-2</v>
      </c>
      <c r="E30" s="66">
        <v>0</v>
      </c>
      <c r="F30" t="s">
        <v>28</v>
      </c>
      <c r="G30" t="s">
        <v>68</v>
      </c>
      <c r="H30" t="s">
        <v>204</v>
      </c>
      <c r="I30" t="s">
        <v>174</v>
      </c>
      <c r="J30" t="s">
        <v>235</v>
      </c>
      <c r="L30" t="s">
        <v>28</v>
      </c>
      <c r="P30">
        <v>2</v>
      </c>
    </row>
    <row r="31" spans="1:16" x14ac:dyDescent="0.45">
      <c r="A31" t="s">
        <v>28</v>
      </c>
      <c r="B31">
        <v>851217</v>
      </c>
      <c r="C31">
        <v>11077</v>
      </c>
      <c r="D31" s="66">
        <v>4.1666666666666664E-2</v>
      </c>
      <c r="E31" s="66">
        <v>0</v>
      </c>
      <c r="F31" t="s">
        <v>204</v>
      </c>
      <c r="G31" t="s">
        <v>238</v>
      </c>
      <c r="H31" t="s">
        <v>28</v>
      </c>
      <c r="L31" t="s">
        <v>204</v>
      </c>
      <c r="P31">
        <v>2</v>
      </c>
    </row>
    <row r="32" spans="1:16" x14ac:dyDescent="0.45">
      <c r="A32" t="s">
        <v>28</v>
      </c>
      <c r="B32">
        <v>885184</v>
      </c>
      <c r="C32">
        <v>9476</v>
      </c>
      <c r="D32" s="66">
        <v>4.1666666666666664E-2</v>
      </c>
      <c r="E32" s="66">
        <v>0</v>
      </c>
      <c r="F32" t="s">
        <v>204</v>
      </c>
      <c r="G32" t="s">
        <v>68</v>
      </c>
      <c r="H32" t="s">
        <v>28</v>
      </c>
      <c r="L32" t="s">
        <v>204</v>
      </c>
      <c r="P32">
        <v>2</v>
      </c>
    </row>
    <row r="33" spans="1:16" x14ac:dyDescent="0.45">
      <c r="A33" t="s">
        <v>204</v>
      </c>
      <c r="B33">
        <v>945244</v>
      </c>
      <c r="C33">
        <v>6740</v>
      </c>
      <c r="D33" s="66">
        <v>4.1666666666666664E-2</v>
      </c>
      <c r="E33" s="66">
        <v>0</v>
      </c>
      <c r="F33" t="s">
        <v>28</v>
      </c>
      <c r="G33" t="s">
        <v>60</v>
      </c>
      <c r="H33" t="s">
        <v>204</v>
      </c>
      <c r="I33" t="s">
        <v>174</v>
      </c>
      <c r="J33" t="s">
        <v>64</v>
      </c>
      <c r="L33" t="s">
        <v>28</v>
      </c>
      <c r="P33">
        <v>2</v>
      </c>
    </row>
    <row r="34" spans="1:16" x14ac:dyDescent="0.45">
      <c r="A34" t="s">
        <v>204</v>
      </c>
      <c r="B34">
        <v>965297</v>
      </c>
      <c r="C34">
        <v>7140</v>
      </c>
      <c r="D34" s="66">
        <v>4.1666666666666664E-2</v>
      </c>
      <c r="E34" s="66">
        <v>0</v>
      </c>
      <c r="F34" t="s">
        <v>204</v>
      </c>
      <c r="G34" t="s">
        <v>66</v>
      </c>
      <c r="H34" t="s">
        <v>204</v>
      </c>
      <c r="I34" t="s">
        <v>61</v>
      </c>
      <c r="J34" t="s">
        <v>64</v>
      </c>
      <c r="L34" t="s">
        <v>28</v>
      </c>
      <c r="P34">
        <v>2</v>
      </c>
    </row>
    <row r="35" spans="1:16" x14ac:dyDescent="0.45">
      <c r="A35" t="s">
        <v>28</v>
      </c>
      <c r="B35">
        <v>991123</v>
      </c>
      <c r="C35">
        <v>12879</v>
      </c>
      <c r="D35" s="66">
        <v>4.1666666666666664E-2</v>
      </c>
      <c r="E35" s="66">
        <v>0</v>
      </c>
      <c r="F35" t="s">
        <v>28</v>
      </c>
      <c r="G35" t="s">
        <v>230</v>
      </c>
      <c r="H35" t="s">
        <v>28</v>
      </c>
      <c r="L35" t="s">
        <v>204</v>
      </c>
      <c r="P35">
        <v>2</v>
      </c>
    </row>
    <row r="36" spans="1:16" x14ac:dyDescent="0.45">
      <c r="A36" t="s">
        <v>28</v>
      </c>
      <c r="B36">
        <v>1022521</v>
      </c>
      <c r="C36">
        <v>6740</v>
      </c>
      <c r="D36" s="66">
        <v>4.1666666666666664E-2</v>
      </c>
      <c r="E36" s="66">
        <v>0</v>
      </c>
      <c r="F36" t="s">
        <v>28</v>
      </c>
      <c r="G36" t="s">
        <v>62</v>
      </c>
      <c r="H36" t="s">
        <v>28</v>
      </c>
      <c r="L36" t="s">
        <v>204</v>
      </c>
      <c r="P36">
        <v>2</v>
      </c>
    </row>
    <row r="37" spans="1:16" x14ac:dyDescent="0.45">
      <c r="A37" t="s">
        <v>204</v>
      </c>
      <c r="B37">
        <v>1125290</v>
      </c>
      <c r="C37">
        <v>5672</v>
      </c>
      <c r="D37" s="66">
        <v>8.3333333333333329E-2</v>
      </c>
      <c r="E37" s="66">
        <v>0</v>
      </c>
      <c r="F37" t="s">
        <v>28</v>
      </c>
      <c r="G37" t="s">
        <v>60</v>
      </c>
      <c r="H37" t="s">
        <v>204</v>
      </c>
      <c r="I37" t="s">
        <v>174</v>
      </c>
      <c r="J37" t="s">
        <v>235</v>
      </c>
      <c r="L37" t="s">
        <v>28</v>
      </c>
      <c r="P37">
        <v>3</v>
      </c>
    </row>
    <row r="38" spans="1:16" x14ac:dyDescent="0.45">
      <c r="A38" t="s">
        <v>204</v>
      </c>
      <c r="B38">
        <v>1141106</v>
      </c>
      <c r="C38">
        <v>5472</v>
      </c>
      <c r="D38" s="66">
        <v>8.3333333333333329E-2</v>
      </c>
      <c r="E38" s="66">
        <v>0</v>
      </c>
      <c r="F38" t="s">
        <v>204</v>
      </c>
      <c r="G38" t="s">
        <v>66</v>
      </c>
      <c r="H38" t="s">
        <v>204</v>
      </c>
      <c r="I38" t="s">
        <v>61</v>
      </c>
      <c r="J38" t="s">
        <v>235</v>
      </c>
      <c r="L38" t="s">
        <v>28</v>
      </c>
      <c r="P38">
        <v>3</v>
      </c>
    </row>
    <row r="39" spans="1:16" x14ac:dyDescent="0.45">
      <c r="A39" t="s">
        <v>28</v>
      </c>
      <c r="B39">
        <v>1157890</v>
      </c>
      <c r="C39">
        <v>7407</v>
      </c>
      <c r="D39" s="66">
        <v>8.3333333333333329E-2</v>
      </c>
      <c r="E39" s="66">
        <v>0</v>
      </c>
      <c r="F39" t="s">
        <v>28</v>
      </c>
      <c r="G39" t="s">
        <v>66</v>
      </c>
      <c r="H39" t="s">
        <v>28</v>
      </c>
      <c r="L39" t="s">
        <v>204</v>
      </c>
      <c r="P39">
        <v>3</v>
      </c>
    </row>
    <row r="40" spans="1:16" x14ac:dyDescent="0.45">
      <c r="A40" t="s">
        <v>28</v>
      </c>
      <c r="B40">
        <v>1174473</v>
      </c>
      <c r="C40">
        <v>8341</v>
      </c>
      <c r="D40" s="66">
        <v>8.3333333333333329E-2</v>
      </c>
      <c r="E40" s="66">
        <v>0</v>
      </c>
      <c r="F40" t="s">
        <v>28</v>
      </c>
      <c r="G40" t="s">
        <v>65</v>
      </c>
      <c r="H40" t="s">
        <v>28</v>
      </c>
      <c r="L40" t="s">
        <v>204</v>
      </c>
      <c r="P40">
        <v>3</v>
      </c>
    </row>
    <row r="41" spans="1:16" x14ac:dyDescent="0.45">
      <c r="A41" t="s">
        <v>204</v>
      </c>
      <c r="B41">
        <v>1195761</v>
      </c>
      <c r="C41">
        <v>5805</v>
      </c>
      <c r="D41" s="66">
        <v>8.3333333333333329E-2</v>
      </c>
      <c r="E41" s="66">
        <v>0</v>
      </c>
      <c r="F41" t="s">
        <v>28</v>
      </c>
      <c r="G41" t="s">
        <v>60</v>
      </c>
      <c r="H41" t="s">
        <v>204</v>
      </c>
      <c r="I41" t="s">
        <v>61</v>
      </c>
      <c r="J41" t="s">
        <v>64</v>
      </c>
      <c r="L41" t="s">
        <v>28</v>
      </c>
      <c r="P41">
        <v>3</v>
      </c>
    </row>
    <row r="42" spans="1:16" x14ac:dyDescent="0.45">
      <c r="A42" t="s">
        <v>204</v>
      </c>
      <c r="B42">
        <v>1215180</v>
      </c>
      <c r="C42">
        <v>7207</v>
      </c>
      <c r="D42" s="66">
        <v>8.3333333333333329E-2</v>
      </c>
      <c r="E42" s="66">
        <v>0</v>
      </c>
      <c r="F42" t="s">
        <v>204</v>
      </c>
      <c r="G42" t="s">
        <v>65</v>
      </c>
      <c r="H42" t="s">
        <v>204</v>
      </c>
      <c r="I42" t="s">
        <v>63</v>
      </c>
      <c r="J42" t="s">
        <v>64</v>
      </c>
      <c r="L42" t="s">
        <v>28</v>
      </c>
      <c r="P42">
        <v>3</v>
      </c>
    </row>
    <row r="43" spans="1:16" x14ac:dyDescent="0.45">
      <c r="A43" t="s">
        <v>28</v>
      </c>
      <c r="B43">
        <v>1242474</v>
      </c>
      <c r="C43">
        <v>8541</v>
      </c>
      <c r="D43" s="66">
        <v>8.3333333333333329E-2</v>
      </c>
      <c r="E43" s="66">
        <v>0</v>
      </c>
      <c r="F43" t="s">
        <v>28</v>
      </c>
      <c r="G43" t="s">
        <v>62</v>
      </c>
      <c r="H43" t="s">
        <v>28</v>
      </c>
      <c r="L43" t="s">
        <v>204</v>
      </c>
      <c r="P43">
        <v>3</v>
      </c>
    </row>
    <row r="44" spans="1:16" x14ac:dyDescent="0.45">
      <c r="A44" t="s">
        <v>28</v>
      </c>
      <c r="B44">
        <v>1266031</v>
      </c>
      <c r="C44">
        <v>7607</v>
      </c>
      <c r="D44" s="66">
        <v>8.3333333333333329E-2</v>
      </c>
      <c r="E44" s="66">
        <v>0</v>
      </c>
      <c r="F44" t="s">
        <v>28</v>
      </c>
      <c r="G44" t="s">
        <v>62</v>
      </c>
      <c r="H44" t="s">
        <v>28</v>
      </c>
      <c r="L44" t="s">
        <v>204</v>
      </c>
      <c r="P44">
        <v>3</v>
      </c>
    </row>
    <row r="45" spans="1:16" x14ac:dyDescent="0.45">
      <c r="A45" t="s">
        <v>204</v>
      </c>
      <c r="B45">
        <v>1289821</v>
      </c>
      <c r="C45">
        <v>8341</v>
      </c>
      <c r="D45" s="66">
        <v>8.3333333333333329E-2</v>
      </c>
      <c r="E45" s="66">
        <v>0</v>
      </c>
      <c r="F45" t="s">
        <v>204</v>
      </c>
      <c r="G45" t="s">
        <v>65</v>
      </c>
      <c r="H45" t="s">
        <v>204</v>
      </c>
      <c r="I45" t="s">
        <v>174</v>
      </c>
      <c r="J45" t="s">
        <v>64</v>
      </c>
      <c r="L45" t="s">
        <v>28</v>
      </c>
      <c r="P45">
        <v>3</v>
      </c>
    </row>
    <row r="46" spans="1:16" x14ac:dyDescent="0.45">
      <c r="A46" t="s">
        <v>204</v>
      </c>
      <c r="B46">
        <v>1312811</v>
      </c>
      <c r="C46">
        <v>6740</v>
      </c>
      <c r="D46" s="66">
        <v>8.3333333333333329E-2</v>
      </c>
      <c r="E46" s="66">
        <v>0</v>
      </c>
      <c r="F46" t="s">
        <v>28</v>
      </c>
      <c r="G46" t="s">
        <v>68</v>
      </c>
      <c r="H46" t="s">
        <v>204</v>
      </c>
      <c r="I46" t="s">
        <v>63</v>
      </c>
      <c r="J46" t="s">
        <v>64</v>
      </c>
      <c r="L46" t="s">
        <v>28</v>
      </c>
      <c r="P46">
        <v>3</v>
      </c>
    </row>
    <row r="47" spans="1:16" x14ac:dyDescent="0.45">
      <c r="A47" t="s">
        <v>28</v>
      </c>
      <c r="B47">
        <v>1353518</v>
      </c>
      <c r="C47">
        <v>7874</v>
      </c>
      <c r="D47" s="66">
        <v>8.3333333333333329E-2</v>
      </c>
      <c r="E47" s="66">
        <v>0</v>
      </c>
      <c r="F47" t="s">
        <v>204</v>
      </c>
      <c r="G47" t="s">
        <v>60</v>
      </c>
      <c r="H47" t="s">
        <v>28</v>
      </c>
      <c r="L47" t="s">
        <v>204</v>
      </c>
      <c r="P47">
        <v>3</v>
      </c>
    </row>
    <row r="48" spans="1:16" x14ac:dyDescent="0.45">
      <c r="A48" t="s">
        <v>28</v>
      </c>
      <c r="B48">
        <v>1377175</v>
      </c>
      <c r="C48">
        <v>8475</v>
      </c>
      <c r="D48" s="66">
        <v>8.3333333333333329E-2</v>
      </c>
      <c r="E48" s="66">
        <v>0</v>
      </c>
      <c r="F48" t="s">
        <v>204</v>
      </c>
      <c r="G48" t="s">
        <v>68</v>
      </c>
      <c r="H48" t="s">
        <v>28</v>
      </c>
      <c r="L48" t="s">
        <v>204</v>
      </c>
      <c r="P48">
        <v>3</v>
      </c>
    </row>
    <row r="49" spans="1:16" x14ac:dyDescent="0.45">
      <c r="A49" t="s">
        <v>204</v>
      </c>
      <c r="B49">
        <v>1408874</v>
      </c>
      <c r="C49">
        <v>6539</v>
      </c>
      <c r="D49" s="66">
        <v>8.3333333333333329E-2</v>
      </c>
      <c r="E49" s="66">
        <v>0</v>
      </c>
      <c r="F49" t="s">
        <v>28</v>
      </c>
      <c r="G49" t="s">
        <v>60</v>
      </c>
      <c r="H49" t="s">
        <v>204</v>
      </c>
      <c r="I49" t="s">
        <v>61</v>
      </c>
      <c r="J49" t="s">
        <v>235</v>
      </c>
      <c r="K49" t="s">
        <v>239</v>
      </c>
      <c r="L49" t="s">
        <v>28</v>
      </c>
      <c r="P49">
        <v>3</v>
      </c>
    </row>
    <row r="50" spans="1:16" x14ac:dyDescent="0.45">
      <c r="A50" t="s">
        <v>204</v>
      </c>
      <c r="B50">
        <v>1430595</v>
      </c>
      <c r="C50">
        <v>9342</v>
      </c>
      <c r="D50" s="66">
        <v>8.3333333333333329E-2</v>
      </c>
      <c r="E50" s="66">
        <v>0</v>
      </c>
      <c r="F50" t="s">
        <v>28</v>
      </c>
      <c r="G50" t="s">
        <v>67</v>
      </c>
      <c r="H50" t="s">
        <v>204</v>
      </c>
      <c r="I50" t="s">
        <v>61</v>
      </c>
      <c r="J50" t="s">
        <v>64</v>
      </c>
      <c r="K50" t="s">
        <v>234</v>
      </c>
      <c r="L50" t="s">
        <v>28</v>
      </c>
      <c r="P50">
        <v>3</v>
      </c>
    </row>
    <row r="51" spans="1:16" x14ac:dyDescent="0.45">
      <c r="A51" t="s">
        <v>28</v>
      </c>
      <c r="B51">
        <v>1457456</v>
      </c>
      <c r="C51">
        <v>7607</v>
      </c>
      <c r="D51" s="66">
        <v>8.3333333333333329E-2</v>
      </c>
      <c r="E51" s="66">
        <v>0</v>
      </c>
      <c r="F51" t="s">
        <v>28</v>
      </c>
      <c r="G51" t="s">
        <v>62</v>
      </c>
      <c r="H51" t="s">
        <v>28</v>
      </c>
      <c r="L51" t="s">
        <v>204</v>
      </c>
      <c r="P51">
        <v>3</v>
      </c>
    </row>
    <row r="52" spans="1:16" x14ac:dyDescent="0.45">
      <c r="A52" t="s">
        <v>28</v>
      </c>
      <c r="B52">
        <v>1478877</v>
      </c>
      <c r="C52">
        <v>7340</v>
      </c>
      <c r="D52" s="66">
        <v>8.3333333333333329E-2</v>
      </c>
      <c r="E52" s="66">
        <v>0</v>
      </c>
      <c r="F52" t="s">
        <v>28</v>
      </c>
      <c r="G52" t="s">
        <v>62</v>
      </c>
      <c r="H52" t="s">
        <v>28</v>
      </c>
      <c r="L52" t="s">
        <v>204</v>
      </c>
      <c r="P52">
        <v>3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D01CA-51E4-480B-8CE7-83655DD2A5D3}">
  <sheetPr codeName="wsCsv"/>
  <dimension ref="A1:O53"/>
  <sheetViews>
    <sheetView workbookViewId="0"/>
  </sheetViews>
  <sheetFormatPr defaultRowHeight="18" x14ac:dyDescent="0.45"/>
  <cols>
    <col min="1" max="1" width="14.8984375" bestFit="1" customWidth="1"/>
    <col min="2" max="2" width="11" bestFit="1" customWidth="1"/>
    <col min="3" max="3" width="15.09765625" bestFit="1" customWidth="1"/>
    <col min="4" max="4" width="18.5" bestFit="1" customWidth="1"/>
    <col min="5" max="5" width="16" bestFit="1" customWidth="1"/>
    <col min="6" max="6" width="14.8984375" bestFit="1" customWidth="1"/>
    <col min="7" max="7" width="8.59765625" bestFit="1" customWidth="1"/>
    <col min="8" max="8" width="14.8984375" bestFit="1" customWidth="1"/>
    <col min="9" max="11" width="9.8984375" bestFit="1" customWidth="1"/>
    <col min="12" max="12" width="14.8984375" bestFit="1" customWidth="1"/>
    <col min="13" max="15" width="10" bestFit="1" customWidth="1"/>
    <col min="16" max="16" width="2.69921875" bestFit="1" customWidth="1"/>
    <col min="18" max="18" width="13" bestFit="1" customWidth="1"/>
  </cols>
  <sheetData>
    <row r="1" spans="1:15" x14ac:dyDescent="0.45">
      <c r="A1" t="s">
        <v>151</v>
      </c>
      <c r="B1" t="s">
        <v>152</v>
      </c>
      <c r="C1" t="s">
        <v>153</v>
      </c>
      <c r="D1" t="s">
        <v>69</v>
      </c>
      <c r="E1" t="s">
        <v>70</v>
      </c>
      <c r="F1" t="s">
        <v>71</v>
      </c>
      <c r="G1" t="s">
        <v>72</v>
      </c>
      <c r="H1" t="s">
        <v>73</v>
      </c>
      <c r="I1" t="s">
        <v>74</v>
      </c>
      <c r="J1" t="s">
        <v>75</v>
      </c>
      <c r="K1" t="s">
        <v>76</v>
      </c>
      <c r="L1" t="s">
        <v>77</v>
      </c>
      <c r="M1" t="s">
        <v>78</v>
      </c>
      <c r="N1" t="s">
        <v>79</v>
      </c>
      <c r="O1" t="s">
        <v>233</v>
      </c>
    </row>
    <row r="2" spans="1:15" x14ac:dyDescent="0.45">
      <c r="A2" t="s">
        <v>240</v>
      </c>
      <c r="B2">
        <v>44144</v>
      </c>
      <c r="C2">
        <v>5271</v>
      </c>
      <c r="D2" s="66">
        <v>0</v>
      </c>
      <c r="E2" s="66">
        <v>0</v>
      </c>
      <c r="F2" t="s">
        <v>204</v>
      </c>
      <c r="G2" t="s">
        <v>66</v>
      </c>
      <c r="H2" t="s">
        <v>204</v>
      </c>
      <c r="I2" t="s">
        <v>61</v>
      </c>
      <c r="J2" t="s">
        <v>64</v>
      </c>
      <c r="K2" t="s">
        <v>64</v>
      </c>
      <c r="L2" t="s">
        <v>28</v>
      </c>
      <c r="M2" t="s">
        <v>64</v>
      </c>
      <c r="N2" t="s">
        <v>82</v>
      </c>
      <c r="O2" t="s">
        <v>81</v>
      </c>
    </row>
    <row r="3" spans="1:15" x14ac:dyDescent="0.45">
      <c r="A3" t="s">
        <v>241</v>
      </c>
      <c r="B3">
        <v>56823</v>
      </c>
      <c r="C3">
        <v>6673</v>
      </c>
      <c r="D3" s="66">
        <v>0</v>
      </c>
      <c r="E3" s="66">
        <v>0</v>
      </c>
      <c r="F3" t="s">
        <v>28</v>
      </c>
      <c r="G3" t="s">
        <v>68</v>
      </c>
      <c r="H3" t="s">
        <v>204</v>
      </c>
      <c r="I3" t="s">
        <v>63</v>
      </c>
      <c r="J3" t="s">
        <v>64</v>
      </c>
      <c r="L3" t="s">
        <v>28</v>
      </c>
    </row>
    <row r="4" spans="1:15" x14ac:dyDescent="0.45">
      <c r="A4" t="s">
        <v>242</v>
      </c>
      <c r="B4">
        <v>80146</v>
      </c>
      <c r="C4">
        <v>7140</v>
      </c>
      <c r="D4" s="66">
        <v>0</v>
      </c>
      <c r="E4" s="66">
        <v>0</v>
      </c>
      <c r="F4" t="s">
        <v>28</v>
      </c>
      <c r="G4" t="s">
        <v>62</v>
      </c>
      <c r="H4" t="s">
        <v>28</v>
      </c>
      <c r="L4" t="s">
        <v>204</v>
      </c>
    </row>
    <row r="5" spans="1:15" x14ac:dyDescent="0.45">
      <c r="A5" t="s">
        <v>243</v>
      </c>
      <c r="B5">
        <v>105071</v>
      </c>
      <c r="C5">
        <v>9009</v>
      </c>
      <c r="D5" s="66">
        <v>0</v>
      </c>
      <c r="E5" s="66">
        <v>0</v>
      </c>
      <c r="F5" t="s">
        <v>28</v>
      </c>
      <c r="G5" t="s">
        <v>65</v>
      </c>
      <c r="H5" t="s">
        <v>28</v>
      </c>
      <c r="L5" t="s">
        <v>204</v>
      </c>
    </row>
    <row r="6" spans="1:15" x14ac:dyDescent="0.45">
      <c r="A6" t="s">
        <v>244</v>
      </c>
      <c r="B6">
        <v>125291</v>
      </c>
      <c r="C6">
        <v>5538</v>
      </c>
      <c r="D6" s="66">
        <v>0</v>
      </c>
      <c r="E6" s="66">
        <v>0</v>
      </c>
      <c r="F6" t="s">
        <v>204</v>
      </c>
      <c r="G6" t="s">
        <v>66</v>
      </c>
      <c r="H6" t="s">
        <v>204</v>
      </c>
      <c r="I6" t="s">
        <v>61</v>
      </c>
      <c r="J6" t="s">
        <v>64</v>
      </c>
      <c r="L6" t="s">
        <v>28</v>
      </c>
    </row>
    <row r="7" spans="1:15" x14ac:dyDescent="0.45">
      <c r="A7" t="s">
        <v>245</v>
      </c>
      <c r="B7">
        <v>143743</v>
      </c>
      <c r="C7">
        <v>6006</v>
      </c>
      <c r="D7" s="66">
        <v>0</v>
      </c>
      <c r="E7" s="66">
        <v>0</v>
      </c>
      <c r="F7" t="s">
        <v>28</v>
      </c>
      <c r="G7" t="s">
        <v>60</v>
      </c>
      <c r="H7" t="s">
        <v>204</v>
      </c>
      <c r="I7" t="s">
        <v>61</v>
      </c>
      <c r="J7" t="s">
        <v>64</v>
      </c>
      <c r="L7" t="s">
        <v>28</v>
      </c>
    </row>
    <row r="8" spans="1:15" x14ac:dyDescent="0.45">
      <c r="A8" t="s">
        <v>246</v>
      </c>
      <c r="B8">
        <v>170236</v>
      </c>
      <c r="C8">
        <v>8074</v>
      </c>
      <c r="D8" s="66">
        <v>0</v>
      </c>
      <c r="E8" s="66">
        <v>0</v>
      </c>
      <c r="F8" t="s">
        <v>204</v>
      </c>
      <c r="G8" t="s">
        <v>60</v>
      </c>
      <c r="H8" t="s">
        <v>28</v>
      </c>
      <c r="L8" t="s">
        <v>204</v>
      </c>
    </row>
    <row r="9" spans="1:15" x14ac:dyDescent="0.45">
      <c r="A9" t="s">
        <v>247</v>
      </c>
      <c r="B9">
        <v>200466</v>
      </c>
      <c r="C9">
        <v>8008</v>
      </c>
      <c r="D9" s="66">
        <v>0</v>
      </c>
      <c r="E9" s="66">
        <v>0</v>
      </c>
      <c r="F9" t="s">
        <v>28</v>
      </c>
      <c r="G9" t="s">
        <v>62</v>
      </c>
      <c r="H9" t="s">
        <v>28</v>
      </c>
      <c r="L9" t="s">
        <v>204</v>
      </c>
    </row>
    <row r="10" spans="1:15" x14ac:dyDescent="0.45">
      <c r="A10" t="s">
        <v>248</v>
      </c>
      <c r="B10">
        <v>222889</v>
      </c>
      <c r="C10">
        <v>8208</v>
      </c>
      <c r="D10" s="66">
        <v>0</v>
      </c>
      <c r="E10" s="66">
        <v>0</v>
      </c>
      <c r="F10" t="s">
        <v>204</v>
      </c>
      <c r="G10" t="s">
        <v>65</v>
      </c>
      <c r="H10" t="s">
        <v>204</v>
      </c>
      <c r="I10" t="s">
        <v>61</v>
      </c>
      <c r="J10" t="s">
        <v>64</v>
      </c>
      <c r="L10" t="s">
        <v>28</v>
      </c>
    </row>
    <row r="11" spans="1:15" x14ac:dyDescent="0.45">
      <c r="A11" t="s">
        <v>249</v>
      </c>
      <c r="B11">
        <v>243009</v>
      </c>
      <c r="C11">
        <v>7941</v>
      </c>
      <c r="D11" s="66">
        <v>0</v>
      </c>
      <c r="E11" s="66">
        <v>0</v>
      </c>
      <c r="F11" t="s">
        <v>28</v>
      </c>
      <c r="G11" t="s">
        <v>68</v>
      </c>
      <c r="H11" t="s">
        <v>204</v>
      </c>
      <c r="I11" t="s">
        <v>61</v>
      </c>
      <c r="J11" t="s">
        <v>64</v>
      </c>
      <c r="L11" t="s">
        <v>28</v>
      </c>
    </row>
    <row r="12" spans="1:15" x14ac:dyDescent="0.45">
      <c r="A12" t="s">
        <v>250</v>
      </c>
      <c r="B12">
        <v>268635</v>
      </c>
      <c r="C12">
        <v>9075</v>
      </c>
      <c r="D12" s="66">
        <v>0</v>
      </c>
      <c r="E12" s="66">
        <v>0</v>
      </c>
      <c r="F12" t="s">
        <v>204</v>
      </c>
      <c r="G12" t="s">
        <v>68</v>
      </c>
      <c r="H12" t="s">
        <v>28</v>
      </c>
      <c r="L12" t="s">
        <v>204</v>
      </c>
    </row>
    <row r="13" spans="1:15" x14ac:dyDescent="0.45">
      <c r="A13" t="s">
        <v>251</v>
      </c>
      <c r="B13">
        <v>293459</v>
      </c>
      <c r="C13">
        <v>8608</v>
      </c>
      <c r="D13" s="66">
        <v>0</v>
      </c>
      <c r="E13" s="66">
        <v>0</v>
      </c>
      <c r="F13" t="s">
        <v>28</v>
      </c>
      <c r="G13" t="s">
        <v>62</v>
      </c>
      <c r="H13" t="s">
        <v>28</v>
      </c>
      <c r="L13" t="s">
        <v>204</v>
      </c>
    </row>
    <row r="14" spans="1:15" x14ac:dyDescent="0.45">
      <c r="A14" t="s">
        <v>252</v>
      </c>
      <c r="B14">
        <v>323089</v>
      </c>
      <c r="C14">
        <v>6139</v>
      </c>
      <c r="D14" s="66">
        <v>0</v>
      </c>
      <c r="E14" s="66">
        <v>0</v>
      </c>
      <c r="F14" t="s">
        <v>28</v>
      </c>
      <c r="G14" t="s">
        <v>60</v>
      </c>
      <c r="H14" t="s">
        <v>204</v>
      </c>
      <c r="I14" t="s">
        <v>61</v>
      </c>
      <c r="J14" t="s">
        <v>64</v>
      </c>
      <c r="L14" t="s">
        <v>28</v>
      </c>
    </row>
    <row r="15" spans="1:15" x14ac:dyDescent="0.45">
      <c r="A15" t="s">
        <v>253</v>
      </c>
      <c r="B15">
        <v>343443</v>
      </c>
      <c r="C15">
        <v>7140</v>
      </c>
      <c r="D15" s="66">
        <v>0</v>
      </c>
      <c r="E15" s="66">
        <v>0</v>
      </c>
      <c r="F15" t="s">
        <v>204</v>
      </c>
      <c r="G15" t="s">
        <v>66</v>
      </c>
      <c r="H15" t="s">
        <v>204</v>
      </c>
      <c r="I15" t="s">
        <v>63</v>
      </c>
      <c r="J15" t="s">
        <v>64</v>
      </c>
      <c r="L15" t="s">
        <v>28</v>
      </c>
    </row>
    <row r="16" spans="1:15" x14ac:dyDescent="0.45">
      <c r="A16" t="s">
        <v>254</v>
      </c>
      <c r="B16">
        <v>366632</v>
      </c>
      <c r="C16">
        <v>9409</v>
      </c>
      <c r="D16" s="66">
        <v>0</v>
      </c>
      <c r="E16" s="66">
        <v>0</v>
      </c>
      <c r="F16" t="s">
        <v>28</v>
      </c>
      <c r="G16" t="s">
        <v>65</v>
      </c>
      <c r="H16" t="s">
        <v>28</v>
      </c>
      <c r="L16" t="s">
        <v>204</v>
      </c>
    </row>
    <row r="17" spans="1:12" x14ac:dyDescent="0.45">
      <c r="A17" t="s">
        <v>255</v>
      </c>
      <c r="B17">
        <v>392191</v>
      </c>
      <c r="C17">
        <v>8808</v>
      </c>
      <c r="D17" s="66">
        <v>0</v>
      </c>
      <c r="E17" s="66">
        <v>0</v>
      </c>
      <c r="F17" t="s">
        <v>28</v>
      </c>
      <c r="G17" t="s">
        <v>62</v>
      </c>
      <c r="H17" t="s">
        <v>28</v>
      </c>
      <c r="L17" t="s">
        <v>204</v>
      </c>
    </row>
    <row r="18" spans="1:12" x14ac:dyDescent="0.45">
      <c r="A18" t="s">
        <v>256</v>
      </c>
      <c r="B18">
        <v>415815</v>
      </c>
      <c r="C18">
        <v>7007</v>
      </c>
      <c r="D18" s="66">
        <v>0</v>
      </c>
      <c r="E18" s="66">
        <v>0</v>
      </c>
      <c r="F18" t="s">
        <v>28</v>
      </c>
      <c r="G18" t="s">
        <v>68</v>
      </c>
      <c r="H18" t="s">
        <v>204</v>
      </c>
      <c r="I18" t="s">
        <v>63</v>
      </c>
      <c r="J18" t="s">
        <v>64</v>
      </c>
      <c r="L18" t="s">
        <v>28</v>
      </c>
    </row>
    <row r="19" spans="1:12" x14ac:dyDescent="0.45">
      <c r="A19" t="s">
        <v>257</v>
      </c>
      <c r="B19">
        <v>532465</v>
      </c>
      <c r="C19">
        <v>7407</v>
      </c>
      <c r="D19" s="66">
        <v>4.1666666666666664E-2</v>
      </c>
      <c r="E19" s="66">
        <v>0</v>
      </c>
      <c r="F19" t="s">
        <v>28</v>
      </c>
      <c r="G19" t="s">
        <v>66</v>
      </c>
      <c r="H19" t="s">
        <v>28</v>
      </c>
      <c r="L19" t="s">
        <v>204</v>
      </c>
    </row>
    <row r="20" spans="1:12" x14ac:dyDescent="0.45">
      <c r="A20" t="s">
        <v>258</v>
      </c>
      <c r="B20">
        <v>553352</v>
      </c>
      <c r="C20">
        <v>10543</v>
      </c>
      <c r="D20" s="66">
        <v>4.1666666666666664E-2</v>
      </c>
      <c r="E20" s="66">
        <v>0</v>
      </c>
      <c r="F20" t="s">
        <v>204</v>
      </c>
      <c r="G20" t="s">
        <v>68</v>
      </c>
      <c r="H20" t="s">
        <v>28</v>
      </c>
      <c r="L20" t="s">
        <v>204</v>
      </c>
    </row>
    <row r="21" spans="1:12" x14ac:dyDescent="0.45">
      <c r="A21" t="s">
        <v>259</v>
      </c>
      <c r="B21">
        <v>580913</v>
      </c>
      <c r="C21">
        <v>5605</v>
      </c>
      <c r="D21" s="66">
        <v>4.1666666666666664E-2</v>
      </c>
      <c r="E21" s="66">
        <v>0</v>
      </c>
      <c r="F21" t="s">
        <v>28</v>
      </c>
      <c r="G21" t="s">
        <v>60</v>
      </c>
      <c r="H21" t="s">
        <v>204</v>
      </c>
      <c r="I21" t="s">
        <v>61</v>
      </c>
      <c r="J21" t="s">
        <v>235</v>
      </c>
      <c r="L21" t="s">
        <v>28</v>
      </c>
    </row>
    <row r="22" spans="1:12" x14ac:dyDescent="0.45">
      <c r="A22" t="s">
        <v>260</v>
      </c>
      <c r="B22">
        <v>599599</v>
      </c>
      <c r="C22">
        <v>6139</v>
      </c>
      <c r="D22" s="66">
        <v>4.1666666666666664E-2</v>
      </c>
      <c r="E22" s="66">
        <v>0</v>
      </c>
      <c r="F22" t="s">
        <v>28</v>
      </c>
      <c r="G22" t="s">
        <v>60</v>
      </c>
      <c r="H22" t="s">
        <v>204</v>
      </c>
      <c r="I22" t="s">
        <v>174</v>
      </c>
      <c r="J22" t="s">
        <v>64</v>
      </c>
      <c r="L22" t="s">
        <v>28</v>
      </c>
    </row>
    <row r="23" spans="1:12" x14ac:dyDescent="0.45">
      <c r="A23" t="s">
        <v>261</v>
      </c>
      <c r="B23">
        <v>623556</v>
      </c>
      <c r="C23">
        <v>9142</v>
      </c>
      <c r="D23" s="66">
        <v>4.1666666666666664E-2</v>
      </c>
      <c r="E23" s="66">
        <v>0</v>
      </c>
      <c r="F23" t="s">
        <v>28</v>
      </c>
      <c r="G23" t="s">
        <v>65</v>
      </c>
      <c r="H23" t="s">
        <v>28</v>
      </c>
      <c r="L23" t="s">
        <v>204</v>
      </c>
    </row>
    <row r="24" spans="1:12" x14ac:dyDescent="0.45">
      <c r="A24" t="s">
        <v>262</v>
      </c>
      <c r="B24">
        <v>650182</v>
      </c>
      <c r="C24">
        <v>8341</v>
      </c>
      <c r="D24" s="66">
        <v>4.1666666666666664E-2</v>
      </c>
      <c r="E24" s="66">
        <v>0</v>
      </c>
      <c r="F24" t="s">
        <v>28</v>
      </c>
      <c r="G24" t="s">
        <v>62</v>
      </c>
      <c r="H24" t="s">
        <v>28</v>
      </c>
      <c r="L24" t="s">
        <v>204</v>
      </c>
    </row>
    <row r="25" spans="1:12" x14ac:dyDescent="0.45">
      <c r="A25" t="s">
        <v>263</v>
      </c>
      <c r="B25">
        <v>680279</v>
      </c>
      <c r="C25">
        <v>5205</v>
      </c>
      <c r="D25" s="66">
        <v>4.1666666666666664E-2</v>
      </c>
      <c r="E25" s="66">
        <v>0</v>
      </c>
      <c r="F25" t="s">
        <v>204</v>
      </c>
      <c r="G25" t="s">
        <v>66</v>
      </c>
      <c r="H25" t="s">
        <v>204</v>
      </c>
      <c r="I25" t="s">
        <v>174</v>
      </c>
      <c r="J25" t="s">
        <v>64</v>
      </c>
      <c r="L25" t="s">
        <v>28</v>
      </c>
    </row>
    <row r="26" spans="1:12" x14ac:dyDescent="0.45">
      <c r="A26" t="s">
        <v>264</v>
      </c>
      <c r="B26">
        <v>696762</v>
      </c>
      <c r="C26">
        <v>6940</v>
      </c>
      <c r="D26" s="66">
        <v>4.1666666666666664E-2</v>
      </c>
      <c r="E26" s="66">
        <v>0</v>
      </c>
      <c r="F26" t="s">
        <v>204</v>
      </c>
      <c r="G26" t="s">
        <v>62</v>
      </c>
      <c r="H26" t="s">
        <v>204</v>
      </c>
      <c r="I26" t="s">
        <v>174</v>
      </c>
      <c r="J26" t="s">
        <v>64</v>
      </c>
      <c r="L26" t="s">
        <v>28</v>
      </c>
    </row>
    <row r="27" spans="1:12" x14ac:dyDescent="0.45">
      <c r="A27" t="s">
        <v>265</v>
      </c>
      <c r="B27">
        <v>725157</v>
      </c>
      <c r="C27">
        <v>7273</v>
      </c>
      <c r="D27" s="66">
        <v>4.1666666666666664E-2</v>
      </c>
      <c r="E27" s="66">
        <v>0</v>
      </c>
      <c r="F27" t="s">
        <v>28</v>
      </c>
      <c r="G27" t="s">
        <v>62</v>
      </c>
      <c r="H27" t="s">
        <v>28</v>
      </c>
      <c r="L27" t="s">
        <v>204</v>
      </c>
    </row>
    <row r="28" spans="1:12" x14ac:dyDescent="0.45">
      <c r="A28" t="s">
        <v>266</v>
      </c>
      <c r="B28">
        <v>750216</v>
      </c>
      <c r="C28">
        <v>8408</v>
      </c>
      <c r="D28" s="66">
        <v>4.1666666666666664E-2</v>
      </c>
      <c r="E28" s="66">
        <v>0</v>
      </c>
      <c r="F28" t="s">
        <v>28</v>
      </c>
      <c r="G28" t="s">
        <v>66</v>
      </c>
      <c r="H28" t="s">
        <v>28</v>
      </c>
      <c r="L28" t="s">
        <v>204</v>
      </c>
    </row>
    <row r="29" spans="1:12" x14ac:dyDescent="0.45">
      <c r="A29" t="s">
        <v>267</v>
      </c>
      <c r="B29">
        <v>771737</v>
      </c>
      <c r="C29">
        <v>5872</v>
      </c>
      <c r="D29" s="66">
        <v>4.1666666666666664E-2</v>
      </c>
      <c r="E29" s="66">
        <v>0</v>
      </c>
      <c r="F29" t="s">
        <v>204</v>
      </c>
      <c r="G29" t="s">
        <v>66</v>
      </c>
      <c r="H29" t="s">
        <v>204</v>
      </c>
      <c r="I29" t="s">
        <v>174</v>
      </c>
      <c r="J29" t="s">
        <v>64</v>
      </c>
      <c r="L29" t="s">
        <v>28</v>
      </c>
    </row>
    <row r="30" spans="1:12" x14ac:dyDescent="0.45">
      <c r="A30" t="s">
        <v>268</v>
      </c>
      <c r="B30">
        <v>791223</v>
      </c>
      <c r="C30">
        <v>7207</v>
      </c>
      <c r="D30" s="66">
        <v>4.1666666666666664E-2</v>
      </c>
      <c r="E30" s="66">
        <v>0</v>
      </c>
      <c r="F30" t="s">
        <v>28</v>
      </c>
      <c r="G30" t="s">
        <v>68</v>
      </c>
      <c r="H30" t="s">
        <v>204</v>
      </c>
      <c r="I30" t="s">
        <v>174</v>
      </c>
      <c r="J30" t="s">
        <v>235</v>
      </c>
      <c r="L30" t="s">
        <v>28</v>
      </c>
    </row>
    <row r="31" spans="1:12" x14ac:dyDescent="0.45">
      <c r="A31" t="s">
        <v>269</v>
      </c>
      <c r="B31">
        <v>851217</v>
      </c>
      <c r="C31">
        <v>11077</v>
      </c>
      <c r="D31" s="66">
        <v>4.1666666666666664E-2</v>
      </c>
      <c r="E31" s="66">
        <v>0</v>
      </c>
      <c r="F31" t="s">
        <v>204</v>
      </c>
      <c r="G31" t="s">
        <v>238</v>
      </c>
      <c r="H31" t="s">
        <v>28</v>
      </c>
      <c r="L31" t="s">
        <v>204</v>
      </c>
    </row>
    <row r="32" spans="1:12" x14ac:dyDescent="0.45">
      <c r="A32" t="s">
        <v>270</v>
      </c>
      <c r="B32">
        <v>885184</v>
      </c>
      <c r="C32">
        <v>9476</v>
      </c>
      <c r="D32" s="66">
        <v>4.1666666666666664E-2</v>
      </c>
      <c r="E32" s="66">
        <v>0</v>
      </c>
      <c r="F32" t="s">
        <v>204</v>
      </c>
      <c r="G32" t="s">
        <v>68</v>
      </c>
      <c r="H32" t="s">
        <v>28</v>
      </c>
      <c r="L32" t="s">
        <v>204</v>
      </c>
    </row>
    <row r="33" spans="1:12" x14ac:dyDescent="0.45">
      <c r="A33" t="s">
        <v>271</v>
      </c>
      <c r="B33">
        <v>945244</v>
      </c>
      <c r="C33">
        <v>6740</v>
      </c>
      <c r="D33" s="66">
        <v>4.1666666666666664E-2</v>
      </c>
      <c r="E33" s="66">
        <v>0</v>
      </c>
      <c r="F33" t="s">
        <v>28</v>
      </c>
      <c r="G33" t="s">
        <v>60</v>
      </c>
      <c r="H33" t="s">
        <v>204</v>
      </c>
      <c r="I33" t="s">
        <v>174</v>
      </c>
      <c r="J33" t="s">
        <v>64</v>
      </c>
      <c r="L33" t="s">
        <v>28</v>
      </c>
    </row>
    <row r="34" spans="1:12" x14ac:dyDescent="0.45">
      <c r="A34" t="s">
        <v>272</v>
      </c>
      <c r="B34">
        <v>965297</v>
      </c>
      <c r="C34">
        <v>7140</v>
      </c>
      <c r="D34" s="66">
        <v>4.1666666666666664E-2</v>
      </c>
      <c r="E34" s="66">
        <v>0</v>
      </c>
      <c r="F34" t="s">
        <v>204</v>
      </c>
      <c r="G34" t="s">
        <v>66</v>
      </c>
      <c r="H34" t="s">
        <v>204</v>
      </c>
      <c r="I34" t="s">
        <v>61</v>
      </c>
      <c r="J34" t="s">
        <v>64</v>
      </c>
      <c r="L34" t="s">
        <v>28</v>
      </c>
    </row>
    <row r="35" spans="1:12" x14ac:dyDescent="0.45">
      <c r="A35" t="s">
        <v>273</v>
      </c>
      <c r="B35">
        <v>991123</v>
      </c>
      <c r="C35">
        <v>12879</v>
      </c>
      <c r="D35" s="66">
        <v>4.1666666666666664E-2</v>
      </c>
      <c r="E35" s="66">
        <v>0</v>
      </c>
      <c r="F35" t="s">
        <v>28</v>
      </c>
      <c r="G35" t="s">
        <v>230</v>
      </c>
      <c r="H35" t="s">
        <v>28</v>
      </c>
      <c r="L35" t="s">
        <v>204</v>
      </c>
    </row>
    <row r="36" spans="1:12" x14ac:dyDescent="0.45">
      <c r="A36" t="s">
        <v>274</v>
      </c>
      <c r="B36">
        <v>1022521</v>
      </c>
      <c r="C36">
        <v>6740</v>
      </c>
      <c r="D36" s="66">
        <v>4.1666666666666664E-2</v>
      </c>
      <c r="E36" s="66">
        <v>0</v>
      </c>
      <c r="F36" t="s">
        <v>28</v>
      </c>
      <c r="G36" t="s">
        <v>62</v>
      </c>
      <c r="H36" t="s">
        <v>28</v>
      </c>
      <c r="L36" t="s">
        <v>204</v>
      </c>
    </row>
    <row r="37" spans="1:12" x14ac:dyDescent="0.45">
      <c r="A37" t="s">
        <v>275</v>
      </c>
      <c r="B37">
        <v>1125290</v>
      </c>
      <c r="C37">
        <v>5672</v>
      </c>
      <c r="D37" s="66">
        <v>8.3333333333333329E-2</v>
      </c>
      <c r="E37" s="66">
        <v>0</v>
      </c>
      <c r="F37" t="s">
        <v>28</v>
      </c>
      <c r="G37" t="s">
        <v>60</v>
      </c>
      <c r="H37" t="s">
        <v>204</v>
      </c>
      <c r="I37" t="s">
        <v>174</v>
      </c>
      <c r="J37" t="s">
        <v>235</v>
      </c>
      <c r="L37" t="s">
        <v>28</v>
      </c>
    </row>
    <row r="38" spans="1:12" x14ac:dyDescent="0.45">
      <c r="A38" t="s">
        <v>276</v>
      </c>
      <c r="B38">
        <v>1141106</v>
      </c>
      <c r="C38">
        <v>5472</v>
      </c>
      <c r="D38" s="66">
        <v>8.3333333333333329E-2</v>
      </c>
      <c r="E38" s="66">
        <v>0</v>
      </c>
      <c r="F38" t="s">
        <v>204</v>
      </c>
      <c r="G38" t="s">
        <v>66</v>
      </c>
      <c r="H38" t="s">
        <v>204</v>
      </c>
      <c r="I38" t="s">
        <v>61</v>
      </c>
      <c r="J38" t="s">
        <v>235</v>
      </c>
      <c r="L38" t="s">
        <v>28</v>
      </c>
    </row>
    <row r="39" spans="1:12" x14ac:dyDescent="0.45">
      <c r="A39" t="s">
        <v>277</v>
      </c>
      <c r="B39">
        <v>1157890</v>
      </c>
      <c r="C39">
        <v>7407</v>
      </c>
      <c r="D39" s="66">
        <v>8.3333333333333329E-2</v>
      </c>
      <c r="E39" s="66">
        <v>0</v>
      </c>
      <c r="F39" t="s">
        <v>28</v>
      </c>
      <c r="G39" t="s">
        <v>66</v>
      </c>
      <c r="H39" t="s">
        <v>28</v>
      </c>
      <c r="L39" t="s">
        <v>204</v>
      </c>
    </row>
    <row r="40" spans="1:12" x14ac:dyDescent="0.45">
      <c r="A40" t="s">
        <v>278</v>
      </c>
      <c r="B40">
        <v>1174473</v>
      </c>
      <c r="C40">
        <v>8341</v>
      </c>
      <c r="D40" s="66">
        <v>8.3333333333333329E-2</v>
      </c>
      <c r="E40" s="66">
        <v>0</v>
      </c>
      <c r="F40" t="s">
        <v>28</v>
      </c>
      <c r="G40" t="s">
        <v>65</v>
      </c>
      <c r="H40" t="s">
        <v>28</v>
      </c>
      <c r="L40" t="s">
        <v>204</v>
      </c>
    </row>
    <row r="41" spans="1:12" x14ac:dyDescent="0.45">
      <c r="A41" t="s">
        <v>279</v>
      </c>
      <c r="B41">
        <v>1195761</v>
      </c>
      <c r="C41">
        <v>5805</v>
      </c>
      <c r="D41" s="66">
        <v>8.3333333333333329E-2</v>
      </c>
      <c r="E41" s="66">
        <v>0</v>
      </c>
      <c r="F41" t="s">
        <v>28</v>
      </c>
      <c r="G41" t="s">
        <v>60</v>
      </c>
      <c r="H41" t="s">
        <v>204</v>
      </c>
      <c r="I41" t="s">
        <v>61</v>
      </c>
      <c r="J41" t="s">
        <v>64</v>
      </c>
      <c r="L41" t="s">
        <v>28</v>
      </c>
    </row>
    <row r="42" spans="1:12" x14ac:dyDescent="0.45">
      <c r="A42" t="s">
        <v>280</v>
      </c>
      <c r="B42">
        <v>1215180</v>
      </c>
      <c r="C42">
        <v>7207</v>
      </c>
      <c r="D42" s="66">
        <v>8.3333333333333329E-2</v>
      </c>
      <c r="E42" s="66">
        <v>0</v>
      </c>
      <c r="F42" t="s">
        <v>204</v>
      </c>
      <c r="G42" t="s">
        <v>65</v>
      </c>
      <c r="H42" t="s">
        <v>204</v>
      </c>
      <c r="I42" t="s">
        <v>63</v>
      </c>
      <c r="J42" t="s">
        <v>64</v>
      </c>
      <c r="L42" t="s">
        <v>28</v>
      </c>
    </row>
    <row r="43" spans="1:12" x14ac:dyDescent="0.45">
      <c r="A43" t="s">
        <v>281</v>
      </c>
      <c r="B43">
        <v>1242474</v>
      </c>
      <c r="C43">
        <v>8541</v>
      </c>
      <c r="D43" s="66">
        <v>8.3333333333333329E-2</v>
      </c>
      <c r="E43" s="66">
        <v>0</v>
      </c>
      <c r="F43" t="s">
        <v>28</v>
      </c>
      <c r="G43" t="s">
        <v>62</v>
      </c>
      <c r="H43" t="s">
        <v>28</v>
      </c>
      <c r="L43" t="s">
        <v>204</v>
      </c>
    </row>
    <row r="44" spans="1:12" x14ac:dyDescent="0.45">
      <c r="A44" t="s">
        <v>282</v>
      </c>
      <c r="B44">
        <v>1266031</v>
      </c>
      <c r="C44">
        <v>7607</v>
      </c>
      <c r="D44" s="66">
        <v>8.3333333333333329E-2</v>
      </c>
      <c r="E44" s="66">
        <v>0</v>
      </c>
      <c r="F44" t="s">
        <v>28</v>
      </c>
      <c r="G44" t="s">
        <v>62</v>
      </c>
      <c r="H44" t="s">
        <v>28</v>
      </c>
      <c r="L44" t="s">
        <v>204</v>
      </c>
    </row>
    <row r="45" spans="1:12" x14ac:dyDescent="0.45">
      <c r="A45" t="s">
        <v>283</v>
      </c>
      <c r="B45">
        <v>1289821</v>
      </c>
      <c r="C45">
        <v>8341</v>
      </c>
      <c r="D45" s="66">
        <v>8.3333333333333329E-2</v>
      </c>
      <c r="E45" s="66">
        <v>0</v>
      </c>
      <c r="F45" t="s">
        <v>204</v>
      </c>
      <c r="G45" t="s">
        <v>65</v>
      </c>
      <c r="H45" t="s">
        <v>204</v>
      </c>
      <c r="I45" t="s">
        <v>174</v>
      </c>
      <c r="J45" t="s">
        <v>64</v>
      </c>
      <c r="L45" t="s">
        <v>28</v>
      </c>
    </row>
    <row r="46" spans="1:12" x14ac:dyDescent="0.45">
      <c r="A46" t="s">
        <v>284</v>
      </c>
      <c r="B46">
        <v>1312811</v>
      </c>
      <c r="C46">
        <v>6740</v>
      </c>
      <c r="D46" s="66">
        <v>8.3333333333333329E-2</v>
      </c>
      <c r="E46" s="66">
        <v>0</v>
      </c>
      <c r="F46" t="s">
        <v>28</v>
      </c>
      <c r="G46" t="s">
        <v>68</v>
      </c>
      <c r="H46" t="s">
        <v>204</v>
      </c>
      <c r="I46" t="s">
        <v>63</v>
      </c>
      <c r="J46" t="s">
        <v>64</v>
      </c>
      <c r="L46" t="s">
        <v>28</v>
      </c>
    </row>
    <row r="47" spans="1:12" x14ac:dyDescent="0.45">
      <c r="A47" t="s">
        <v>284</v>
      </c>
      <c r="B47">
        <v>1337736</v>
      </c>
      <c r="C47">
        <v>7741</v>
      </c>
      <c r="D47" s="66">
        <v>8.3333333333333329E-2</v>
      </c>
      <c r="E47" s="66">
        <v>0</v>
      </c>
      <c r="G47" t="s">
        <v>231</v>
      </c>
      <c r="H47" t="s">
        <v>28</v>
      </c>
      <c r="L47" t="s">
        <v>204</v>
      </c>
    </row>
    <row r="48" spans="1:12" x14ac:dyDescent="0.45">
      <c r="A48" t="s">
        <v>285</v>
      </c>
      <c r="B48">
        <v>1353518</v>
      </c>
      <c r="C48">
        <v>7874</v>
      </c>
      <c r="D48" s="66">
        <v>8.3333333333333329E-2</v>
      </c>
      <c r="E48" s="66">
        <v>0</v>
      </c>
      <c r="F48" t="s">
        <v>204</v>
      </c>
      <c r="G48" t="s">
        <v>60</v>
      </c>
      <c r="H48" t="s">
        <v>28</v>
      </c>
      <c r="L48" t="s">
        <v>204</v>
      </c>
    </row>
    <row r="49" spans="1:12" x14ac:dyDescent="0.45">
      <c r="A49" t="s">
        <v>286</v>
      </c>
      <c r="B49">
        <v>1377175</v>
      </c>
      <c r="C49">
        <v>8475</v>
      </c>
      <c r="D49" s="66">
        <v>8.3333333333333329E-2</v>
      </c>
      <c r="E49" s="66">
        <v>0</v>
      </c>
      <c r="F49" t="s">
        <v>204</v>
      </c>
      <c r="G49" t="s">
        <v>68</v>
      </c>
      <c r="H49" t="s">
        <v>28</v>
      </c>
      <c r="L49" t="s">
        <v>204</v>
      </c>
    </row>
    <row r="50" spans="1:12" x14ac:dyDescent="0.45">
      <c r="A50" t="s">
        <v>287</v>
      </c>
      <c r="B50">
        <v>1408874</v>
      </c>
      <c r="C50">
        <v>6539</v>
      </c>
      <c r="D50" s="66">
        <v>8.3333333333333329E-2</v>
      </c>
      <c r="E50" s="66">
        <v>0</v>
      </c>
      <c r="F50" t="s">
        <v>28</v>
      </c>
      <c r="G50" t="s">
        <v>60</v>
      </c>
      <c r="H50" t="s">
        <v>204</v>
      </c>
      <c r="I50" t="s">
        <v>61</v>
      </c>
      <c r="J50" t="s">
        <v>235</v>
      </c>
      <c r="K50" t="s">
        <v>239</v>
      </c>
      <c r="L50" t="s">
        <v>28</v>
      </c>
    </row>
    <row r="51" spans="1:12" x14ac:dyDescent="0.45">
      <c r="A51" t="s">
        <v>288</v>
      </c>
      <c r="B51">
        <v>1430595</v>
      </c>
      <c r="C51">
        <v>9342</v>
      </c>
      <c r="D51" s="66">
        <v>8.3333333333333329E-2</v>
      </c>
      <c r="E51" s="66">
        <v>0</v>
      </c>
      <c r="F51" t="s">
        <v>28</v>
      </c>
      <c r="G51" t="s">
        <v>67</v>
      </c>
      <c r="H51" t="s">
        <v>204</v>
      </c>
      <c r="I51" t="s">
        <v>61</v>
      </c>
      <c r="J51" t="s">
        <v>64</v>
      </c>
      <c r="K51" t="s">
        <v>234</v>
      </c>
      <c r="L51" t="s">
        <v>28</v>
      </c>
    </row>
    <row r="52" spans="1:12" x14ac:dyDescent="0.45">
      <c r="A52" t="s">
        <v>289</v>
      </c>
      <c r="B52">
        <v>1457456</v>
      </c>
      <c r="C52">
        <v>7607</v>
      </c>
      <c r="D52" s="66">
        <v>8.3333333333333329E-2</v>
      </c>
      <c r="E52" s="66">
        <v>0</v>
      </c>
      <c r="F52" t="s">
        <v>28</v>
      </c>
      <c r="G52" t="s">
        <v>62</v>
      </c>
      <c r="H52" t="s">
        <v>28</v>
      </c>
      <c r="L52" t="s">
        <v>204</v>
      </c>
    </row>
    <row r="53" spans="1:12" x14ac:dyDescent="0.45">
      <c r="A53" t="s">
        <v>290</v>
      </c>
      <c r="B53">
        <v>1478877</v>
      </c>
      <c r="C53">
        <v>7340</v>
      </c>
      <c r="D53" s="66">
        <v>8.3333333333333329E-2</v>
      </c>
      <c r="E53" s="66">
        <v>0</v>
      </c>
      <c r="F53" t="s">
        <v>28</v>
      </c>
      <c r="G53" t="s">
        <v>62</v>
      </c>
      <c r="H53" t="s">
        <v>28</v>
      </c>
      <c r="L53" t="s">
        <v>204</v>
      </c>
    </row>
  </sheetData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879F3-3996-4C8B-BC46-01827F39409D}">
  <sheetPr codeName="wsTpScore">
    <pageSetUpPr fitToPage="1"/>
  </sheetPr>
  <dimension ref="A1:AB61"/>
  <sheetViews>
    <sheetView showGridLines="0" zoomScaleNormal="100" workbookViewId="0">
      <selection sqref="A1:B1"/>
    </sheetView>
  </sheetViews>
  <sheetFormatPr defaultColWidth="3.3984375" defaultRowHeight="18" x14ac:dyDescent="0.45"/>
  <cols>
    <col min="1" max="1" width="15.69921875" style="11" customWidth="1"/>
    <col min="2" max="2" width="15.69921875" style="12" customWidth="1"/>
    <col min="3" max="3" width="3.69921875" style="11" customWidth="1"/>
    <col min="4" max="28" width="3.3984375" style="11" customWidth="1"/>
    <col min="29" max="16384" width="3.3984375" style="11"/>
  </cols>
  <sheetData>
    <row r="1" spans="1:28" x14ac:dyDescent="0.45">
      <c r="A1" s="131" t="s">
        <v>52</v>
      </c>
      <c r="B1" s="131"/>
      <c r="C1" s="129" t="str">
        <f>Main!$B$8</f>
        <v>RedELF</v>
      </c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29" t="str">
        <f>Main!$B$12</f>
        <v>Mallets</v>
      </c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</row>
    <row r="2" spans="1:28" x14ac:dyDescent="0.45">
      <c r="A2" s="131" t="s">
        <v>53</v>
      </c>
      <c r="B2" s="131"/>
      <c r="C2" s="129" t="str">
        <f>Main!$D$8</f>
        <v>HIRANO Miu</v>
      </c>
      <c r="D2" s="130"/>
      <c r="E2" s="130"/>
      <c r="F2" s="130"/>
      <c r="G2" s="130"/>
      <c r="H2" s="53" t="str">
        <f>Main!$F$8</f>
        <v>R</v>
      </c>
      <c r="I2" s="129" t="str">
        <f>Main!$D$10</f>
        <v/>
      </c>
      <c r="J2" s="130"/>
      <c r="K2" s="130"/>
      <c r="L2" s="130"/>
      <c r="M2" s="130"/>
      <c r="N2" s="53" t="str">
        <f>Main!$F$10</f>
        <v/>
      </c>
      <c r="O2" s="129" t="str">
        <f>Main!$D$12</f>
        <v>NAMBA Yurika</v>
      </c>
      <c r="P2" s="130"/>
      <c r="Q2" s="130"/>
      <c r="R2" s="130"/>
      <c r="S2" s="130"/>
      <c r="T2" s="53" t="str">
        <f>Main!$F$12</f>
        <v>R</v>
      </c>
      <c r="U2" s="129" t="str">
        <f>Main!$D$14</f>
        <v/>
      </c>
      <c r="V2" s="130"/>
      <c r="W2" s="130"/>
      <c r="X2" s="130"/>
      <c r="Y2" s="130"/>
      <c r="Z2" s="53" t="str">
        <f>Main!$F$14</f>
        <v/>
      </c>
    </row>
    <row r="4" spans="1:28" x14ac:dyDescent="0.45">
      <c r="A4" s="11" t="s">
        <v>54</v>
      </c>
      <c r="C4" s="125" t="s">
        <v>55</v>
      </c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</row>
    <row r="5" spans="1:28" s="23" customFormat="1" x14ac:dyDescent="0.45">
      <c r="B5" s="24"/>
      <c r="C5" s="23">
        <v>0</v>
      </c>
      <c r="D5" s="23">
        <v>1</v>
      </c>
      <c r="E5" s="23">
        <v>2</v>
      </c>
      <c r="F5" s="23">
        <v>3</v>
      </c>
      <c r="G5" s="23">
        <v>4</v>
      </c>
      <c r="H5" s="23">
        <v>5</v>
      </c>
      <c r="I5" s="23">
        <v>6</v>
      </c>
      <c r="J5" s="23">
        <v>7</v>
      </c>
      <c r="K5" s="23">
        <v>8</v>
      </c>
      <c r="L5" s="23">
        <v>9</v>
      </c>
      <c r="M5" s="23">
        <v>10</v>
      </c>
      <c r="N5" s="23">
        <v>11</v>
      </c>
      <c r="O5" s="23">
        <v>12</v>
      </c>
      <c r="P5" s="23">
        <v>13</v>
      </c>
      <c r="Q5" s="23">
        <v>14</v>
      </c>
      <c r="R5" s="23">
        <v>15</v>
      </c>
      <c r="S5" s="23">
        <v>16</v>
      </c>
      <c r="T5" s="23">
        <v>17</v>
      </c>
      <c r="U5" s="23">
        <v>18</v>
      </c>
      <c r="V5" s="23">
        <v>19</v>
      </c>
      <c r="W5" s="23">
        <v>20</v>
      </c>
      <c r="X5" s="23">
        <v>21</v>
      </c>
      <c r="Y5" s="23">
        <v>22</v>
      </c>
      <c r="Z5" s="23">
        <v>23</v>
      </c>
      <c r="AA5" s="23">
        <v>24</v>
      </c>
      <c r="AB5" s="23">
        <v>25</v>
      </c>
    </row>
    <row r="6" spans="1:28" x14ac:dyDescent="0.45"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</row>
    <row r="7" spans="1:28" ht="18.600000000000001" customHeight="1" x14ac:dyDescent="0.45">
      <c r="A7" s="126" t="s">
        <v>56</v>
      </c>
      <c r="B7" s="14" t="str">
        <f>$C$2</f>
        <v>HIRANO Miu</v>
      </c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6"/>
    </row>
    <row r="8" spans="1:28" x14ac:dyDescent="0.45">
      <c r="A8" s="127"/>
      <c r="B8" s="17" t="str">
        <f>$I$2</f>
        <v/>
      </c>
      <c r="C8" s="90"/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87"/>
    </row>
    <row r="9" spans="1:28" ht="18" customHeight="1" x14ac:dyDescent="0.45">
      <c r="A9" s="127"/>
      <c r="B9" s="14" t="str">
        <f>$C$1</f>
        <v>RedELF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6"/>
    </row>
    <row r="10" spans="1:28" x14ac:dyDescent="0.45">
      <c r="A10" s="127"/>
      <c r="B10" s="19" t="str">
        <f>$O$1</f>
        <v>Mallets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1"/>
    </row>
    <row r="11" spans="1:28" x14ac:dyDescent="0.45">
      <c r="A11" s="127"/>
      <c r="B11" s="17" t="str">
        <f>$O$2</f>
        <v>NAMBA Yurika</v>
      </c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87"/>
    </row>
    <row r="12" spans="1:28" x14ac:dyDescent="0.45">
      <c r="A12" s="128"/>
      <c r="B12" s="19" t="str">
        <f>$U$2</f>
        <v/>
      </c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9"/>
    </row>
    <row r="13" spans="1:28" x14ac:dyDescent="0.45">
      <c r="A13" s="18"/>
      <c r="C13" s="91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</row>
    <row r="14" spans="1:28" x14ac:dyDescent="0.45">
      <c r="A14" s="18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</row>
    <row r="15" spans="1:28" ht="18" customHeight="1" x14ac:dyDescent="0.45">
      <c r="A15" s="126" t="s">
        <v>57</v>
      </c>
      <c r="B15" s="14" t="str">
        <f>$C$2</f>
        <v>HIRANO Miu</v>
      </c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6"/>
    </row>
    <row r="16" spans="1:28" x14ac:dyDescent="0.45">
      <c r="A16" s="127"/>
      <c r="B16" s="17" t="str">
        <f>$I$2</f>
        <v/>
      </c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87"/>
    </row>
    <row r="17" spans="1:28" ht="18" customHeight="1" x14ac:dyDescent="0.45">
      <c r="A17" s="127"/>
      <c r="B17" s="14" t="str">
        <f>$C$1</f>
        <v>RedELF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6"/>
    </row>
    <row r="18" spans="1:28" x14ac:dyDescent="0.45">
      <c r="A18" s="127"/>
      <c r="B18" s="19" t="str">
        <f>$O$1</f>
        <v>Mallets</v>
      </c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1"/>
    </row>
    <row r="19" spans="1:28" x14ac:dyDescent="0.45">
      <c r="A19" s="127"/>
      <c r="B19" s="17" t="str">
        <f>$O$2</f>
        <v>NAMBA Yurika</v>
      </c>
      <c r="C19" s="90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87"/>
    </row>
    <row r="20" spans="1:28" x14ac:dyDescent="0.45">
      <c r="A20" s="128"/>
      <c r="B20" s="19" t="str">
        <f>$U$2</f>
        <v/>
      </c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9"/>
    </row>
    <row r="21" spans="1:28" x14ac:dyDescent="0.45"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91"/>
    </row>
    <row r="22" spans="1:28" x14ac:dyDescent="0.45"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</row>
    <row r="23" spans="1:28" ht="18" customHeight="1" x14ac:dyDescent="0.45">
      <c r="A23" s="126" t="s">
        <v>58</v>
      </c>
      <c r="B23" s="14" t="str">
        <f>$C$2</f>
        <v>HIRANO Miu</v>
      </c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6"/>
    </row>
    <row r="24" spans="1:28" x14ac:dyDescent="0.45">
      <c r="A24" s="127"/>
      <c r="B24" s="17" t="str">
        <f>$I$2</f>
        <v/>
      </c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87"/>
    </row>
    <row r="25" spans="1:28" ht="18" customHeight="1" x14ac:dyDescent="0.45">
      <c r="A25" s="127"/>
      <c r="B25" s="14" t="str">
        <f>$C$1</f>
        <v>RedELF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6"/>
    </row>
    <row r="26" spans="1:28" x14ac:dyDescent="0.45">
      <c r="A26" s="127"/>
      <c r="B26" s="19" t="str">
        <f>$O$1</f>
        <v>Mallets</v>
      </c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1"/>
    </row>
    <row r="27" spans="1:28" x14ac:dyDescent="0.45">
      <c r="A27" s="127"/>
      <c r="B27" s="17" t="str">
        <f>$O$2</f>
        <v>NAMBA Yurika</v>
      </c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87"/>
    </row>
    <row r="28" spans="1:28" x14ac:dyDescent="0.45">
      <c r="A28" s="128"/>
      <c r="B28" s="19" t="str">
        <f>$U$2</f>
        <v/>
      </c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9"/>
    </row>
    <row r="29" spans="1:28" x14ac:dyDescent="0.45"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91"/>
      <c r="Y29" s="91"/>
      <c r="Z29" s="91"/>
      <c r="AA29" s="91"/>
      <c r="AB29" s="91"/>
    </row>
    <row r="30" spans="1:28" x14ac:dyDescent="0.45">
      <c r="A30" s="18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</row>
    <row r="31" spans="1:28" ht="18" customHeight="1" x14ac:dyDescent="0.45">
      <c r="A31" s="126" t="s">
        <v>93</v>
      </c>
      <c r="B31" s="14" t="str">
        <f>$C$2</f>
        <v>HIRANO Miu</v>
      </c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6"/>
    </row>
    <row r="32" spans="1:28" x14ac:dyDescent="0.45">
      <c r="A32" s="127"/>
      <c r="B32" s="17" t="str">
        <f>$I$2</f>
        <v/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Z32" s="90"/>
      <c r="AA32" s="90"/>
      <c r="AB32" s="87"/>
    </row>
    <row r="33" spans="1:28" ht="18" customHeight="1" x14ac:dyDescent="0.45">
      <c r="A33" s="127"/>
      <c r="B33" s="14" t="str">
        <f>$C$1</f>
        <v>RedELF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6"/>
    </row>
    <row r="34" spans="1:28" x14ac:dyDescent="0.45">
      <c r="A34" s="127"/>
      <c r="B34" s="19" t="str">
        <f>$O$1</f>
        <v>Mallets</v>
      </c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1"/>
    </row>
    <row r="35" spans="1:28" x14ac:dyDescent="0.45">
      <c r="A35" s="127"/>
      <c r="B35" s="17" t="str">
        <f>$O$2</f>
        <v>NAMBA Yurika</v>
      </c>
      <c r="C35" s="90"/>
      <c r="D35" s="90"/>
      <c r="E35" s="90"/>
      <c r="F35" s="90"/>
      <c r="G35" s="90"/>
      <c r="H35" s="90"/>
      <c r="I35" s="90"/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Z35" s="90"/>
      <c r="AA35" s="90"/>
      <c r="AB35" s="87"/>
    </row>
    <row r="36" spans="1:28" x14ac:dyDescent="0.45">
      <c r="A36" s="128"/>
      <c r="B36" s="19" t="str">
        <f>$U$2</f>
        <v/>
      </c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9"/>
    </row>
    <row r="37" spans="1:28" x14ac:dyDescent="0.45"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  <c r="X37" s="91"/>
      <c r="Y37" s="91"/>
      <c r="Z37" s="91"/>
      <c r="AA37" s="91"/>
      <c r="AB37" s="91"/>
    </row>
    <row r="38" spans="1:28" x14ac:dyDescent="0.45">
      <c r="A38" s="18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</row>
    <row r="39" spans="1:28" ht="18" customHeight="1" x14ac:dyDescent="0.45">
      <c r="A39" s="126" t="s">
        <v>94</v>
      </c>
      <c r="B39" s="14" t="str">
        <f>$C$2</f>
        <v>HIRANO Miu</v>
      </c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6"/>
    </row>
    <row r="40" spans="1:28" x14ac:dyDescent="0.45">
      <c r="A40" s="127"/>
      <c r="B40" s="17" t="str">
        <f>$I$2</f>
        <v/>
      </c>
      <c r="C40" s="90"/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87"/>
    </row>
    <row r="41" spans="1:28" ht="18" customHeight="1" x14ac:dyDescent="0.45">
      <c r="A41" s="127"/>
      <c r="B41" s="14" t="str">
        <f>$C$1</f>
        <v>RedELF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6"/>
    </row>
    <row r="42" spans="1:28" x14ac:dyDescent="0.45">
      <c r="A42" s="127"/>
      <c r="B42" s="19" t="str">
        <f>$O$1</f>
        <v>Mallets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1"/>
    </row>
    <row r="43" spans="1:28" x14ac:dyDescent="0.45">
      <c r="A43" s="127"/>
      <c r="B43" s="17" t="str">
        <f>$O$2</f>
        <v>NAMBA Yurika</v>
      </c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87"/>
    </row>
    <row r="44" spans="1:28" x14ac:dyDescent="0.45">
      <c r="A44" s="128"/>
      <c r="B44" s="19" t="str">
        <f>$U$2</f>
        <v/>
      </c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9"/>
    </row>
    <row r="45" spans="1:28" x14ac:dyDescent="0.45">
      <c r="C45" s="91"/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1"/>
      <c r="S45" s="91"/>
      <c r="T45" s="91"/>
      <c r="U45" s="91"/>
      <c r="V45" s="91"/>
      <c r="W45" s="91"/>
      <c r="X45" s="91"/>
      <c r="Y45" s="91"/>
      <c r="Z45" s="91"/>
      <c r="AA45" s="91"/>
      <c r="AB45" s="91"/>
    </row>
    <row r="46" spans="1:28" x14ac:dyDescent="0.45">
      <c r="A46" s="18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</row>
    <row r="47" spans="1:28" ht="18" customHeight="1" x14ac:dyDescent="0.45">
      <c r="A47" s="126" t="s">
        <v>95</v>
      </c>
      <c r="B47" s="14" t="str">
        <f>$C$2</f>
        <v>HIRANO Miu</v>
      </c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6"/>
    </row>
    <row r="48" spans="1:28" x14ac:dyDescent="0.45">
      <c r="A48" s="127"/>
      <c r="B48" s="17" t="str">
        <f>$I$2</f>
        <v/>
      </c>
      <c r="C48" s="90"/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90"/>
      <c r="AA48" s="90"/>
      <c r="AB48" s="87"/>
    </row>
    <row r="49" spans="1:28" ht="18" customHeight="1" x14ac:dyDescent="0.45">
      <c r="A49" s="127"/>
      <c r="B49" s="14" t="str">
        <f>$C$1</f>
        <v>RedELF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6"/>
    </row>
    <row r="50" spans="1:28" x14ac:dyDescent="0.45">
      <c r="A50" s="127"/>
      <c r="B50" s="19" t="str">
        <f>$O$1</f>
        <v>Mallets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1"/>
    </row>
    <row r="51" spans="1:28" x14ac:dyDescent="0.45">
      <c r="A51" s="127"/>
      <c r="B51" s="17" t="str">
        <f>$O$2</f>
        <v>NAMBA Yurika</v>
      </c>
      <c r="C51" s="90"/>
      <c r="D51" s="90"/>
      <c r="E51" s="90"/>
      <c r="F51" s="90"/>
      <c r="G51" s="90"/>
      <c r="H51" s="90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87"/>
    </row>
    <row r="52" spans="1:28" x14ac:dyDescent="0.45">
      <c r="A52" s="128"/>
      <c r="B52" s="19" t="str">
        <f>$U$2</f>
        <v/>
      </c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  <c r="AA52" s="88"/>
      <c r="AB52" s="89"/>
    </row>
    <row r="53" spans="1:28" x14ac:dyDescent="0.45">
      <c r="C53" s="91"/>
      <c r="D53" s="91"/>
      <c r="E53" s="91"/>
      <c r="F53" s="91"/>
      <c r="G53" s="91"/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91"/>
      <c r="S53" s="91"/>
      <c r="T53" s="91"/>
      <c r="U53" s="91"/>
      <c r="V53" s="91"/>
      <c r="W53" s="91"/>
      <c r="X53" s="91"/>
      <c r="Y53" s="91"/>
      <c r="Z53" s="91"/>
      <c r="AA53" s="91"/>
      <c r="AB53" s="91"/>
    </row>
    <row r="54" spans="1:28" x14ac:dyDescent="0.45">
      <c r="A54" s="18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</row>
    <row r="55" spans="1:28" ht="18" customHeight="1" x14ac:dyDescent="0.45">
      <c r="A55" s="126" t="s">
        <v>96</v>
      </c>
      <c r="B55" s="14" t="str">
        <f>$C$2</f>
        <v>HIRANO Miu</v>
      </c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6"/>
    </row>
    <row r="56" spans="1:28" x14ac:dyDescent="0.45">
      <c r="A56" s="127"/>
      <c r="B56" s="17" t="str">
        <f>$I$2</f>
        <v/>
      </c>
      <c r="C56" s="90"/>
      <c r="D56" s="90"/>
      <c r="E56" s="90"/>
      <c r="F56" s="90"/>
      <c r="G56" s="90"/>
      <c r="H56" s="90"/>
      <c r="I56" s="90"/>
      <c r="J56" s="90"/>
      <c r="K56" s="90"/>
      <c r="L56" s="90"/>
      <c r="M56" s="90"/>
      <c r="N56" s="90"/>
      <c r="O56" s="90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90"/>
      <c r="AB56" s="87"/>
    </row>
    <row r="57" spans="1:28" ht="18" customHeight="1" x14ac:dyDescent="0.45">
      <c r="A57" s="127"/>
      <c r="B57" s="14" t="str">
        <f>$C$1</f>
        <v>RedELF</v>
      </c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6"/>
    </row>
    <row r="58" spans="1:28" x14ac:dyDescent="0.45">
      <c r="A58" s="127"/>
      <c r="B58" s="19" t="str">
        <f>$O$1</f>
        <v>Mallets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1"/>
    </row>
    <row r="59" spans="1:28" x14ac:dyDescent="0.45">
      <c r="A59" s="127"/>
      <c r="B59" s="17" t="str">
        <f>$O$2</f>
        <v>NAMBA Yurika</v>
      </c>
      <c r="C59" s="90"/>
      <c r="D59" s="90"/>
      <c r="E59" s="90"/>
      <c r="F59" s="90"/>
      <c r="G59" s="90"/>
      <c r="H59" s="90"/>
      <c r="I59" s="90"/>
      <c r="J59" s="90"/>
      <c r="K59" s="90"/>
      <c r="L59" s="90"/>
      <c r="M59" s="90"/>
      <c r="N59" s="90"/>
      <c r="O59" s="90"/>
      <c r="P59" s="90"/>
      <c r="Q59" s="90"/>
      <c r="R59" s="90"/>
      <c r="S59" s="90"/>
      <c r="T59" s="90"/>
      <c r="U59" s="90"/>
      <c r="V59" s="90"/>
      <c r="W59" s="90"/>
      <c r="X59" s="90"/>
      <c r="Y59" s="90"/>
      <c r="Z59" s="90"/>
      <c r="AA59" s="90"/>
      <c r="AB59" s="87"/>
    </row>
    <row r="60" spans="1:28" x14ac:dyDescent="0.45">
      <c r="A60" s="128"/>
      <c r="B60" s="19" t="str">
        <f>$U$2</f>
        <v/>
      </c>
      <c r="C60" s="88"/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  <c r="AB60" s="89"/>
    </row>
    <row r="61" spans="1:28" x14ac:dyDescent="0.45"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</row>
  </sheetData>
  <mergeCells count="16">
    <mergeCell ref="O1:Z1"/>
    <mergeCell ref="A2:B2"/>
    <mergeCell ref="C2:G2"/>
    <mergeCell ref="I2:M2"/>
    <mergeCell ref="O2:S2"/>
    <mergeCell ref="U2:Y2"/>
    <mergeCell ref="A1:B1"/>
    <mergeCell ref="C1:N1"/>
    <mergeCell ref="C4:Z4"/>
    <mergeCell ref="A31:A36"/>
    <mergeCell ref="A39:A44"/>
    <mergeCell ref="A47:A52"/>
    <mergeCell ref="A55:A60"/>
    <mergeCell ref="A7:A12"/>
    <mergeCell ref="A15:A20"/>
    <mergeCell ref="A23:A28"/>
  </mergeCells>
  <phoneticPr fontId="5"/>
  <conditionalFormatting sqref="C9:AB10">
    <cfRule type="notContainsBlanks" dxfId="28" priority="51">
      <formula>LEN(TRIM(C9))&gt;0</formula>
    </cfRule>
    <cfRule type="containsText" dxfId="27" priority="52" operator="containsText" text="T">
      <formula>NOT(ISERROR(SEARCH("T",C9)))</formula>
    </cfRule>
  </conditionalFormatting>
  <conditionalFormatting sqref="C9:AB9">
    <cfRule type="expression" dxfId="26" priority="44">
      <formula>AND(D9="",D10="")</formula>
    </cfRule>
  </conditionalFormatting>
  <conditionalFormatting sqref="C10:AB10">
    <cfRule type="expression" dxfId="25" priority="25">
      <formula>AND(D9="",D10="")</formula>
    </cfRule>
  </conditionalFormatting>
  <conditionalFormatting sqref="C58:AB58">
    <cfRule type="expression" dxfId="24" priority="1">
      <formula>AND(D57="",D58="")</formula>
    </cfRule>
  </conditionalFormatting>
  <conditionalFormatting sqref="C17:AB18">
    <cfRule type="notContainsBlanks" dxfId="23" priority="23">
      <formula>LEN(TRIM(C17))&gt;0</formula>
    </cfRule>
    <cfRule type="containsText" dxfId="22" priority="24" operator="containsText" text="T">
      <formula>NOT(ISERROR(SEARCH("T",C17)))</formula>
    </cfRule>
  </conditionalFormatting>
  <conditionalFormatting sqref="C17:AB17">
    <cfRule type="expression" dxfId="21" priority="22">
      <formula>AND(D17="",D18="")</formula>
    </cfRule>
  </conditionalFormatting>
  <conditionalFormatting sqref="C18:AB18">
    <cfRule type="expression" dxfId="20" priority="21">
      <formula>AND(D17="",D18="")</formula>
    </cfRule>
  </conditionalFormatting>
  <conditionalFormatting sqref="C25:AB26">
    <cfRule type="notContainsBlanks" dxfId="19" priority="19">
      <formula>LEN(TRIM(C25))&gt;0</formula>
    </cfRule>
    <cfRule type="containsText" dxfId="18" priority="20" operator="containsText" text="T">
      <formula>NOT(ISERROR(SEARCH("T",C25)))</formula>
    </cfRule>
  </conditionalFormatting>
  <conditionalFormatting sqref="C25:AB25">
    <cfRule type="expression" dxfId="17" priority="18">
      <formula>AND(D25="",D26="")</formula>
    </cfRule>
  </conditionalFormatting>
  <conditionalFormatting sqref="C26:AB26">
    <cfRule type="expression" dxfId="16" priority="17">
      <formula>AND(D25="",D26="")</formula>
    </cfRule>
  </conditionalFormatting>
  <conditionalFormatting sqref="C33:AB34">
    <cfRule type="notContainsBlanks" dxfId="15" priority="15">
      <formula>LEN(TRIM(C33))&gt;0</formula>
    </cfRule>
    <cfRule type="containsText" dxfId="14" priority="16" operator="containsText" text="T">
      <formula>NOT(ISERROR(SEARCH("T",C33)))</formula>
    </cfRule>
  </conditionalFormatting>
  <conditionalFormatting sqref="C33:AB33">
    <cfRule type="expression" dxfId="13" priority="14">
      <formula>AND(D33="",D34="")</formula>
    </cfRule>
  </conditionalFormatting>
  <conditionalFormatting sqref="C34:AB34">
    <cfRule type="expression" dxfId="12" priority="13">
      <formula>AND(D33="",D34="")</formula>
    </cfRule>
  </conditionalFormatting>
  <conditionalFormatting sqref="C41:AB42">
    <cfRule type="notContainsBlanks" dxfId="11" priority="11">
      <formula>LEN(TRIM(C41))&gt;0</formula>
    </cfRule>
    <cfRule type="containsText" dxfId="10" priority="12" operator="containsText" text="T">
      <formula>NOT(ISERROR(SEARCH("T",C41)))</formula>
    </cfRule>
  </conditionalFormatting>
  <conditionalFormatting sqref="C41:AB41">
    <cfRule type="expression" dxfId="9" priority="10">
      <formula>AND(D41="",D42="")</formula>
    </cfRule>
  </conditionalFormatting>
  <conditionalFormatting sqref="C42:AB42">
    <cfRule type="expression" dxfId="8" priority="9">
      <formula>AND(D41="",D42="")</formula>
    </cfRule>
  </conditionalFormatting>
  <conditionalFormatting sqref="C49:AB50">
    <cfRule type="notContainsBlanks" dxfId="7" priority="7">
      <formula>LEN(TRIM(C49))&gt;0</formula>
    </cfRule>
    <cfRule type="containsText" dxfId="6" priority="8" operator="containsText" text="T">
      <formula>NOT(ISERROR(SEARCH("T",C49)))</formula>
    </cfRule>
  </conditionalFormatting>
  <conditionalFormatting sqref="C49:AB49">
    <cfRule type="expression" dxfId="5" priority="6">
      <formula>AND(D49="",D50="")</formula>
    </cfRule>
  </conditionalFormatting>
  <conditionalFormatting sqref="C50:AB50">
    <cfRule type="expression" dxfId="4" priority="5">
      <formula>AND(D49="",D50="")</formula>
    </cfRule>
  </conditionalFormatting>
  <conditionalFormatting sqref="C57:AB58">
    <cfRule type="notContainsBlanks" dxfId="3" priority="3">
      <formula>LEN(TRIM(C57))&gt;0</formula>
    </cfRule>
    <cfRule type="containsText" dxfId="2" priority="4" operator="containsText" text="T">
      <formula>NOT(ISERROR(SEARCH("T",C57)))</formula>
    </cfRule>
  </conditionalFormatting>
  <conditionalFormatting sqref="C57:AB57">
    <cfRule type="expression" dxfId="1" priority="2">
      <formula>AND(D57="",D58="")</formula>
    </cfRule>
  </conditionalFormatting>
  <printOptions horizontalCentered="1"/>
  <pageMargins left="0.39370078740157483" right="0.31496062992125984" top="0.39370078740157483" bottom="0.31496062992125984" header="0" footer="0"/>
  <pageSetup paperSize="9" scale="7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7098E-A59D-4A77-B516-59F0C00E1FFA}">
  <sheetPr codeName="wsTpAnaSingle">
    <pageSetUpPr fitToPage="1"/>
  </sheetPr>
  <dimension ref="A1:S220"/>
  <sheetViews>
    <sheetView showGridLines="0" workbookViewId="0"/>
  </sheetViews>
  <sheetFormatPr defaultColWidth="6.09765625" defaultRowHeight="18" x14ac:dyDescent="0.45"/>
  <cols>
    <col min="1" max="4" width="6.09765625" style="68"/>
    <col min="5" max="5" width="9" style="68" bestFit="1" customWidth="1"/>
    <col min="6" max="6" width="6.09765625" style="68"/>
    <col min="7" max="7" width="7.09765625" style="69" customWidth="1"/>
    <col min="8" max="14" width="6.09765625" style="68"/>
    <col min="15" max="15" width="9" style="68" bestFit="1" customWidth="1"/>
    <col min="16" max="16" width="6.09765625" style="68"/>
    <col min="17" max="17" width="7.09765625" style="69" customWidth="1"/>
    <col min="18" max="16384" width="6.09765625" style="68"/>
  </cols>
  <sheetData>
    <row r="1" spans="1:18" x14ac:dyDescent="0.45">
      <c r="A1" s="68" t="s">
        <v>84</v>
      </c>
    </row>
    <row r="2" spans="1:18" x14ac:dyDescent="0.45">
      <c r="A2" s="163" t="s">
        <v>141</v>
      </c>
      <c r="B2" s="163"/>
      <c r="C2" s="163"/>
      <c r="D2" s="163"/>
      <c r="E2" s="70" t="s">
        <v>85</v>
      </c>
      <c r="F2" s="71" t="s">
        <v>86</v>
      </c>
      <c r="G2" s="71" t="s">
        <v>87</v>
      </c>
      <c r="H2" s="84" t="s">
        <v>175</v>
      </c>
      <c r="K2" s="163" t="s">
        <v>141</v>
      </c>
      <c r="L2" s="163"/>
      <c r="M2" s="163"/>
      <c r="N2" s="163"/>
      <c r="O2" s="70" t="s">
        <v>85</v>
      </c>
      <c r="P2" s="71" t="s">
        <v>86</v>
      </c>
      <c r="Q2" s="71" t="s">
        <v>87</v>
      </c>
      <c r="R2" s="84" t="s">
        <v>175</v>
      </c>
    </row>
    <row r="3" spans="1:18" x14ac:dyDescent="0.45">
      <c r="A3" s="152" t="str">
        <f>Main!$D$8</f>
        <v>HIRANO Miu</v>
      </c>
      <c r="B3" s="154"/>
      <c r="C3" s="154"/>
      <c r="D3" s="154"/>
      <c r="E3" s="78">
        <f t="shared" ref="E3:E10" si="0">G3/F3</f>
        <v>0.73076923076923073</v>
      </c>
      <c r="F3" s="77">
        <f>SUM(F4:F10)</f>
        <v>26</v>
      </c>
      <c r="G3" s="105">
        <f>SUM(G4:G10)</f>
        <v>19</v>
      </c>
      <c r="H3" s="105">
        <f>G3-F3</f>
        <v>-7</v>
      </c>
      <c r="K3" s="152" t="str">
        <f>Main!$D$12</f>
        <v>NAMBA Yurika</v>
      </c>
      <c r="L3" s="153"/>
      <c r="M3" s="153"/>
      <c r="N3" s="153"/>
      <c r="O3" s="78">
        <f t="shared" ref="O3:O10" si="1">Q3/P3</f>
        <v>0.44</v>
      </c>
      <c r="P3" s="81">
        <f>SUM(P4:P10)</f>
        <v>25</v>
      </c>
      <c r="Q3" s="105">
        <f>SUM(Q4:Q10)</f>
        <v>11</v>
      </c>
      <c r="R3" s="105">
        <f>Q3-P3</f>
        <v>-14</v>
      </c>
    </row>
    <row r="4" spans="1:18" x14ac:dyDescent="0.45">
      <c r="A4" s="151" t="s">
        <v>155</v>
      </c>
      <c r="B4" s="151"/>
      <c r="C4" s="151"/>
      <c r="D4" s="151"/>
      <c r="E4" s="78">
        <f t="shared" si="0"/>
        <v>0.75</v>
      </c>
      <c r="F4" s="81">
        <f>COUNTIFS(Calc!$P:$P,1,Calc!$H:$H,A3)</f>
        <v>8</v>
      </c>
      <c r="G4" s="105">
        <f>COUNTIFS(Calc!$P:$P,1,Calc!$H:$H,A3,Calc!$F:$F,A3)</f>
        <v>6</v>
      </c>
      <c r="H4" s="105">
        <f>G4-F4</f>
        <v>-2</v>
      </c>
      <c r="K4" s="151" t="s">
        <v>155</v>
      </c>
      <c r="L4" s="151"/>
      <c r="M4" s="151"/>
      <c r="N4" s="151"/>
      <c r="O4" s="78">
        <f t="shared" si="1"/>
        <v>0.44444444444444442</v>
      </c>
      <c r="P4" s="81">
        <f>COUNTIFS(Calc!$P:$P,1,Calc!$H:$H,K3)</f>
        <v>9</v>
      </c>
      <c r="Q4" s="105">
        <f>COUNTIFS(Calc!$P:$P,1,Calc!$H:$H,K3,Calc!$F:$F,K3)</f>
        <v>4</v>
      </c>
      <c r="R4" s="105">
        <f>Q4-P4</f>
        <v>-5</v>
      </c>
    </row>
    <row r="5" spans="1:18" x14ac:dyDescent="0.45">
      <c r="A5" s="151" t="s">
        <v>156</v>
      </c>
      <c r="B5" s="151"/>
      <c r="C5" s="151"/>
      <c r="D5" s="151"/>
      <c r="E5" s="78">
        <f t="shared" si="0"/>
        <v>0.7</v>
      </c>
      <c r="F5" s="81">
        <f>COUNTIFS(Calc!$P:$P,2,Calc!$H:$H,A3)</f>
        <v>10</v>
      </c>
      <c r="G5" s="105">
        <f>COUNTIFS(Calc!$P:$P,2,Calc!$H:$H,A3,Calc!$F:$F,A3)</f>
        <v>7</v>
      </c>
      <c r="H5" s="105">
        <f>G5-F5</f>
        <v>-3</v>
      </c>
      <c r="K5" s="151" t="s">
        <v>156</v>
      </c>
      <c r="L5" s="151"/>
      <c r="M5" s="151"/>
      <c r="N5" s="151"/>
      <c r="O5" s="78">
        <f t="shared" si="1"/>
        <v>0.5</v>
      </c>
      <c r="P5" s="81">
        <f>COUNTIFS(Calc!$P:$P,2,Calc!$H:$H,K3)</f>
        <v>8</v>
      </c>
      <c r="Q5" s="105">
        <f>COUNTIFS(Calc!$P:$P,2,Calc!$H:$H,K3,Calc!$F:$F,K3)</f>
        <v>4</v>
      </c>
      <c r="R5" s="105">
        <f>Q5-P5</f>
        <v>-4</v>
      </c>
    </row>
    <row r="6" spans="1:18" x14ac:dyDescent="0.45">
      <c r="A6" s="151" t="s">
        <v>157</v>
      </c>
      <c r="B6" s="151"/>
      <c r="C6" s="151"/>
      <c r="D6" s="151"/>
      <c r="E6" s="78">
        <f t="shared" si="0"/>
        <v>0.75</v>
      </c>
      <c r="F6" s="81">
        <f>COUNTIFS(Calc!$P:$P,3,Calc!$H:$H,A3)</f>
        <v>8</v>
      </c>
      <c r="G6" s="105">
        <f>COUNTIFS(Calc!$P:$P,3,Calc!$H:$H,A3,Calc!$F:$F,A3)</f>
        <v>6</v>
      </c>
      <c r="H6" s="105">
        <f t="shared" ref="H6:H10" si="2">G6-F6</f>
        <v>-2</v>
      </c>
      <c r="K6" s="151" t="s">
        <v>157</v>
      </c>
      <c r="L6" s="151"/>
      <c r="M6" s="151"/>
      <c r="N6" s="151"/>
      <c r="O6" s="78">
        <f t="shared" si="1"/>
        <v>0.375</v>
      </c>
      <c r="P6" s="81">
        <f>COUNTIFS(Calc!$P:$P,3,Calc!$H:$H,K3)</f>
        <v>8</v>
      </c>
      <c r="Q6" s="105">
        <f>COUNTIFS(Calc!$P:$P,3,Calc!$H:$H,K3,Calc!$F:$F,K3)</f>
        <v>3</v>
      </c>
      <c r="R6" s="105">
        <f t="shared" ref="R6:R10" si="3">Q6-P6</f>
        <v>-5</v>
      </c>
    </row>
    <row r="7" spans="1:18" x14ac:dyDescent="0.45">
      <c r="A7" s="151" t="s">
        <v>158</v>
      </c>
      <c r="B7" s="151"/>
      <c r="C7" s="151"/>
      <c r="D7" s="151"/>
      <c r="E7" s="78" t="e">
        <f t="shared" si="0"/>
        <v>#DIV/0!</v>
      </c>
      <c r="F7" s="81">
        <f>COUNTIFS(Calc!$P:$P,4,Calc!$H:$H,A3)</f>
        <v>0</v>
      </c>
      <c r="G7" s="105">
        <f>COUNTIFS(Calc!$P:$P,4,Calc!$H:$H,A3,Calc!$F:$F,A3)</f>
        <v>0</v>
      </c>
      <c r="H7" s="105">
        <f t="shared" si="2"/>
        <v>0</v>
      </c>
      <c r="K7" s="151" t="s">
        <v>158</v>
      </c>
      <c r="L7" s="151"/>
      <c r="M7" s="151"/>
      <c r="N7" s="151"/>
      <c r="O7" s="78" t="e">
        <f t="shared" si="1"/>
        <v>#DIV/0!</v>
      </c>
      <c r="P7" s="81">
        <f>COUNTIFS(Calc!$P:$P,4,Calc!$H:$H,K3)</f>
        <v>0</v>
      </c>
      <c r="Q7" s="105">
        <f>COUNTIFS(Calc!$P:$P,4,Calc!$H:$H,K3,Calc!$F:$F,K3)</f>
        <v>0</v>
      </c>
      <c r="R7" s="105">
        <f t="shared" si="3"/>
        <v>0</v>
      </c>
    </row>
    <row r="8" spans="1:18" x14ac:dyDescent="0.45">
      <c r="A8" s="151" t="s">
        <v>159</v>
      </c>
      <c r="B8" s="151"/>
      <c r="C8" s="151"/>
      <c r="D8" s="151"/>
      <c r="E8" s="78" t="e">
        <f t="shared" si="0"/>
        <v>#DIV/0!</v>
      </c>
      <c r="F8" s="81">
        <f>COUNTIFS(Calc!$P:$P,5,Calc!$H:$H,A3)</f>
        <v>0</v>
      </c>
      <c r="G8" s="105">
        <f>COUNTIFS(Calc!$P:$P,5,Calc!$H:$H,A3,Calc!$F:$F,A3)</f>
        <v>0</v>
      </c>
      <c r="H8" s="105">
        <f t="shared" si="2"/>
        <v>0</v>
      </c>
      <c r="K8" s="151" t="s">
        <v>159</v>
      </c>
      <c r="L8" s="151"/>
      <c r="M8" s="151"/>
      <c r="N8" s="151"/>
      <c r="O8" s="78" t="e">
        <f t="shared" si="1"/>
        <v>#DIV/0!</v>
      </c>
      <c r="P8" s="81">
        <f>COUNTIFS(Calc!$P:$P,5,Calc!$H:$H,K3)</f>
        <v>0</v>
      </c>
      <c r="Q8" s="105">
        <f>COUNTIFS(Calc!$P:$P,5,Calc!$H:$H,K3,Calc!$F:$F,K3)</f>
        <v>0</v>
      </c>
      <c r="R8" s="105">
        <f t="shared" si="3"/>
        <v>0</v>
      </c>
    </row>
    <row r="9" spans="1:18" x14ac:dyDescent="0.45">
      <c r="A9" s="151" t="s">
        <v>160</v>
      </c>
      <c r="B9" s="151"/>
      <c r="C9" s="151"/>
      <c r="D9" s="151"/>
      <c r="E9" s="78" t="e">
        <f t="shared" si="0"/>
        <v>#DIV/0!</v>
      </c>
      <c r="F9" s="81">
        <f>COUNTIFS(Calc!$P:$P,6,Calc!$H:$H,A3)</f>
        <v>0</v>
      </c>
      <c r="G9" s="105">
        <f>COUNTIFS(Calc!$P:$P,6,Calc!$H:$H,A3,Calc!$F:$F,A3)</f>
        <v>0</v>
      </c>
      <c r="H9" s="105">
        <f t="shared" si="2"/>
        <v>0</v>
      </c>
      <c r="K9" s="151" t="s">
        <v>160</v>
      </c>
      <c r="L9" s="151"/>
      <c r="M9" s="151"/>
      <c r="N9" s="151"/>
      <c r="O9" s="78" t="e">
        <f t="shared" si="1"/>
        <v>#DIV/0!</v>
      </c>
      <c r="P9" s="81">
        <f>COUNTIFS(Calc!$P:$P,6,Calc!$H:$H,K3)</f>
        <v>0</v>
      </c>
      <c r="Q9" s="105">
        <f>COUNTIFS(Calc!$P:$P,6,Calc!$H:$H,K3,Calc!$F:$F,K3)</f>
        <v>0</v>
      </c>
      <c r="R9" s="105">
        <f t="shared" si="3"/>
        <v>0</v>
      </c>
    </row>
    <row r="10" spans="1:18" x14ac:dyDescent="0.45">
      <c r="A10" s="151" t="s">
        <v>161</v>
      </c>
      <c r="B10" s="151"/>
      <c r="C10" s="151"/>
      <c r="D10" s="151"/>
      <c r="E10" s="78" t="e">
        <f t="shared" si="0"/>
        <v>#DIV/0!</v>
      </c>
      <c r="F10" s="81">
        <f>COUNTIFS(Calc!$P:$P,7,Calc!$H:$H,A3)</f>
        <v>0</v>
      </c>
      <c r="G10" s="105">
        <f>COUNTIFS(Calc!$P:$P,7,Calc!$H:$H,A3,Calc!$F:$F,A3)</f>
        <v>0</v>
      </c>
      <c r="H10" s="105">
        <f t="shared" si="2"/>
        <v>0</v>
      </c>
      <c r="K10" s="151" t="s">
        <v>161</v>
      </c>
      <c r="L10" s="151"/>
      <c r="M10" s="151"/>
      <c r="N10" s="151"/>
      <c r="O10" s="78" t="e">
        <f t="shared" si="1"/>
        <v>#DIV/0!</v>
      </c>
      <c r="P10" s="81">
        <f>COUNTIFS(Calc!$P:$P,7,Calc!$H:$H,K3)</f>
        <v>0</v>
      </c>
      <c r="Q10" s="105">
        <f>COUNTIFS(Calc!$P:$P,7,Calc!$H:$H,K3,Calc!$F:$F,K3)</f>
        <v>0</v>
      </c>
      <c r="R10" s="105">
        <f t="shared" si="3"/>
        <v>0</v>
      </c>
    </row>
    <row r="12" spans="1:18" x14ac:dyDescent="0.45">
      <c r="A12" s="11" t="s">
        <v>89</v>
      </c>
    </row>
    <row r="13" spans="1:18" x14ac:dyDescent="0.45">
      <c r="A13" s="163" t="s">
        <v>142</v>
      </c>
      <c r="B13" s="163"/>
      <c r="C13" s="163"/>
      <c r="D13" s="163"/>
      <c r="E13" s="70" t="s">
        <v>85</v>
      </c>
      <c r="F13" s="71" t="s">
        <v>86</v>
      </c>
      <c r="G13" s="71" t="s">
        <v>87</v>
      </c>
      <c r="H13" s="84" t="s">
        <v>175</v>
      </c>
      <c r="K13" s="163" t="s">
        <v>142</v>
      </c>
      <c r="L13" s="163"/>
      <c r="M13" s="163"/>
      <c r="N13" s="163"/>
      <c r="O13" s="70" t="s">
        <v>85</v>
      </c>
      <c r="P13" s="71" t="s">
        <v>86</v>
      </c>
      <c r="Q13" s="71" t="s">
        <v>87</v>
      </c>
      <c r="R13" s="84" t="s">
        <v>175</v>
      </c>
    </row>
    <row r="14" spans="1:18" x14ac:dyDescent="0.45">
      <c r="A14" s="152" t="str">
        <f>Main!$D$8</f>
        <v>HIRANO Miu</v>
      </c>
      <c r="B14" s="154"/>
      <c r="C14" s="154"/>
      <c r="D14" s="154"/>
      <c r="E14" s="78">
        <f t="shared" ref="E14:E21" si="4">G14/F14</f>
        <v>0.56000000000000005</v>
      </c>
      <c r="F14" s="81">
        <f>SUM(F15:F21)</f>
        <v>25</v>
      </c>
      <c r="G14" s="105">
        <f>SUM(G15:G21)</f>
        <v>14</v>
      </c>
      <c r="H14" s="105">
        <f>G14-F14</f>
        <v>-11</v>
      </c>
      <c r="K14" s="152" t="str">
        <f>Main!$D$12</f>
        <v>NAMBA Yurika</v>
      </c>
      <c r="L14" s="153"/>
      <c r="M14" s="153"/>
      <c r="N14" s="153"/>
      <c r="O14" s="78">
        <f t="shared" ref="O14:O21" si="5">Q14/P14</f>
        <v>0.26923076923076922</v>
      </c>
      <c r="P14" s="81">
        <f>SUM(P15:P21)</f>
        <v>26</v>
      </c>
      <c r="Q14" s="105">
        <f>SUM(Q15:Q21)</f>
        <v>7</v>
      </c>
      <c r="R14" s="105">
        <f>Q14-P14</f>
        <v>-19</v>
      </c>
    </row>
    <row r="15" spans="1:18" x14ac:dyDescent="0.45">
      <c r="A15" s="151" t="s">
        <v>155</v>
      </c>
      <c r="B15" s="151"/>
      <c r="C15" s="151"/>
      <c r="D15" s="151"/>
      <c r="E15" s="78">
        <f t="shared" si="4"/>
        <v>0.55555555555555558</v>
      </c>
      <c r="F15" s="81">
        <f>COUNTIFS(Calc!$P:$P,1,Calc!$L:$L,A14)</f>
        <v>9</v>
      </c>
      <c r="G15" s="105">
        <f>COUNTIFS(Calc!$P:$P,1,Calc!$L:$L,A14,Calc!$F:$F,A3)</f>
        <v>5</v>
      </c>
      <c r="H15" s="105">
        <f>G15-F15</f>
        <v>-4</v>
      </c>
      <c r="K15" s="151" t="s">
        <v>155</v>
      </c>
      <c r="L15" s="151"/>
      <c r="M15" s="151"/>
      <c r="N15" s="151"/>
      <c r="O15" s="78">
        <f t="shared" si="5"/>
        <v>0.25</v>
      </c>
      <c r="P15" s="81">
        <f>COUNTIFS(Calc!$P:$P,1,Calc!$L:$L,K14)</f>
        <v>8</v>
      </c>
      <c r="Q15" s="105">
        <f>COUNTIFS(Calc!$P:$P,1,Calc!$L:$L,K14,Calc!$F:$F,K3)</f>
        <v>2</v>
      </c>
      <c r="R15" s="105">
        <f>Q15-P15</f>
        <v>-6</v>
      </c>
    </row>
    <row r="16" spans="1:18" x14ac:dyDescent="0.45">
      <c r="A16" s="151" t="s">
        <v>156</v>
      </c>
      <c r="B16" s="151"/>
      <c r="C16" s="151"/>
      <c r="D16" s="151"/>
      <c r="E16" s="78">
        <f t="shared" si="4"/>
        <v>0.5</v>
      </c>
      <c r="F16" s="81">
        <f>COUNTIFS(Calc!$P:$P,2,Calc!$L:$L,A14)</f>
        <v>8</v>
      </c>
      <c r="G16" s="105">
        <f>COUNTIFS(Calc!$P:$P,2,Calc!$L:$L,A14,Calc!$F:$F,A3)</f>
        <v>4</v>
      </c>
      <c r="H16" s="105">
        <f>G16-F16</f>
        <v>-4</v>
      </c>
      <c r="K16" s="151" t="s">
        <v>156</v>
      </c>
      <c r="L16" s="151"/>
      <c r="M16" s="151"/>
      <c r="N16" s="151"/>
      <c r="O16" s="78">
        <f t="shared" si="5"/>
        <v>0.3</v>
      </c>
      <c r="P16" s="81">
        <f>COUNTIFS(Calc!$P:$P,2,Calc!$L:$L,K14)</f>
        <v>10</v>
      </c>
      <c r="Q16" s="105">
        <f>COUNTIFS(Calc!$P:$P,2,Calc!$L:$L,K14,Calc!$F:$F,K3)</f>
        <v>3</v>
      </c>
      <c r="R16" s="105">
        <f>Q16-P16</f>
        <v>-7</v>
      </c>
    </row>
    <row r="17" spans="1:19" x14ac:dyDescent="0.45">
      <c r="A17" s="151" t="s">
        <v>157</v>
      </c>
      <c r="B17" s="151"/>
      <c r="C17" s="151"/>
      <c r="D17" s="151"/>
      <c r="E17" s="78">
        <f t="shared" si="4"/>
        <v>0.625</v>
      </c>
      <c r="F17" s="81">
        <f>COUNTIFS(Calc!$P:$P,3,Calc!$L:$L,A14)</f>
        <v>8</v>
      </c>
      <c r="G17" s="105">
        <f>COUNTIFS(Calc!$P:$P,3,Calc!$L:$L,A14,Calc!$F:$F,A3)</f>
        <v>5</v>
      </c>
      <c r="H17" s="105">
        <f t="shared" ref="H17:H21" si="6">G17-F17</f>
        <v>-3</v>
      </c>
      <c r="K17" s="151" t="s">
        <v>157</v>
      </c>
      <c r="L17" s="151"/>
      <c r="M17" s="151"/>
      <c r="N17" s="151"/>
      <c r="O17" s="78">
        <f t="shared" si="5"/>
        <v>0.25</v>
      </c>
      <c r="P17" s="81">
        <f>COUNTIFS(Calc!$P:$P,3,Calc!$L:$L,K14)</f>
        <v>8</v>
      </c>
      <c r="Q17" s="105">
        <f>COUNTIFS(Calc!$P:$P,3,Calc!$L:$L,K14,Calc!$F:$F,K3)</f>
        <v>2</v>
      </c>
      <c r="R17" s="105">
        <f t="shared" ref="R17:R21" si="7">Q17-P17</f>
        <v>-6</v>
      </c>
    </row>
    <row r="18" spans="1:19" x14ac:dyDescent="0.45">
      <c r="A18" s="151" t="s">
        <v>158</v>
      </c>
      <c r="B18" s="151"/>
      <c r="C18" s="151"/>
      <c r="D18" s="151"/>
      <c r="E18" s="78" t="e">
        <f t="shared" si="4"/>
        <v>#DIV/0!</v>
      </c>
      <c r="F18" s="81">
        <f>COUNTIFS(Calc!$P:$P,4,Calc!$L:$L,A14)</f>
        <v>0</v>
      </c>
      <c r="G18" s="105">
        <f>COUNTIFS(Calc!$P:$P,4,Calc!$L:$L,A14,Calc!$F:$F,A3)</f>
        <v>0</v>
      </c>
      <c r="H18" s="105">
        <f t="shared" si="6"/>
        <v>0</v>
      </c>
      <c r="K18" s="151" t="s">
        <v>158</v>
      </c>
      <c r="L18" s="151"/>
      <c r="M18" s="151"/>
      <c r="N18" s="151"/>
      <c r="O18" s="78" t="e">
        <f t="shared" si="5"/>
        <v>#DIV/0!</v>
      </c>
      <c r="P18" s="81">
        <f>COUNTIFS(Calc!$P:$P,4,Calc!$L:$L,K14)</f>
        <v>0</v>
      </c>
      <c r="Q18" s="105">
        <f>COUNTIFS(Calc!$P:$P,4,Calc!$L:$L,K14,Calc!$F:$F,K3)</f>
        <v>0</v>
      </c>
      <c r="R18" s="105">
        <f t="shared" si="7"/>
        <v>0</v>
      </c>
    </row>
    <row r="19" spans="1:19" x14ac:dyDescent="0.45">
      <c r="A19" s="151" t="s">
        <v>159</v>
      </c>
      <c r="B19" s="151"/>
      <c r="C19" s="151"/>
      <c r="D19" s="151"/>
      <c r="E19" s="78" t="e">
        <f t="shared" si="4"/>
        <v>#DIV/0!</v>
      </c>
      <c r="F19" s="81">
        <f>COUNTIFS(Calc!$P:$P,5,Calc!$L:$L,A14)</f>
        <v>0</v>
      </c>
      <c r="G19" s="105">
        <f>COUNTIFS(Calc!$P:$P,5,Calc!$L:$L,A14,Calc!$F:$F,A3)</f>
        <v>0</v>
      </c>
      <c r="H19" s="105">
        <f t="shared" si="6"/>
        <v>0</v>
      </c>
      <c r="K19" s="151" t="s">
        <v>159</v>
      </c>
      <c r="L19" s="151"/>
      <c r="M19" s="151"/>
      <c r="N19" s="151"/>
      <c r="O19" s="78" t="e">
        <f t="shared" si="5"/>
        <v>#DIV/0!</v>
      </c>
      <c r="P19" s="81">
        <f>COUNTIFS(Calc!$P:$P,5,Calc!$L:$L,K14)</f>
        <v>0</v>
      </c>
      <c r="Q19" s="105">
        <f>COUNTIFS(Calc!$P:$P,5,Calc!$L:$L,K14,Calc!$F:$F,K3)</f>
        <v>0</v>
      </c>
      <c r="R19" s="105">
        <f t="shared" si="7"/>
        <v>0</v>
      </c>
    </row>
    <row r="20" spans="1:19" x14ac:dyDescent="0.45">
      <c r="A20" s="151" t="s">
        <v>160</v>
      </c>
      <c r="B20" s="151"/>
      <c r="C20" s="151"/>
      <c r="D20" s="151"/>
      <c r="E20" s="78" t="e">
        <f t="shared" si="4"/>
        <v>#DIV/0!</v>
      </c>
      <c r="F20" s="81">
        <f>COUNTIFS(Calc!$P:$P,6,Calc!$L:$L,A14)</f>
        <v>0</v>
      </c>
      <c r="G20" s="105">
        <f>COUNTIFS(Calc!$P:$P,6,Calc!$L:$L,A14,Calc!$F:$F,A3)</f>
        <v>0</v>
      </c>
      <c r="H20" s="105">
        <f t="shared" si="6"/>
        <v>0</v>
      </c>
      <c r="K20" s="151" t="s">
        <v>160</v>
      </c>
      <c r="L20" s="151"/>
      <c r="M20" s="151"/>
      <c r="N20" s="151"/>
      <c r="O20" s="78" t="e">
        <f t="shared" si="5"/>
        <v>#DIV/0!</v>
      </c>
      <c r="P20" s="81">
        <f>COUNTIFS(Calc!$P:$P,6,Calc!$L:$L,K14)</f>
        <v>0</v>
      </c>
      <c r="Q20" s="105">
        <f>COUNTIFS(Calc!$P:$P,6,Calc!$L:$L,K14,Calc!$F:$F,K3)</f>
        <v>0</v>
      </c>
      <c r="R20" s="105">
        <f t="shared" si="7"/>
        <v>0</v>
      </c>
    </row>
    <row r="21" spans="1:19" x14ac:dyDescent="0.45">
      <c r="A21" s="151" t="s">
        <v>161</v>
      </c>
      <c r="B21" s="151"/>
      <c r="C21" s="151"/>
      <c r="D21" s="151"/>
      <c r="E21" s="78" t="e">
        <f t="shared" si="4"/>
        <v>#DIV/0!</v>
      </c>
      <c r="F21" s="81">
        <f>COUNTIFS(Calc!$P:$P,7,Calc!$L:$L,A14)</f>
        <v>0</v>
      </c>
      <c r="G21" s="105">
        <f>COUNTIFS(Calc!$P:$P,7,Calc!$L:$L,A14,Calc!$F:$F,A3)</f>
        <v>0</v>
      </c>
      <c r="H21" s="105">
        <f t="shared" si="6"/>
        <v>0</v>
      </c>
      <c r="K21" s="151" t="s">
        <v>161</v>
      </c>
      <c r="L21" s="151"/>
      <c r="M21" s="151"/>
      <c r="N21" s="151"/>
      <c r="O21" s="78" t="e">
        <f t="shared" si="5"/>
        <v>#DIV/0!</v>
      </c>
      <c r="P21" s="81">
        <f>COUNTIFS(Calc!$P:$P,7,Calc!$L:$L,K14)</f>
        <v>0</v>
      </c>
      <c r="Q21" s="105">
        <f>COUNTIFS(Calc!$P:$P,7,Calc!$L:$L,K14,Calc!$F:$F,K3)</f>
        <v>0</v>
      </c>
      <c r="R21" s="105">
        <f t="shared" si="7"/>
        <v>0</v>
      </c>
    </row>
    <row r="27" spans="1:19" x14ac:dyDescent="0.45">
      <c r="A27" s="139" t="s">
        <v>180</v>
      </c>
      <c r="B27" s="139"/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39"/>
      <c r="P27" s="139"/>
      <c r="Q27" s="139"/>
      <c r="R27" s="139"/>
      <c r="S27" s="139"/>
    </row>
    <row r="28" spans="1:19" x14ac:dyDescent="0.45">
      <c r="A28" s="119">
        <v>1</v>
      </c>
      <c r="K28" s="119">
        <v>1</v>
      </c>
    </row>
    <row r="29" spans="1:19" x14ac:dyDescent="0.45">
      <c r="A29" s="68" t="s">
        <v>139</v>
      </c>
      <c r="K29" s="68" t="s">
        <v>139</v>
      </c>
    </row>
    <row r="30" spans="1:19" x14ac:dyDescent="0.45">
      <c r="A30" s="140" t="str">
        <f>Main!$D$8</f>
        <v>HIRANO Miu</v>
      </c>
      <c r="B30" s="141"/>
      <c r="C30" s="141"/>
      <c r="D30" s="141"/>
      <c r="E30" s="72" t="str">
        <f>Main!$F$8</f>
        <v>R</v>
      </c>
      <c r="F30" s="79"/>
      <c r="G30" s="80"/>
      <c r="H30" s="73" t="s">
        <v>109</v>
      </c>
      <c r="I30" s="73" t="s">
        <v>110</v>
      </c>
      <c r="K30" s="140" t="str">
        <f>Main!$D$12</f>
        <v>NAMBA Yurika</v>
      </c>
      <c r="L30" s="141"/>
      <c r="M30" s="141"/>
      <c r="N30" s="141"/>
      <c r="O30" s="72" t="str">
        <f>Main!$F$12</f>
        <v>R</v>
      </c>
      <c r="P30" s="79"/>
      <c r="Q30" s="80"/>
      <c r="R30" s="74" t="s">
        <v>109</v>
      </c>
      <c r="S30" s="74" t="s">
        <v>110</v>
      </c>
    </row>
    <row r="31" spans="1:19" ht="18.600000000000001" thickBot="1" x14ac:dyDescent="0.5">
      <c r="A31" s="142" t="s">
        <v>97</v>
      </c>
      <c r="B31" s="143"/>
      <c r="C31" s="143"/>
      <c r="D31" s="82">
        <f>COUNTIFS(Calc!$L:$L,A30,Calc!$O:$O,"ネット")</f>
        <v>1</v>
      </c>
      <c r="E31" s="73" t="s">
        <v>99</v>
      </c>
      <c r="F31" s="73">
        <f>COUNTIFS(Calc!$L:$L,A30,Calc!$N:$N,E31)</f>
        <v>0</v>
      </c>
      <c r="G31" s="75">
        <f>F31/SUM(F31:F38)</f>
        <v>0</v>
      </c>
      <c r="H31" s="73">
        <f>COUNTIFS(Calc!$L:$L,A30,Calc!$N:$N,E31,Calc!$F:$F,A30)</f>
        <v>0</v>
      </c>
      <c r="I31" s="73">
        <f>COUNTIFS(Calc!$L:$L,A30,Calc!$N:$N,E31,Calc!$F:$F,"&lt;&gt;"&amp;A30)</f>
        <v>0</v>
      </c>
      <c r="K31" s="144" t="s">
        <v>81</v>
      </c>
      <c r="L31" s="145"/>
      <c r="M31" s="145"/>
      <c r="N31" s="83">
        <f>COUNTIFS(Calc!$L:$L,K30,Calc!$O:$O,"ネット")</f>
        <v>0</v>
      </c>
      <c r="O31" s="74" t="s">
        <v>14</v>
      </c>
      <c r="P31" s="74">
        <f>COUNTIFS(Calc!$L:$L,K30,Calc!$N:$N,O31)</f>
        <v>0</v>
      </c>
      <c r="Q31" s="76" t="e">
        <f>P31/SUM(P31:P38)</f>
        <v>#DIV/0!</v>
      </c>
      <c r="R31" s="74">
        <f>COUNTIFS(Calc!$L:$L,K30,Calc!$N:$N,O31,Calc!$F:$F,K30)</f>
        <v>0</v>
      </c>
      <c r="S31" s="74">
        <f>COUNTIFS(Calc!$L:$L,K30,Calc!$N:$N,O31,Calc!$F:$F,"&lt;&gt;"&amp;K30)</f>
        <v>0</v>
      </c>
    </row>
    <row r="32" spans="1:19" ht="18.600000000000001" thickTop="1" x14ac:dyDescent="0.45">
      <c r="A32" s="146" t="s">
        <v>114</v>
      </c>
      <c r="B32" s="147"/>
      <c r="C32" s="147"/>
      <c r="D32" s="109">
        <f>COUNTIFS(Calc!$L:$L,A30,Calc!$O:$O,"ネットイン")</f>
        <v>0</v>
      </c>
      <c r="E32" s="73" t="s">
        <v>100</v>
      </c>
      <c r="F32" s="73">
        <f>COUNTIFS(Calc!$L:$L,A30,Calc!$N:$N,E32)</f>
        <v>0</v>
      </c>
      <c r="G32" s="75">
        <f>F32/SUM(F31:F38)</f>
        <v>0</v>
      </c>
      <c r="H32" s="73">
        <f>COUNTIFS(Calc!$L:$L,A30,Calc!$N:$N,E32,Calc!$F:$F,A30)</f>
        <v>0</v>
      </c>
      <c r="I32" s="73">
        <f>COUNTIFS(Calc!$L:$L,A30,Calc!$N:$N,E32,Calc!$F:$F,"&lt;&gt;"&amp;A30)</f>
        <v>0</v>
      </c>
      <c r="K32" s="148" t="s">
        <v>176</v>
      </c>
      <c r="L32" s="149"/>
      <c r="M32" s="149"/>
      <c r="N32" s="110">
        <f>COUNTIFS(Calc!$L:$L,K30,Calc!$O:$O,"ネットイン")</f>
        <v>0</v>
      </c>
      <c r="O32" s="74" t="s">
        <v>15</v>
      </c>
      <c r="P32" s="74">
        <f>COUNTIFS(Calc!$L:$L,K30,Calc!$N:$N,O32)</f>
        <v>0</v>
      </c>
      <c r="Q32" s="76" t="e">
        <f>P32/SUM(P31:P38)</f>
        <v>#DIV/0!</v>
      </c>
      <c r="R32" s="74">
        <f>COUNTIFS(Calc!$L:$L,K30,Calc!$N:$N,O32,Calc!$F:$F,K30)</f>
        <v>0</v>
      </c>
      <c r="S32" s="74">
        <f>COUNTIFS(Calc!$L:$L,K30,Calc!$N:$N,O32,Calc!$F:$F,"&lt;&gt;"&amp;K30)</f>
        <v>0</v>
      </c>
    </row>
    <row r="33" spans="1:19" x14ac:dyDescent="0.45">
      <c r="A33" s="134">
        <f>COUNTIFS(Calc!$L:$L,A30,Calc!$O:$O,IF(O30="R","BS","FS"))</f>
        <v>0</v>
      </c>
      <c r="B33" s="134">
        <f>COUNTIFS(Calc!$L:$L,A30,Calc!$O:$O,IF(O30="R","BMS","FMS"))</f>
        <v>0</v>
      </c>
      <c r="C33" s="134">
        <f>COUNTIFS(Calc!$L:$L,A30,Calc!$O:$O,IF(O30="R","FMS","BMS"))</f>
        <v>0</v>
      </c>
      <c r="D33" s="134">
        <f>COUNTIFS(Calc!$L:$L,A30,Calc!$O:$O,IF(O30="R","FS","BS"))</f>
        <v>0</v>
      </c>
      <c r="E33" s="73" t="s">
        <v>101</v>
      </c>
      <c r="F33" s="73">
        <f>COUNTIFS(Calc!$L:$L,A30,Calc!$N:$N,E33)</f>
        <v>0</v>
      </c>
      <c r="G33" s="75">
        <f>F33/SUM(F31:F38)</f>
        <v>0</v>
      </c>
      <c r="H33" s="73">
        <f>COUNTIFS(Calc!$L:$L,A30,Calc!$N:$N,E33,Calc!$F:$F,A30)</f>
        <v>0</v>
      </c>
      <c r="I33" s="73">
        <f>COUNTIFS(Calc!$L:$L,A30,Calc!$N:$N,E33,Calc!$F:$F,"&lt;&gt;"&amp;A30)</f>
        <v>0</v>
      </c>
      <c r="K33" s="150">
        <f>COUNTIFS(Calc!$L:$L,K30,Calc!$O:$O,IF(E30="R","BS","FS"))</f>
        <v>0</v>
      </c>
      <c r="L33" s="150">
        <f>COUNTIFS(Calc!$L:$L,K30,Calc!$O:$O,IF(E30="R","BMS","FMS"))</f>
        <v>0</v>
      </c>
      <c r="M33" s="150">
        <f>COUNTIFS(Calc!$L:$L,K30,Calc!$O:$O,IF(E30="R","FMS","BMS"))</f>
        <v>0</v>
      </c>
      <c r="N33" s="150">
        <f>COUNTIFS(Calc!$L:$L,K30,Calc!$O:$O,IF(E30="R","FS","BS"))</f>
        <v>0</v>
      </c>
      <c r="O33" s="74" t="s">
        <v>17</v>
      </c>
      <c r="P33" s="74">
        <f>COUNTIFS(Calc!$L:$L,K30,Calc!$N:$N,O33)</f>
        <v>0</v>
      </c>
      <c r="Q33" s="76" t="e">
        <f>P33/SUM(P31:P38)</f>
        <v>#DIV/0!</v>
      </c>
      <c r="R33" s="74">
        <f>COUNTIFS(Calc!$L:$L,K30,Calc!$N:$N,O33,Calc!$F:$F,K30)</f>
        <v>0</v>
      </c>
      <c r="S33" s="74">
        <f>COUNTIFS(Calc!$L:$L,K30,Calc!$N:$N,O33,Calc!$F:$F,"&lt;&gt;"&amp;K30)</f>
        <v>0</v>
      </c>
    </row>
    <row r="34" spans="1:19" x14ac:dyDescent="0.45">
      <c r="A34" s="134"/>
      <c r="B34" s="134"/>
      <c r="C34" s="134"/>
      <c r="D34" s="134"/>
      <c r="E34" s="73" t="s">
        <v>102</v>
      </c>
      <c r="F34" s="73">
        <f>COUNTIFS(Calc!$L:$L,A30,Calc!$N:$N,E34)</f>
        <v>0</v>
      </c>
      <c r="G34" s="75">
        <f>F34/SUM(F31:F38)</f>
        <v>0</v>
      </c>
      <c r="H34" s="73">
        <f>COUNTIFS(Calc!$L:$L,A30,Calc!$N:$N,E34,Calc!$F:$F,A30)</f>
        <v>0</v>
      </c>
      <c r="I34" s="73">
        <f>COUNTIFS(Calc!$L:$L,A30,Calc!$N:$N,E34,Calc!$F:$F,"&lt;&gt;"&amp;A30)</f>
        <v>0</v>
      </c>
      <c r="K34" s="136"/>
      <c r="L34" s="136"/>
      <c r="M34" s="136"/>
      <c r="N34" s="136"/>
      <c r="O34" s="74" t="s">
        <v>16</v>
      </c>
      <c r="P34" s="74">
        <f>COUNTIFS(Calc!$L:$L,K30,Calc!$N:$N,O34)</f>
        <v>0</v>
      </c>
      <c r="Q34" s="76" t="e">
        <f>P34/SUM(P31:P38)</f>
        <v>#DIV/0!</v>
      </c>
      <c r="R34" s="74">
        <f>COUNTIFS(Calc!$L:$L,K30,Calc!$N:$N,O34,Calc!$F:$F,K30)</f>
        <v>0</v>
      </c>
      <c r="S34" s="74">
        <f>COUNTIFS(Calc!$L:$L,K30,Calc!$N:$N,O34,Calc!$F:$F,"&lt;&gt;"&amp;K30)</f>
        <v>0</v>
      </c>
    </row>
    <row r="35" spans="1:19" x14ac:dyDescent="0.45">
      <c r="A35" s="134">
        <f>COUNTIFS(Calc!$L:$L,A30,Calc!$O:$O,IF(O30="R","B","F"))</f>
        <v>0</v>
      </c>
      <c r="B35" s="134">
        <f>COUNTIFS(Calc!$L:$L,A30,Calc!$O:$O,IF(O30="R","BM","FM"))</f>
        <v>0</v>
      </c>
      <c r="C35" s="134">
        <f>COUNTIFS(Calc!$L:$L,A30,Calc!$O:$O,IF(O30="R","FM","BM"))</f>
        <v>0</v>
      </c>
      <c r="D35" s="134">
        <f>COUNTIFS(Calc!$L:$L,A30,Calc!$O:$O,IF(O30="R","F","B"))</f>
        <v>0</v>
      </c>
      <c r="E35" s="73" t="s">
        <v>104</v>
      </c>
      <c r="F35" s="73">
        <f>COUNTIFS(Calc!$L:$L,A30,Calc!$N:$N,E35)</f>
        <v>0</v>
      </c>
      <c r="G35" s="75">
        <f>F35/SUM(F31:F38)</f>
        <v>0</v>
      </c>
      <c r="H35" s="73">
        <f>COUNTIFS(Calc!$L:$L,A30,Calc!$N:$N,E35,Calc!$F:$F,A30)</f>
        <v>0</v>
      </c>
      <c r="I35" s="73">
        <f>COUNTIFS(Calc!$L:$L,A30,Calc!$N:$N,E35,Calc!$F:$F,"&lt;&gt;"&amp;A30)</f>
        <v>0</v>
      </c>
      <c r="K35" s="135">
        <f>COUNTIFS(Calc!$L:$L,K30,Calc!$O:$O,IF(E30="R","B","F"))</f>
        <v>0</v>
      </c>
      <c r="L35" s="135">
        <f>COUNTIFS(Calc!$L:$L,K30,Calc!$O:$O,IF(E30="R","BM","FM"))</f>
        <v>0</v>
      </c>
      <c r="M35" s="135">
        <f>COUNTIFS(Calc!$L:$L,K30,Calc!$O:$O,IF(E30="R","FM","BM"))</f>
        <v>0</v>
      </c>
      <c r="N35" s="135">
        <f>COUNTIFS(Calc!$L:$L,K30,Calc!$O:$O,IF(E30="R","F","B"))</f>
        <v>0</v>
      </c>
      <c r="O35" s="74" t="s">
        <v>103</v>
      </c>
      <c r="P35" s="74">
        <f>COUNTIFS(Calc!$L:$L,K30,Calc!$N:$N,O35)</f>
        <v>0</v>
      </c>
      <c r="Q35" s="76" t="e">
        <f>P35/SUM(P31:P38)</f>
        <v>#DIV/0!</v>
      </c>
      <c r="R35" s="74">
        <f>COUNTIFS(Calc!$L:$L,K30,Calc!$N:$N,O35,Calc!$F:$F,K30)</f>
        <v>0</v>
      </c>
      <c r="S35" s="74">
        <f>COUNTIFS(Calc!$L:$L,K30,Calc!$N:$N,O35,Calc!$F:$F,"&lt;&gt;"&amp;K30)</f>
        <v>0</v>
      </c>
    </row>
    <row r="36" spans="1:19" x14ac:dyDescent="0.45">
      <c r="A36" s="134"/>
      <c r="B36" s="134"/>
      <c r="C36" s="134"/>
      <c r="D36" s="134"/>
      <c r="E36" s="73" t="s">
        <v>105</v>
      </c>
      <c r="F36" s="73">
        <f>COUNTIFS(Calc!$L:$L,A30,Calc!$N:$N,E36)</f>
        <v>1</v>
      </c>
      <c r="G36" s="75">
        <f>F36/SUM(F31:F38)</f>
        <v>1</v>
      </c>
      <c r="H36" s="73">
        <f>COUNTIFS(Calc!$L:$L,A30,Calc!$N:$N,E36,Calc!$F:$F,A30)</f>
        <v>0</v>
      </c>
      <c r="I36" s="73">
        <f>COUNTIFS(Calc!$L:$L,A30,Calc!$N:$N,E36,Calc!$F:$F,"&lt;&gt;"&amp;A30)</f>
        <v>1</v>
      </c>
      <c r="K36" s="136"/>
      <c r="L36" s="136"/>
      <c r="M36" s="136"/>
      <c r="N36" s="136"/>
      <c r="O36" s="74" t="s">
        <v>82</v>
      </c>
      <c r="P36" s="74">
        <f>COUNTIFS(Calc!$L:$L,K30,Calc!$N:$N,O36)</f>
        <v>0</v>
      </c>
      <c r="Q36" s="76" t="e">
        <f>P36/SUM(P31:P38)</f>
        <v>#DIV/0!</v>
      </c>
      <c r="R36" s="74">
        <f>COUNTIFS(Calc!$L:$L,K30,Calc!$N:$N,O36,Calc!$F:$F,K30)</f>
        <v>0</v>
      </c>
      <c r="S36" s="74">
        <f>COUNTIFS(Calc!$L:$L,K30,Calc!$N:$N,O36,Calc!$F:$F,"&lt;&gt;"&amp;K30)</f>
        <v>0</v>
      </c>
    </row>
    <row r="37" spans="1:19" x14ac:dyDescent="0.45">
      <c r="A37" s="137" t="s">
        <v>98</v>
      </c>
      <c r="B37" s="137"/>
      <c r="C37" s="137"/>
      <c r="D37" s="137"/>
      <c r="E37" s="73" t="s">
        <v>106</v>
      </c>
      <c r="F37" s="73">
        <f>COUNTIFS(Calc!$L:$L,A30,Calc!$N:$N,E37)</f>
        <v>0</v>
      </c>
      <c r="G37" s="75">
        <f>F37/SUM(F31:F38)</f>
        <v>0</v>
      </c>
      <c r="H37" s="73">
        <f>COUNTIFS(Calc!$L:$L,A30,Calc!$N:$N,E37,Calc!$F:$F,A30)</f>
        <v>0</v>
      </c>
      <c r="I37" s="73">
        <f>COUNTIFS(Calc!$L:$L,A30,Calc!$N:$N,E37,Calc!$F:$F,"&lt;&gt;"&amp;A30)</f>
        <v>0</v>
      </c>
      <c r="K37" s="138" t="s">
        <v>80</v>
      </c>
      <c r="L37" s="138"/>
      <c r="M37" s="138"/>
      <c r="N37" s="138"/>
      <c r="O37" s="74" t="s">
        <v>83</v>
      </c>
      <c r="P37" s="74">
        <f>COUNTIFS(Calc!$L:$L,K30,Calc!$N:$N,O37)</f>
        <v>0</v>
      </c>
      <c r="Q37" s="76" t="e">
        <f>P37/SUM(P31:P38)</f>
        <v>#DIV/0!</v>
      </c>
      <c r="R37" s="74">
        <f>COUNTIFS(Calc!$L:$L,K30,Calc!$N:$N,O37,Calc!$F:$F,K30)</f>
        <v>0</v>
      </c>
      <c r="S37" s="74">
        <f>COUNTIFS(Calc!$L:$L,K30,Calc!$N:$N,O37,Calc!$F:$F,"&lt;&gt;"&amp;K30)</f>
        <v>0</v>
      </c>
    </row>
    <row r="38" spans="1:19" x14ac:dyDescent="0.45">
      <c r="A38" s="132">
        <f>COUNTIFS(Calc!$L:$L,A30,Calc!$O:$O,"オーバーミス")</f>
        <v>0</v>
      </c>
      <c r="B38" s="132"/>
      <c r="C38" s="132"/>
      <c r="D38" s="132"/>
      <c r="E38" s="73" t="s">
        <v>108</v>
      </c>
      <c r="F38" s="73">
        <f>COUNTIFS(Calc!$L:$L,A30,Calc!$N:$N,E38)</f>
        <v>0</v>
      </c>
      <c r="G38" s="75">
        <f>F38/SUM(F31:F38)</f>
        <v>0</v>
      </c>
      <c r="H38" s="73">
        <f>COUNTIFS(Calc!$L:$L,A30,Calc!$N:$N,E38,Calc!$F:$F,A30)</f>
        <v>0</v>
      </c>
      <c r="I38" s="73">
        <f>COUNTIFS(Calc!$L:$L,A30,Calc!$N:$N,E38,Calc!$F:$F,"&lt;&gt;"&amp;A30)</f>
        <v>0</v>
      </c>
      <c r="K38" s="133">
        <f>COUNTIFS(Calc!$L:$L,K30,Calc!$O:$O,"オーバーミス")</f>
        <v>0</v>
      </c>
      <c r="L38" s="133"/>
      <c r="M38" s="133"/>
      <c r="N38" s="133"/>
      <c r="O38" s="74" t="s">
        <v>107</v>
      </c>
      <c r="P38" s="74">
        <f>COUNTIFS(Calc!$L:$L,K30,Calc!$N:$N,O38)</f>
        <v>0</v>
      </c>
      <c r="Q38" s="76" t="e">
        <f>P38/SUM(P31:P38)</f>
        <v>#DIV/0!</v>
      </c>
      <c r="R38" s="74">
        <f>COUNTIFS(Calc!$L:$L,K30,Calc!$N:$N,O38,Calc!$F:$F,K30)</f>
        <v>0</v>
      </c>
      <c r="S38" s="74">
        <f>COUNTIFS(Calc!$L:$L,K30,Calc!$N:$N,O38,Calc!$F:$F,"&lt;&gt;"&amp;K30)</f>
        <v>0</v>
      </c>
    </row>
    <row r="39" spans="1:19" x14ac:dyDescent="0.45">
      <c r="A39" s="107"/>
      <c r="B39" s="107"/>
      <c r="C39" s="107"/>
      <c r="D39" s="107"/>
      <c r="E39" s="73"/>
      <c r="F39" s="73"/>
      <c r="G39" s="75"/>
      <c r="H39" s="73"/>
      <c r="I39" s="73"/>
      <c r="K39" s="108"/>
      <c r="L39" s="108"/>
      <c r="M39" s="108"/>
      <c r="N39" s="108"/>
      <c r="O39" s="74"/>
      <c r="P39" s="74"/>
      <c r="Q39" s="76"/>
      <c r="R39" s="74"/>
      <c r="S39" s="74"/>
    </row>
    <row r="40" spans="1:19" x14ac:dyDescent="0.45">
      <c r="A40" s="107"/>
      <c r="B40" s="107"/>
      <c r="C40" s="107"/>
      <c r="D40" s="107"/>
      <c r="E40" s="73"/>
      <c r="F40" s="73"/>
      <c r="G40" s="75"/>
      <c r="H40" s="73"/>
      <c r="I40" s="73"/>
      <c r="K40" s="108"/>
      <c r="L40" s="108"/>
      <c r="M40" s="108"/>
      <c r="N40" s="108"/>
      <c r="O40" s="74"/>
      <c r="P40" s="74"/>
      <c r="Q40" s="76"/>
      <c r="R40" s="74"/>
      <c r="S40" s="74"/>
    </row>
    <row r="41" spans="1:19" x14ac:dyDescent="0.45">
      <c r="A41" s="107"/>
      <c r="B41" s="107"/>
      <c r="C41" s="107"/>
      <c r="D41" s="107"/>
      <c r="E41" s="73"/>
      <c r="F41" s="73"/>
      <c r="G41" s="75"/>
      <c r="H41" s="73"/>
      <c r="I41" s="73"/>
      <c r="K41" s="108"/>
      <c r="L41" s="108"/>
      <c r="M41" s="108"/>
      <c r="N41" s="108"/>
      <c r="O41" s="74"/>
      <c r="P41" s="74"/>
      <c r="Q41" s="76"/>
      <c r="R41" s="74"/>
      <c r="S41" s="74"/>
    </row>
    <row r="42" spans="1:19" x14ac:dyDescent="0.45">
      <c r="A42" s="139" t="s">
        <v>155</v>
      </c>
      <c r="B42" s="139"/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39"/>
      <c r="P42" s="139"/>
      <c r="Q42" s="139"/>
      <c r="R42" s="139"/>
      <c r="S42" s="139"/>
    </row>
    <row r="43" spans="1:19" x14ac:dyDescent="0.45">
      <c r="A43" s="119">
        <v>1</v>
      </c>
      <c r="K43" s="119">
        <v>1</v>
      </c>
    </row>
    <row r="44" spans="1:19" x14ac:dyDescent="0.45">
      <c r="A44" s="68" t="s">
        <v>139</v>
      </c>
      <c r="K44" s="68" t="s">
        <v>139</v>
      </c>
    </row>
    <row r="45" spans="1:19" x14ac:dyDescent="0.45">
      <c r="A45" s="140" t="str">
        <f>Main!$D$8</f>
        <v>HIRANO Miu</v>
      </c>
      <c r="B45" s="141"/>
      <c r="C45" s="141"/>
      <c r="D45" s="141"/>
      <c r="E45" s="72" t="str">
        <f>Main!$F$8</f>
        <v>R</v>
      </c>
      <c r="F45" s="79"/>
      <c r="G45" s="80"/>
      <c r="H45" s="73" t="s">
        <v>109</v>
      </c>
      <c r="I45" s="73" t="s">
        <v>110</v>
      </c>
      <c r="K45" s="140" t="str">
        <f>Main!$D$12</f>
        <v>NAMBA Yurika</v>
      </c>
      <c r="L45" s="141"/>
      <c r="M45" s="141"/>
      <c r="N45" s="141"/>
      <c r="O45" s="72" t="str">
        <f>Main!$F$12</f>
        <v>R</v>
      </c>
      <c r="P45" s="79"/>
      <c r="Q45" s="80"/>
      <c r="R45" s="74" t="s">
        <v>109</v>
      </c>
      <c r="S45" s="74" t="s">
        <v>110</v>
      </c>
    </row>
    <row r="46" spans="1:19" ht="18.600000000000001" thickBot="1" x14ac:dyDescent="0.5">
      <c r="A46" s="142" t="s">
        <v>97</v>
      </c>
      <c r="B46" s="143"/>
      <c r="C46" s="143"/>
      <c r="D46" s="82">
        <f>COUNTIFS(Calc!$P:$P,A43,Calc!$L:$L,A45,Calc!$O:$O,"ネット")</f>
        <v>1</v>
      </c>
      <c r="E46" s="73" t="s">
        <v>99</v>
      </c>
      <c r="F46" s="73">
        <f>COUNTIFS(Calc!$P:$P,A43,Calc!$L:$L,A45,Calc!$N:$N,E46)</f>
        <v>0</v>
      </c>
      <c r="G46" s="75">
        <f>F46/SUM(F46:F53)</f>
        <v>0</v>
      </c>
      <c r="H46" s="73">
        <f>COUNTIFS(Calc!$P:$P,A43,Calc!$L:$L,A45,Calc!$N:$N,E46,Calc!$F:$F,A45)</f>
        <v>0</v>
      </c>
      <c r="I46" s="73">
        <f>COUNTIFS(Calc!$P:$P,A43,Calc!$L:$L,A45,Calc!$N:$N,E46,Calc!$F:$F,A64)</f>
        <v>0</v>
      </c>
      <c r="K46" s="144" t="s">
        <v>81</v>
      </c>
      <c r="L46" s="145"/>
      <c r="M46" s="145"/>
      <c r="N46" s="83">
        <f>COUNTIFS(Calc!$P:$P,K43,Calc!$L:$L,K45,Calc!$O:$O,"ネット")</f>
        <v>0</v>
      </c>
      <c r="O46" s="74" t="s">
        <v>14</v>
      </c>
      <c r="P46" s="74">
        <f>COUNTIFS(Calc!$P:$P,K43,Calc!$L:$L,K45,Calc!$N:$N,O46)</f>
        <v>0</v>
      </c>
      <c r="Q46" s="76" t="e">
        <f>P46/SUM(P46:P53)</f>
        <v>#DIV/0!</v>
      </c>
      <c r="R46" s="74">
        <f>COUNTIFS(Calc!$P:$P,K43,Calc!$L:$L,K45,Calc!$N:$N,O46,Calc!$F:$F,K45)</f>
        <v>0</v>
      </c>
      <c r="S46" s="74">
        <f>COUNTIFS(Calc!$P:$P,K43,Calc!$L:$L,K45,Calc!$N:$N,O46,Calc!$F:$F,K64)</f>
        <v>0</v>
      </c>
    </row>
    <row r="47" spans="1:19" ht="18.600000000000001" thickTop="1" x14ac:dyDescent="0.45">
      <c r="A47" s="146" t="s">
        <v>114</v>
      </c>
      <c r="B47" s="147"/>
      <c r="C47" s="147"/>
      <c r="D47" s="109">
        <f>COUNTIFS(Calc!$P:$P,A43,Calc!$L:$L,A45,Calc!$O:$O,"ネットイン")</f>
        <v>0</v>
      </c>
      <c r="E47" s="73" t="s">
        <v>100</v>
      </c>
      <c r="F47" s="73">
        <f>COUNTIFS(Calc!$P:$P,A43,Calc!$L:$L,A45,Calc!$N:$N,E47)</f>
        <v>0</v>
      </c>
      <c r="G47" s="75">
        <f>F47/SUM(F46:F53)</f>
        <v>0</v>
      </c>
      <c r="H47" s="73">
        <f>COUNTIFS(Calc!$P:$P,A43,Calc!$L:$L,A45,Calc!$N:$N,E47,Calc!$F:$F,A45)</f>
        <v>0</v>
      </c>
      <c r="I47" s="73">
        <f>COUNTIFS(Calc!$P:$P,A43,Calc!$L:$L,A45,Calc!$N:$N,E47,Calc!$F:$F,A64)</f>
        <v>0</v>
      </c>
      <c r="K47" s="148" t="s">
        <v>176</v>
      </c>
      <c r="L47" s="149"/>
      <c r="M47" s="149"/>
      <c r="N47" s="110">
        <f>COUNTIFS(Calc!$P:$P,K43,Calc!$L:$L,K45,Calc!$O:$O,"ネットイン")</f>
        <v>0</v>
      </c>
      <c r="O47" s="74" t="s">
        <v>15</v>
      </c>
      <c r="P47" s="74">
        <f>COUNTIFS(Calc!$P:$P,K43,Calc!$L:$L,K45,Calc!$N:$N,O47)</f>
        <v>0</v>
      </c>
      <c r="Q47" s="76" t="e">
        <f>P47/SUM(P46:P53)</f>
        <v>#DIV/0!</v>
      </c>
      <c r="R47" s="74">
        <f>COUNTIFS(Calc!$P:$P,K43,Calc!$L:$L,K45,Calc!$N:$N,O47,Calc!$F:$F,K45)</f>
        <v>0</v>
      </c>
      <c r="S47" s="74">
        <f>COUNTIFS(Calc!$P:$P,K43,Calc!$L:$L,K45,Calc!$N:$N,O47,Calc!$F:$F,K64)</f>
        <v>0</v>
      </c>
    </row>
    <row r="48" spans="1:19" x14ac:dyDescent="0.45">
      <c r="A48" s="134">
        <f>COUNTIFS(Calc!$P:$P,A43,Calc!$L:$L,A45,Calc!$O:$O,IF(E64="R","BS","FS"))</f>
        <v>0</v>
      </c>
      <c r="B48" s="134">
        <f>COUNTIFS(Calc!$P:$P,A43,Calc!$L:$L,A45,Calc!$O:$O,IF(E64="R","BMS","FMS"))</f>
        <v>0</v>
      </c>
      <c r="C48" s="134">
        <f>COUNTIFS(Calc!$P:$P,A43,Calc!$L:$L,A45,Calc!$O:$O,IF(E64="R","FMS","BMS"))</f>
        <v>0</v>
      </c>
      <c r="D48" s="134">
        <f>COUNTIFS(Calc!$P:$P,A43,Calc!$L:$L,A45,Calc!$O:$O,IF(E64="R","FS","BS"))</f>
        <v>0</v>
      </c>
      <c r="E48" s="73" t="s">
        <v>101</v>
      </c>
      <c r="F48" s="73">
        <f>COUNTIFS(Calc!$P:$P,A43,Calc!$L:$L,A45,Calc!$N:$N,E48)</f>
        <v>0</v>
      </c>
      <c r="G48" s="75">
        <f>F48/SUM(F46:F53)</f>
        <v>0</v>
      </c>
      <c r="H48" s="73">
        <f>COUNTIFS(Calc!$P:$P,A43,Calc!$L:$L,A45,Calc!$N:$N,E48,Calc!$F:$F,A45)</f>
        <v>0</v>
      </c>
      <c r="I48" s="73">
        <f>COUNTIFS(Calc!$P:$P,A43,Calc!$L:$L,A45,Calc!$N:$N,E48,Calc!$F:$F,A64)</f>
        <v>0</v>
      </c>
      <c r="K48" s="150">
        <f>COUNTIFS(Calc!$P:$P,K43,Calc!$L:$L,K45,Calc!$O:$O,IF(O64="R","BS","FS"))</f>
        <v>0</v>
      </c>
      <c r="L48" s="150">
        <f>COUNTIFS(Calc!$P:$P,K43,Calc!$L:$L,K45,Calc!$O:$O,IF(O64="R","BMS","FMS"))</f>
        <v>0</v>
      </c>
      <c r="M48" s="150">
        <f>COUNTIFS(Calc!$P:$P,K43,Calc!$L:$L,K45,Calc!$O:$O,IF(O64="R","FMS","BMS"))</f>
        <v>0</v>
      </c>
      <c r="N48" s="150">
        <f>COUNTIFS(Calc!$P:$P,K43,Calc!$L:$L,K45,Calc!$O:$O,IF(O64="R","FS","BS"))</f>
        <v>0</v>
      </c>
      <c r="O48" s="74" t="s">
        <v>17</v>
      </c>
      <c r="P48" s="74">
        <f>COUNTIFS(Calc!$P:$P,K43,Calc!$L:$L,K45,Calc!$N:$N,O48)</f>
        <v>0</v>
      </c>
      <c r="Q48" s="76" t="e">
        <f>P48/SUM(P46:P53)</f>
        <v>#DIV/0!</v>
      </c>
      <c r="R48" s="74">
        <f>COUNTIFS(Calc!$P:$P,K43,Calc!$L:$L,K45,Calc!$N:$N,O48,Calc!$F:$F,K45)</f>
        <v>0</v>
      </c>
      <c r="S48" s="74">
        <f>COUNTIFS(Calc!$P:$P,K43,Calc!$L:$L,K45,Calc!$N:$N,O48,Calc!$F:$F,K64)</f>
        <v>0</v>
      </c>
    </row>
    <row r="49" spans="1:19" x14ac:dyDescent="0.45">
      <c r="A49" s="134"/>
      <c r="B49" s="134"/>
      <c r="C49" s="134"/>
      <c r="D49" s="134"/>
      <c r="E49" s="73" t="s">
        <v>102</v>
      </c>
      <c r="F49" s="73">
        <f>COUNTIFS(Calc!$P:$P,A43,Calc!$L:$L,A45,Calc!$N:$N,E49)</f>
        <v>0</v>
      </c>
      <c r="G49" s="75">
        <f>F49/SUM(F46:F53)</f>
        <v>0</v>
      </c>
      <c r="H49" s="73">
        <f>COUNTIFS(Calc!$P:$P,A43,Calc!$L:$L,A45,Calc!$N:$N,E49,Calc!$F:$F,A45)</f>
        <v>0</v>
      </c>
      <c r="I49" s="73">
        <f>COUNTIFS(Calc!$P:$P,A43,Calc!$L:$L,A45,Calc!$N:$N,E49,Calc!$F:$F,A64)</f>
        <v>0</v>
      </c>
      <c r="K49" s="136"/>
      <c r="L49" s="136"/>
      <c r="M49" s="136"/>
      <c r="N49" s="136"/>
      <c r="O49" s="74" t="s">
        <v>16</v>
      </c>
      <c r="P49" s="74">
        <f>COUNTIFS(Calc!$P:$P,K43,Calc!$L:$L,K45,Calc!$N:$N,O49)</f>
        <v>0</v>
      </c>
      <c r="Q49" s="76" t="e">
        <f>P49/SUM(P46:P53)</f>
        <v>#DIV/0!</v>
      </c>
      <c r="R49" s="74">
        <f>COUNTIFS(Calc!$P:$P,K43,Calc!$L:$L,K45,Calc!$N:$N,O49,Calc!$F:$F,K45)</f>
        <v>0</v>
      </c>
      <c r="S49" s="74">
        <f>COUNTIFS(Calc!$P:$P,K43,Calc!$L:$L,K45,Calc!$N:$N,O49,Calc!$F:$F,K64)</f>
        <v>0</v>
      </c>
    </row>
    <row r="50" spans="1:19" x14ac:dyDescent="0.45">
      <c r="A50" s="134">
        <f>COUNTIFS(Calc!$P:$P,A43,Calc!$L:$L,A45,Calc!$O:$O,IF(E64="R","B","F"))</f>
        <v>0</v>
      </c>
      <c r="B50" s="134">
        <f>COUNTIFS(Calc!$P:$P,A43,Calc!$L:$L,A45,Calc!$O:$O,IF(E64="R","BM","FM"))</f>
        <v>0</v>
      </c>
      <c r="C50" s="134">
        <f>COUNTIFS(Calc!$P:$P,A43,Calc!$L:$L,A45,Calc!$O:$O,IF(E64="R","FM","BM"))</f>
        <v>0</v>
      </c>
      <c r="D50" s="134">
        <f>COUNTIFS(Calc!$P:$P,A43,Calc!$L:$L,A45,Calc!$O:$O,IF(E64="R","F","B"))</f>
        <v>0</v>
      </c>
      <c r="E50" s="73" t="s">
        <v>104</v>
      </c>
      <c r="F50" s="73">
        <f>COUNTIFS(Calc!$P:$P,A43,Calc!$L:$L,A45,Calc!$N:$N,E50)</f>
        <v>0</v>
      </c>
      <c r="G50" s="75">
        <f>F50/SUM(F46:F53)</f>
        <v>0</v>
      </c>
      <c r="H50" s="73">
        <f>COUNTIFS(Calc!$P:$P,A43,Calc!$L:$L,A45,Calc!$N:$N,E50,Calc!$F:$F,A45)</f>
        <v>0</v>
      </c>
      <c r="I50" s="73">
        <f>COUNTIFS(Calc!$P:$P,A43,Calc!$L:$L,A45,Calc!$N:$N,E50,Calc!$F:$F,A64)</f>
        <v>0</v>
      </c>
      <c r="K50" s="135">
        <f>COUNTIFS(Calc!$P:$P,K43,Calc!$L:$L,K45,Calc!$O:$O,IF(O64="R","B","F"))</f>
        <v>0</v>
      </c>
      <c r="L50" s="135">
        <f>COUNTIFS(Calc!$P:$P,K43,Calc!$L:$L,K45,Calc!$O:$O,IF(O64="R","BM","FM"))</f>
        <v>0</v>
      </c>
      <c r="M50" s="135">
        <f>COUNTIFS(Calc!$P:$P,K43,Calc!$L:$L,K45,Calc!$O:$O,IF(O64="R","FM","BM"))</f>
        <v>0</v>
      </c>
      <c r="N50" s="135">
        <f>COUNTIFS(Calc!$P:$P,K43,Calc!$L:$L,K45,Calc!$O:$O,IF(O64="R","F","B"))</f>
        <v>0</v>
      </c>
      <c r="O50" s="74" t="s">
        <v>103</v>
      </c>
      <c r="P50" s="74">
        <f>COUNTIFS(Calc!$P:$P,K43,Calc!$L:$L,K45,Calc!$N:$N,O50)</f>
        <v>0</v>
      </c>
      <c r="Q50" s="76" t="e">
        <f>P50/SUM(P46:P53)</f>
        <v>#DIV/0!</v>
      </c>
      <c r="R50" s="74">
        <f>COUNTIFS(Calc!$P:$P,K43,Calc!$L:$L,K45,Calc!$N:$N,O50,Calc!$F:$F,K45)</f>
        <v>0</v>
      </c>
      <c r="S50" s="74">
        <f>COUNTIFS(Calc!$P:$P,K43,Calc!$L:$L,K45,Calc!$N:$N,O50,Calc!$F:$F,K64)</f>
        <v>0</v>
      </c>
    </row>
    <row r="51" spans="1:19" x14ac:dyDescent="0.45">
      <c r="A51" s="134"/>
      <c r="B51" s="134"/>
      <c r="C51" s="134"/>
      <c r="D51" s="134"/>
      <c r="E51" s="73" t="s">
        <v>105</v>
      </c>
      <c r="F51" s="73">
        <f>COUNTIFS(Calc!$P:$P,A43,Calc!$L:$L,A45,Calc!$N:$N,E51)</f>
        <v>1</v>
      </c>
      <c r="G51" s="75">
        <f>F51/SUM(F46:F53)</f>
        <v>1</v>
      </c>
      <c r="H51" s="73">
        <f>COUNTIFS(Calc!$P:$P,A43,Calc!$L:$L,A45,Calc!$N:$N,E51,Calc!$F:$F,A45)</f>
        <v>0</v>
      </c>
      <c r="I51" s="73">
        <f>COUNTIFS(Calc!$P:$P,A43,Calc!$L:$L,A45,Calc!$N:$N,E51,Calc!$F:$F,A64)</f>
        <v>1</v>
      </c>
      <c r="K51" s="136"/>
      <c r="L51" s="136"/>
      <c r="M51" s="136"/>
      <c r="N51" s="136"/>
      <c r="O51" s="74" t="s">
        <v>82</v>
      </c>
      <c r="P51" s="74">
        <f>COUNTIFS(Calc!$P:$P,K43,Calc!$L:$L,K45,Calc!$N:$N,O51)</f>
        <v>0</v>
      </c>
      <c r="Q51" s="76" t="e">
        <f>P51/SUM(P46:P53)</f>
        <v>#DIV/0!</v>
      </c>
      <c r="R51" s="74">
        <f>COUNTIFS(Calc!$P:$P,K43,Calc!$L:$L,K45,Calc!$N:$N,O51,Calc!$F:$F,K45)</f>
        <v>0</v>
      </c>
      <c r="S51" s="74">
        <f>COUNTIFS(Calc!$P:$P,K43,Calc!$L:$L,K45,Calc!$N:$N,O51,Calc!$F:$F,K64)</f>
        <v>0</v>
      </c>
    </row>
    <row r="52" spans="1:19" x14ac:dyDescent="0.45">
      <c r="A52" s="137" t="s">
        <v>98</v>
      </c>
      <c r="B52" s="137"/>
      <c r="C52" s="137"/>
      <c r="D52" s="137"/>
      <c r="E52" s="73" t="s">
        <v>106</v>
      </c>
      <c r="F52" s="73">
        <f>COUNTIFS(Calc!$P:$P,A43,Calc!$L:$L,A45,Calc!$N:$N,E52)</f>
        <v>0</v>
      </c>
      <c r="G52" s="75">
        <f>F52/SUM(F46:F53)</f>
        <v>0</v>
      </c>
      <c r="H52" s="73">
        <f>COUNTIFS(Calc!$P:$P,A43,Calc!$L:$L,A45,Calc!$N:$N,E52,Calc!$F:$F,A45)</f>
        <v>0</v>
      </c>
      <c r="I52" s="73">
        <f>COUNTIFS(Calc!$P:$P,A43,Calc!$L:$L,A45,Calc!$N:$N,E52,Calc!$F:$F,A64)</f>
        <v>0</v>
      </c>
      <c r="K52" s="138" t="s">
        <v>80</v>
      </c>
      <c r="L52" s="138"/>
      <c r="M52" s="138"/>
      <c r="N52" s="138"/>
      <c r="O52" s="74" t="s">
        <v>83</v>
      </c>
      <c r="P52" s="74">
        <f>COUNTIFS(Calc!$P:$P,K43,Calc!$L:$L,K45,Calc!$N:$N,O52)</f>
        <v>0</v>
      </c>
      <c r="Q52" s="76" t="e">
        <f>P52/SUM(P46:P53)</f>
        <v>#DIV/0!</v>
      </c>
      <c r="R52" s="74">
        <f>COUNTIFS(Calc!$P:$P,K43,Calc!$L:$L,K45,Calc!$N:$N,O52,Calc!$F:$F,K45)</f>
        <v>0</v>
      </c>
      <c r="S52" s="74">
        <f>COUNTIFS(Calc!$P:$P,K43,Calc!$L:$L,K45,Calc!$N:$N,O52,Calc!$F:$F,K64)</f>
        <v>0</v>
      </c>
    </row>
    <row r="53" spans="1:19" x14ac:dyDescent="0.45">
      <c r="A53" s="132">
        <f>COUNTIFS(Calc!$P:$P,A43,Calc!$L:$L,A45,Calc!$O:$O,"オーバーミス")</f>
        <v>0</v>
      </c>
      <c r="B53" s="132"/>
      <c r="C53" s="132"/>
      <c r="D53" s="132"/>
      <c r="E53" s="73" t="s">
        <v>108</v>
      </c>
      <c r="F53" s="73">
        <f>COUNTIFS(Calc!$P:$P,A43,Calc!$L:$L,A45,Calc!$N:$N,E53)</f>
        <v>0</v>
      </c>
      <c r="G53" s="75">
        <f>F53/SUM(F46:F53)</f>
        <v>0</v>
      </c>
      <c r="H53" s="73">
        <f>COUNTIFS(Calc!$P:$P,A43,Calc!$L:$L,A45,Calc!$N:$N,E53,Calc!$F:$F,A45)</f>
        <v>0</v>
      </c>
      <c r="I53" s="73">
        <f>COUNTIFS(Calc!$P:$P,A43,Calc!$L:$L,A45,Calc!$N:$N,E53,Calc!$F:$F,A64)</f>
        <v>0</v>
      </c>
      <c r="K53" s="133">
        <f>COUNTIFS(Calc!$P:$P,K43,Calc!$L:$L,K45,Calc!$O:$O,"オーバーミス")</f>
        <v>0</v>
      </c>
      <c r="L53" s="133"/>
      <c r="M53" s="133"/>
      <c r="N53" s="133"/>
      <c r="O53" s="74" t="s">
        <v>107</v>
      </c>
      <c r="P53" s="74">
        <f>COUNTIFS(Calc!$P:$P,K43,Calc!$L:$L,K45,Calc!$N:$N,O53)</f>
        <v>0</v>
      </c>
      <c r="Q53" s="76" t="e">
        <f>P53/SUM(P46:P53)</f>
        <v>#DIV/0!</v>
      </c>
      <c r="R53" s="74">
        <f>COUNTIFS(Calc!$P:$P,K43,Calc!$L:$L,K45,Calc!$N:$N,O53,Calc!$F:$F,K45)</f>
        <v>0</v>
      </c>
      <c r="S53" s="74">
        <f>COUNTIFS(Calc!$P:$P,K43,Calc!$L:$L,K45,Calc!$N:$N,O53,Calc!$F:$F,K64)</f>
        <v>0</v>
      </c>
    </row>
    <row r="54" spans="1:19" x14ac:dyDescent="0.45">
      <c r="A54" s="46"/>
      <c r="B54" s="46"/>
      <c r="C54" s="46"/>
      <c r="D54" s="46"/>
      <c r="E54" s="73"/>
      <c r="F54" s="73"/>
      <c r="G54" s="75"/>
      <c r="H54" s="73"/>
      <c r="I54" s="73"/>
      <c r="K54" s="47"/>
      <c r="L54" s="47"/>
      <c r="M54" s="47"/>
      <c r="N54" s="47"/>
      <c r="O54" s="74"/>
      <c r="P54" s="74"/>
      <c r="Q54" s="76"/>
      <c r="R54" s="74"/>
      <c r="S54" s="74"/>
    </row>
    <row r="55" spans="1:19" x14ac:dyDescent="0.45">
      <c r="A55" s="68" t="s">
        <v>140</v>
      </c>
      <c r="K55" s="68" t="s">
        <v>140</v>
      </c>
    </row>
    <row r="56" spans="1:19" x14ac:dyDescent="0.45">
      <c r="A56" s="164">
        <f>COUNTIFS(Calc!$P:$P,A43,Calc!$H:$H,A64,Calc!$K:$K,IF(E45="R","F","B"))</f>
        <v>0</v>
      </c>
      <c r="B56" s="164">
        <f>COUNTIFS(Calc!$P:$P,A43,Calc!$H:$H,A64,Calc!$K:$K,IF(E45="R","FM","BM"))</f>
        <v>0</v>
      </c>
      <c r="C56" s="164">
        <f>COUNTIFS(Calc!$P:$P,A43,Calc!$H:$H,A64,Calc!$K:$K,IF(E45="R","BM","FM"))</f>
        <v>0</v>
      </c>
      <c r="D56" s="164">
        <f>COUNTIFS(Calc!$P:$P,A43,Calc!$H:$H,A64,Calc!$K:$K,IF(E45="R","B","F"))</f>
        <v>1</v>
      </c>
      <c r="E56" s="74"/>
      <c r="F56" s="74"/>
      <c r="G56" s="76"/>
      <c r="H56" s="74"/>
      <c r="I56" s="74"/>
      <c r="K56" s="134">
        <f>COUNTIFS(Calc!$P:$P,K43,Calc!$H:$H,K64,Calc!$K:$K,IF(O45="R","F","B"))</f>
        <v>0</v>
      </c>
      <c r="L56" s="134">
        <f>COUNTIFS(Calc!$P:$P,K43,Calc!$H:$H,K64,Calc!$K:$K,IF(O45="R","FM","BM"))</f>
        <v>0</v>
      </c>
      <c r="M56" s="134">
        <f>COUNTIFS(Calc!$P:$P,K43,Calc!$H:$H,K64,Calc!$K:$K,IF(O45="R","BM","FM"))</f>
        <v>0</v>
      </c>
      <c r="N56" s="134">
        <f>COUNTIFS(Calc!$P:$P,K43,Calc!$H:$H,K64,Calc!$K:$K,IF(O45="R","B","F"))</f>
        <v>0</v>
      </c>
      <c r="O56" s="73"/>
      <c r="P56" s="73"/>
      <c r="Q56" s="75"/>
      <c r="R56" s="73"/>
      <c r="S56" s="73"/>
    </row>
    <row r="57" spans="1:19" x14ac:dyDescent="0.45">
      <c r="A57" s="164"/>
      <c r="B57" s="164"/>
      <c r="C57" s="164"/>
      <c r="D57" s="164"/>
      <c r="E57" s="74"/>
      <c r="F57" s="74"/>
      <c r="G57" s="76"/>
      <c r="H57" s="74"/>
      <c r="I57" s="74"/>
      <c r="K57" s="134"/>
      <c r="L57" s="134"/>
      <c r="M57" s="134"/>
      <c r="N57" s="134"/>
      <c r="O57" s="73"/>
      <c r="P57" s="73"/>
      <c r="Q57" s="75"/>
      <c r="R57" s="73"/>
      <c r="S57" s="73"/>
    </row>
    <row r="58" spans="1:19" ht="18.600000000000001" thickBot="1" x14ac:dyDescent="0.5">
      <c r="A58" s="157">
        <f>COUNTIFS(Calc!$P:$P,A43,Calc!$H:$H,A64,Calc!$K:$K,IF(E45="R","FS","BS"))</f>
        <v>0</v>
      </c>
      <c r="B58" s="157">
        <f>COUNTIFS(Calc!$P:$P,A43,Calc!$H:$H,A64,Calc!$K:$K,IF(E45="R","FMS","BMS"))</f>
        <v>0</v>
      </c>
      <c r="C58" s="157">
        <f>COUNTIFS(Calc!$P:$P,A43,Calc!$H:$H,A64,Calc!$K:$K,IF(E45="R","BMS","FMS"))</f>
        <v>0</v>
      </c>
      <c r="D58" s="157">
        <f>COUNTIFS(Calc!$P:$P,A43,Calc!$H:$H,A64,Calc!$K:$K,IF(E45="R","BS","FS"))</f>
        <v>0</v>
      </c>
      <c r="E58" s="74"/>
      <c r="F58" s="74"/>
      <c r="G58" s="76"/>
      <c r="H58" s="74"/>
      <c r="I58" s="74"/>
      <c r="K58" s="159">
        <f>COUNTIFS(Calc!$P:$P,K43,Calc!$H:$H,K64,Calc!$K:$K,IF(O45="R","FS","BS"))</f>
        <v>0</v>
      </c>
      <c r="L58" s="159">
        <f>COUNTIFS(Calc!$P:$P,K43,Calc!$H:$H,K64,Calc!$K:$K,IF(O45="R","FMS","BMS"))</f>
        <v>0</v>
      </c>
      <c r="M58" s="159">
        <f>COUNTIFS(Calc!$P:$P,K43,Calc!$H:$H,K64,Calc!$K:$K,IF(O45="R","BMS","FMS"))</f>
        <v>0</v>
      </c>
      <c r="N58" s="159">
        <f>COUNTIFS(Calc!$P:$P,K43,Calc!$H:$H,K64,Calc!$K:$K,IF(O45="R","BS","FS"))</f>
        <v>0</v>
      </c>
      <c r="O58" s="73"/>
      <c r="P58" s="73"/>
      <c r="Q58" s="75"/>
      <c r="R58" s="73"/>
      <c r="S58" s="73"/>
    </row>
    <row r="59" spans="1:19" ht="19.2" thickTop="1" thickBot="1" x14ac:dyDescent="0.5">
      <c r="A59" s="158"/>
      <c r="B59" s="158"/>
      <c r="C59" s="158"/>
      <c r="D59" s="158"/>
      <c r="E59" s="74"/>
      <c r="F59" s="74"/>
      <c r="G59" s="76"/>
      <c r="H59" s="74"/>
      <c r="I59" s="74"/>
      <c r="K59" s="160"/>
      <c r="L59" s="160"/>
      <c r="M59" s="160"/>
      <c r="N59" s="160"/>
      <c r="O59" s="73"/>
      <c r="P59" s="73"/>
      <c r="Q59" s="75"/>
      <c r="R59" s="73"/>
      <c r="S59" s="73"/>
    </row>
    <row r="60" spans="1:19" ht="19.2" thickTop="1" thickBot="1" x14ac:dyDescent="0.5">
      <c r="A60" s="158">
        <f>COUNTIFS(Calc!$P:$P,A43,Calc!$H:$H,A64,Calc!$J:$J,IF(E64="R","B","F"))</f>
        <v>9</v>
      </c>
      <c r="B60" s="158"/>
      <c r="C60" s="158">
        <f>COUNTIFS(Calc!$P:$P,A43,Calc!$H:$H,A64,Calc!$J:$J,IF(E64="R","F","B"))</f>
        <v>0</v>
      </c>
      <c r="D60" s="158"/>
      <c r="E60" s="74"/>
      <c r="F60" s="74"/>
      <c r="G60" s="76"/>
      <c r="H60" s="74" t="s">
        <v>109</v>
      </c>
      <c r="I60" s="74" t="s">
        <v>110</v>
      </c>
      <c r="K60" s="160">
        <f>COUNTIFS(Calc!$P:$P,K43,Calc!$H:$H,K64,Calc!$J:$J,IF(O64="R","B","F"))</f>
        <v>0</v>
      </c>
      <c r="L60" s="160"/>
      <c r="M60" s="160">
        <f>COUNTIFS(Calc!$P:$P,K43,Calc!$H:$H,K64,Calc!$J:$J,IF(O64="R","F","B"))</f>
        <v>0</v>
      </c>
      <c r="N60" s="160"/>
      <c r="O60" s="73"/>
      <c r="P60" s="73"/>
      <c r="Q60" s="75"/>
      <c r="R60" s="73" t="s">
        <v>177</v>
      </c>
      <c r="S60" s="73" t="s">
        <v>178</v>
      </c>
    </row>
    <row r="61" spans="1:19" ht="19.2" thickTop="1" thickBot="1" x14ac:dyDescent="0.5">
      <c r="A61" s="158"/>
      <c r="B61" s="158"/>
      <c r="C61" s="158"/>
      <c r="D61" s="158"/>
      <c r="E61" s="74" t="s">
        <v>111</v>
      </c>
      <c r="F61" s="74">
        <f>COUNTIFS(Calc!$P:$P,A43,Calc!$H:$H,A64,Calc!$I:$I,E61)</f>
        <v>0</v>
      </c>
      <c r="G61" s="76">
        <f>F61/SUM(F61:F63)</f>
        <v>0</v>
      </c>
      <c r="H61" s="74">
        <f>COUNTIFS(Calc!$P:$P,A43,Calc!$H:$H,A64,Calc!$I:$I,E61,Calc!$F:$F,A64)</f>
        <v>0</v>
      </c>
      <c r="I61" s="74">
        <f>COUNTIFS(Calc!$P:$P,A43,Calc!$H:$H,A64,Calc!$I:$I,E61,Calc!$F:$F,A45)</f>
        <v>0</v>
      </c>
      <c r="K61" s="160"/>
      <c r="L61" s="160"/>
      <c r="M61" s="160"/>
      <c r="N61" s="160"/>
      <c r="O61" s="73" t="s">
        <v>174</v>
      </c>
      <c r="P61" s="73">
        <f>COUNTIFS(Calc!$P:$P,K43,Calc!$H:$H,K64,Calc!$I:$I,O61)</f>
        <v>0</v>
      </c>
      <c r="Q61" s="75" t="e">
        <f>P61/SUM(P61:P63)</f>
        <v>#DIV/0!</v>
      </c>
      <c r="R61" s="73">
        <f>COUNTIFS(Calc!$P:$P,K43,Calc!$H:$H,K64,Calc!$I:$I,O61,Calc!$F:$F,K64)</f>
        <v>0</v>
      </c>
      <c r="S61" s="73">
        <f>COUNTIFS(Calc!$P:$P,K43,Calc!$H:$H,K64,Calc!$I:$I,O61,Calc!$F:$F,K45)</f>
        <v>0</v>
      </c>
    </row>
    <row r="62" spans="1:19" ht="19.2" thickTop="1" thickBot="1" x14ac:dyDescent="0.5">
      <c r="A62" s="158"/>
      <c r="B62" s="158"/>
      <c r="C62" s="158"/>
      <c r="D62" s="158"/>
      <c r="E62" s="74" t="s">
        <v>112</v>
      </c>
      <c r="F62" s="74">
        <f>COUNTIFS(Calc!$P:$P,A43,Calc!$H:$H,A64,Calc!$I:$I,E62)</f>
        <v>3</v>
      </c>
      <c r="G62" s="76">
        <f>F62/SUM(F61:F63)</f>
        <v>0.33333333333333331</v>
      </c>
      <c r="H62" s="74">
        <f>COUNTIFS(Calc!$P:$P,A43,Calc!$H:$H,A64,Calc!$I:$I,E62,Calc!$F:$F,A64)</f>
        <v>1</v>
      </c>
      <c r="I62" s="74">
        <f>COUNTIFS(Calc!$P:$P,A43,Calc!$H:$H,A64,Calc!$I:$I,E62,Calc!$F:$F,A45)</f>
        <v>2</v>
      </c>
      <c r="K62" s="160"/>
      <c r="L62" s="160"/>
      <c r="M62" s="160"/>
      <c r="N62" s="160"/>
      <c r="O62" s="73" t="s">
        <v>63</v>
      </c>
      <c r="P62" s="73">
        <f>COUNTIFS(Calc!$P:$P,K43,Calc!$H:$H,K64,Calc!$I:$I,O62)</f>
        <v>0</v>
      </c>
      <c r="Q62" s="75" t="e">
        <f>P62/SUM(P61:P63)</f>
        <v>#DIV/0!</v>
      </c>
      <c r="R62" s="73">
        <f>COUNTIFS(Calc!$P:$P,K43,Calc!$H:$H,K64,Calc!$I:$I,O62,Calc!$F:$F,K64)</f>
        <v>0</v>
      </c>
      <c r="S62" s="73">
        <f>COUNTIFS(Calc!$P:$P,K43,Calc!$H:$H,K64,Calc!$I:$I,O62,Calc!$F:$F,K45)</f>
        <v>0</v>
      </c>
    </row>
    <row r="63" spans="1:19" ht="18.600000000000001" thickTop="1" x14ac:dyDescent="0.45">
      <c r="A63" s="161"/>
      <c r="B63" s="161"/>
      <c r="C63" s="161"/>
      <c r="D63" s="161"/>
      <c r="E63" s="74" t="s">
        <v>113</v>
      </c>
      <c r="F63" s="74">
        <f>COUNTIFS(Calc!$P:$P,A43,Calc!$H:$H,A64,Calc!$I:$I,E63)</f>
        <v>6</v>
      </c>
      <c r="G63" s="76">
        <f>F63/SUM(F61:F63)</f>
        <v>0.66666666666666663</v>
      </c>
      <c r="H63" s="74">
        <f>COUNTIFS(Calc!$P:$P,A43,Calc!$H:$H,A64,Calc!$I:$I,E63,Calc!$F:$F,A64)</f>
        <v>3</v>
      </c>
      <c r="I63" s="74">
        <f>COUNTIFS(Calc!$P:$P,A43,Calc!$H:$H,A64,Calc!$I:$I,E63,Calc!$F:$F,A45)</f>
        <v>3</v>
      </c>
      <c r="K63" s="162"/>
      <c r="L63" s="162"/>
      <c r="M63" s="162"/>
      <c r="N63" s="162"/>
      <c r="O63" s="73" t="s">
        <v>61</v>
      </c>
      <c r="P63" s="73">
        <f>COUNTIFS(Calc!$P:$P,K43,Calc!$H:$H,K64,Calc!$I:$I,O63)</f>
        <v>0</v>
      </c>
      <c r="Q63" s="75" t="e">
        <f>P63/SUM(P61:P63)</f>
        <v>#DIV/0!</v>
      </c>
      <c r="R63" s="73">
        <f>COUNTIFS(Calc!$P:$P,K43,Calc!$H:$H,K64,Calc!$I:$I,O63,Calc!$F:$F,K64)</f>
        <v>0</v>
      </c>
      <c r="S63" s="73">
        <f>COUNTIFS(Calc!$P:$P,K43,Calc!$H:$H,K64,Calc!$I:$I,O63,Calc!$F:$F,K45)</f>
        <v>0</v>
      </c>
    </row>
    <row r="64" spans="1:19" x14ac:dyDescent="0.45">
      <c r="A64" s="155" t="str">
        <f>Main!$D$12</f>
        <v>NAMBA Yurika</v>
      </c>
      <c r="B64" s="156"/>
      <c r="C64" s="156"/>
      <c r="D64" s="156"/>
      <c r="E64" s="72" t="str">
        <f>Main!$F$12</f>
        <v>R</v>
      </c>
      <c r="F64" s="79"/>
      <c r="G64" s="80"/>
      <c r="K64" s="155" t="str">
        <f>Main!$D$8</f>
        <v>HIRANO Miu</v>
      </c>
      <c r="L64" s="156"/>
      <c r="M64" s="156"/>
      <c r="N64" s="156"/>
      <c r="O64" s="72" t="str">
        <f>Main!$F$8</f>
        <v>R</v>
      </c>
      <c r="P64" s="79"/>
      <c r="Q64" s="80"/>
    </row>
    <row r="68" spans="1:19" x14ac:dyDescent="0.45">
      <c r="A68" s="139" t="s">
        <v>156</v>
      </c>
      <c r="B68" s="139"/>
      <c r="C68" s="139"/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</row>
    <row r="69" spans="1:19" x14ac:dyDescent="0.45">
      <c r="A69" s="119">
        <v>2</v>
      </c>
      <c r="K69" s="119">
        <v>2</v>
      </c>
    </row>
    <row r="70" spans="1:19" x14ac:dyDescent="0.45">
      <c r="A70" s="68" t="s">
        <v>139</v>
      </c>
      <c r="K70" s="68" t="s">
        <v>139</v>
      </c>
    </row>
    <row r="71" spans="1:19" x14ac:dyDescent="0.45">
      <c r="A71" s="140" t="str">
        <f>Main!$D$8</f>
        <v>HIRANO Miu</v>
      </c>
      <c r="B71" s="141"/>
      <c r="C71" s="141"/>
      <c r="D71" s="141"/>
      <c r="E71" s="72" t="str">
        <f>Main!$F$8</f>
        <v>R</v>
      </c>
      <c r="F71" s="79"/>
      <c r="G71" s="80"/>
      <c r="H71" s="73" t="s">
        <v>109</v>
      </c>
      <c r="I71" s="73" t="s">
        <v>110</v>
      </c>
      <c r="K71" s="140" t="str">
        <f>Main!$D$12</f>
        <v>NAMBA Yurika</v>
      </c>
      <c r="L71" s="141"/>
      <c r="M71" s="141"/>
      <c r="N71" s="141"/>
      <c r="O71" s="72" t="str">
        <f>Main!$F$12</f>
        <v>R</v>
      </c>
      <c r="P71" s="79"/>
      <c r="Q71" s="80"/>
      <c r="R71" s="74" t="s">
        <v>109</v>
      </c>
      <c r="S71" s="74" t="s">
        <v>110</v>
      </c>
    </row>
    <row r="72" spans="1:19" ht="18.600000000000001" thickBot="1" x14ac:dyDescent="0.5">
      <c r="A72" s="142" t="s">
        <v>97</v>
      </c>
      <c r="B72" s="143"/>
      <c r="C72" s="143"/>
      <c r="D72" s="82">
        <f>COUNTIFS(Calc!$P:$P,A69,Calc!$L:$L,A71,Calc!$O:$O,"ネット")</f>
        <v>0</v>
      </c>
      <c r="E72" s="73" t="s">
        <v>99</v>
      </c>
      <c r="F72" s="73">
        <f>COUNTIFS(Calc!$P:$P,A69,Calc!$L:$L,A71,Calc!$N:$N,E72)</f>
        <v>0</v>
      </c>
      <c r="G72" s="75" t="e">
        <f>F72/SUM(F72:F79)</f>
        <v>#DIV/0!</v>
      </c>
      <c r="H72" s="73">
        <f>COUNTIFS(Calc!$P:$P,A69,Calc!$L:$L,A71,Calc!$N:$N,E72,Calc!$F:$F,A71)</f>
        <v>0</v>
      </c>
      <c r="I72" s="73">
        <f>COUNTIFS(Calc!$P:$P,A69,Calc!$L:$L,A71,Calc!$N:$N,E72,Calc!$F:$F,A90)</f>
        <v>0</v>
      </c>
      <c r="K72" s="144" t="s">
        <v>81</v>
      </c>
      <c r="L72" s="145"/>
      <c r="M72" s="145"/>
      <c r="N72" s="83">
        <f>COUNTIFS(Calc!$P:$P,K69,Calc!$L:$L,K71,Calc!$O:$O,"ネット")</f>
        <v>0</v>
      </c>
      <c r="O72" s="74" t="s">
        <v>14</v>
      </c>
      <c r="P72" s="74">
        <f>COUNTIFS(Calc!$P:$P,K69,Calc!$L:$L,K71,Calc!$N:$N,O72)</f>
        <v>0</v>
      </c>
      <c r="Q72" s="76" t="e">
        <f>P72/SUM(P72:P79)</f>
        <v>#DIV/0!</v>
      </c>
      <c r="R72" s="74">
        <f>COUNTIFS(Calc!$P:$P,K69,Calc!$L:$L,K71,Calc!$N:$N,O72,Calc!$F:$F,K71)</f>
        <v>0</v>
      </c>
      <c r="S72" s="74">
        <f>COUNTIFS(Calc!$P:$P,K69,Calc!$L:$L,K71,Calc!$N:$N,O72,Calc!$F:$F,K90)</f>
        <v>0</v>
      </c>
    </row>
    <row r="73" spans="1:19" ht="18.600000000000001" thickTop="1" x14ac:dyDescent="0.45">
      <c r="A73" s="146" t="s">
        <v>114</v>
      </c>
      <c r="B73" s="147"/>
      <c r="C73" s="147"/>
      <c r="D73" s="109">
        <f>COUNTIFS(Calc!$P:$P,A69,Calc!$L:$L,A71,Calc!$O:$O,"ネットイン")</f>
        <v>0</v>
      </c>
      <c r="E73" s="73" t="s">
        <v>100</v>
      </c>
      <c r="F73" s="73">
        <f>COUNTIFS(Calc!$P:$P,A69,Calc!$L:$L,A71,Calc!$N:$N,E73)</f>
        <v>0</v>
      </c>
      <c r="G73" s="75" t="e">
        <f>F73/SUM(F72:F79)</f>
        <v>#DIV/0!</v>
      </c>
      <c r="H73" s="73">
        <f>COUNTIFS(Calc!$P:$P,A69,Calc!$L:$L,A71,Calc!$N:$N,E73,Calc!$F:$F,A71)</f>
        <v>0</v>
      </c>
      <c r="I73" s="73">
        <f>COUNTIFS(Calc!$P:$P,A69,Calc!$L:$L,A71,Calc!$N:$N,E73,Calc!$F:$F,A90)</f>
        <v>0</v>
      </c>
      <c r="K73" s="148" t="s">
        <v>176</v>
      </c>
      <c r="L73" s="149"/>
      <c r="M73" s="149"/>
      <c r="N73" s="110">
        <f>COUNTIFS(Calc!$P:$P,K69,Calc!$L:$L,K71,Calc!$O:$O,"ネットイン")</f>
        <v>0</v>
      </c>
      <c r="O73" s="74" t="s">
        <v>15</v>
      </c>
      <c r="P73" s="74">
        <f>COUNTIFS(Calc!$P:$P,K69,Calc!$L:$L,K71,Calc!$N:$N,O73)</f>
        <v>0</v>
      </c>
      <c r="Q73" s="76" t="e">
        <f>P73/SUM(P72:P79)</f>
        <v>#DIV/0!</v>
      </c>
      <c r="R73" s="74">
        <f>COUNTIFS(Calc!$P:$P,K69,Calc!$L:$L,K71,Calc!$N:$N,O73,Calc!$F:$F,K71)</f>
        <v>0</v>
      </c>
      <c r="S73" s="74">
        <f>COUNTIFS(Calc!$P:$P,K69,Calc!$L:$L,K71,Calc!$N:$N,O73,Calc!$F:$F,K90)</f>
        <v>0</v>
      </c>
    </row>
    <row r="74" spans="1:19" x14ac:dyDescent="0.45">
      <c r="A74" s="134">
        <f>COUNTIFS(Calc!$P:$P,A69,Calc!$L:$L,A71,Calc!$O:$O,IF(E90="R","BS","FS"))</f>
        <v>0</v>
      </c>
      <c r="B74" s="134">
        <f>COUNTIFS(Calc!$P:$P,A69,Calc!$L:$L,A71,Calc!$O:$O,IF(E90="R","BMS","FMS"))</f>
        <v>0</v>
      </c>
      <c r="C74" s="134">
        <f>COUNTIFS(Calc!$P:$P,A69,Calc!$L:$L,A71,Calc!$O:$O,IF(E90="R","FMS","BMS"))</f>
        <v>0</v>
      </c>
      <c r="D74" s="134">
        <f>COUNTIFS(Calc!$P:$P,A69,Calc!$L:$L,A71,Calc!$O:$O,IF(E90="R","FS","BS"))</f>
        <v>0</v>
      </c>
      <c r="E74" s="73" t="s">
        <v>101</v>
      </c>
      <c r="F74" s="73">
        <f>COUNTIFS(Calc!$P:$P,A69,Calc!$L:$L,A71,Calc!$N:$N,E74)</f>
        <v>0</v>
      </c>
      <c r="G74" s="75" t="e">
        <f>F74/SUM(F72:F79)</f>
        <v>#DIV/0!</v>
      </c>
      <c r="H74" s="73">
        <f>COUNTIFS(Calc!$P:$P,A69,Calc!$L:$L,A71,Calc!$N:$N,E74,Calc!$F:$F,A71)</f>
        <v>0</v>
      </c>
      <c r="I74" s="73">
        <f>COUNTIFS(Calc!$P:$P,A69,Calc!$L:$L,A71,Calc!$N:$N,E74,Calc!$F:$F,A90)</f>
        <v>0</v>
      </c>
      <c r="K74" s="150">
        <f>COUNTIFS(Calc!$P:$P,K69,Calc!$L:$L,K71,Calc!$O:$O,IF(O90="R","BS","FS"))</f>
        <v>0</v>
      </c>
      <c r="L74" s="150">
        <f>COUNTIFS(Calc!$P:$P,K69,Calc!$L:$L,K71,Calc!$O:$O,IF(O90="R","BMS","FMS"))</f>
        <v>0</v>
      </c>
      <c r="M74" s="150">
        <f>COUNTIFS(Calc!$P:$P,K69,Calc!$L:$L,K71,Calc!$O:$O,IF(O90="R","FMS","BMS"))</f>
        <v>0</v>
      </c>
      <c r="N74" s="150">
        <f>COUNTIFS(Calc!$P:$P,K69,Calc!$L:$L,K71,Calc!$O:$O,IF(O90="R","FS","BS"))</f>
        <v>0</v>
      </c>
      <c r="O74" s="74" t="s">
        <v>17</v>
      </c>
      <c r="P74" s="74">
        <f>COUNTIFS(Calc!$P:$P,K69,Calc!$L:$L,K71,Calc!$N:$N,O74)</f>
        <v>0</v>
      </c>
      <c r="Q74" s="76" t="e">
        <f>P74/SUM(P72:P79)</f>
        <v>#DIV/0!</v>
      </c>
      <c r="R74" s="74">
        <f>COUNTIFS(Calc!$P:$P,K69,Calc!$L:$L,K71,Calc!$N:$N,O74,Calc!$F:$F,K71)</f>
        <v>0</v>
      </c>
      <c r="S74" s="74">
        <f>COUNTIFS(Calc!$P:$P,K69,Calc!$L:$L,K71,Calc!$N:$N,O74,Calc!$F:$F,K90)</f>
        <v>0</v>
      </c>
    </row>
    <row r="75" spans="1:19" x14ac:dyDescent="0.45">
      <c r="A75" s="134"/>
      <c r="B75" s="134"/>
      <c r="C75" s="134"/>
      <c r="D75" s="134"/>
      <c r="E75" s="73" t="s">
        <v>102</v>
      </c>
      <c r="F75" s="73">
        <f>COUNTIFS(Calc!$P:$P,A69,Calc!$L:$L,A71,Calc!$N:$N,E75)</f>
        <v>0</v>
      </c>
      <c r="G75" s="75" t="e">
        <f>F75/SUM(F72:F79)</f>
        <v>#DIV/0!</v>
      </c>
      <c r="H75" s="73">
        <f>COUNTIFS(Calc!$P:$P,A69,Calc!$L:$L,A71,Calc!$N:$N,E75,Calc!$F:$F,A71)</f>
        <v>0</v>
      </c>
      <c r="I75" s="73">
        <f>COUNTIFS(Calc!$P:$P,A69,Calc!$L:$L,A71,Calc!$N:$N,E75,Calc!$F:$F,A90)</f>
        <v>0</v>
      </c>
      <c r="K75" s="136"/>
      <c r="L75" s="136"/>
      <c r="M75" s="136"/>
      <c r="N75" s="136"/>
      <c r="O75" s="74" t="s">
        <v>16</v>
      </c>
      <c r="P75" s="74">
        <f>COUNTIFS(Calc!$P:$P,K69,Calc!$L:$L,K71,Calc!$N:$N,O75)</f>
        <v>0</v>
      </c>
      <c r="Q75" s="76" t="e">
        <f>P75/SUM(P72:P79)</f>
        <v>#DIV/0!</v>
      </c>
      <c r="R75" s="74">
        <f>COUNTIFS(Calc!$P:$P,K69,Calc!$L:$L,K71,Calc!$N:$N,O75,Calc!$F:$F,K71)</f>
        <v>0</v>
      </c>
      <c r="S75" s="74">
        <f>COUNTIFS(Calc!$P:$P,K69,Calc!$L:$L,K71,Calc!$N:$N,O75,Calc!$F:$F,K90)</f>
        <v>0</v>
      </c>
    </row>
    <row r="76" spans="1:19" x14ac:dyDescent="0.45">
      <c r="A76" s="134">
        <f>COUNTIFS(Calc!$P:$P,A69,Calc!$L:$L,A71,Calc!$O:$O,IF(E90="R","B","F"))</f>
        <v>0</v>
      </c>
      <c r="B76" s="134">
        <f>COUNTIFS(Calc!$P:$P,A69,Calc!$L:$L,A71,Calc!$O:$O,IF(E90="R","BM","FM"))</f>
        <v>0</v>
      </c>
      <c r="C76" s="134">
        <f>COUNTIFS(Calc!$P:$P,A69,Calc!$L:$L,A71,Calc!$O:$O,IF(E90="R","FM","BM"))</f>
        <v>0</v>
      </c>
      <c r="D76" s="134">
        <f>COUNTIFS(Calc!$P:$P,A69,Calc!$L:$L,A71,Calc!$O:$O,IF(E90="R","F","B"))</f>
        <v>0</v>
      </c>
      <c r="E76" s="73" t="s">
        <v>104</v>
      </c>
      <c r="F76" s="73">
        <f>COUNTIFS(Calc!$P:$P,A69,Calc!$L:$L,A71,Calc!$N:$N,E76)</f>
        <v>0</v>
      </c>
      <c r="G76" s="75" t="e">
        <f>F76/SUM(F72:F79)</f>
        <v>#DIV/0!</v>
      </c>
      <c r="H76" s="73">
        <f>COUNTIFS(Calc!$P:$P,A69,Calc!$L:$L,A71,Calc!$N:$N,E76,Calc!$F:$F,A71)</f>
        <v>0</v>
      </c>
      <c r="I76" s="73">
        <f>COUNTIFS(Calc!$P:$P,A69,Calc!$L:$L,A71,Calc!$N:$N,E76,Calc!$F:$F,A90)</f>
        <v>0</v>
      </c>
      <c r="K76" s="135">
        <f>COUNTIFS(Calc!$P:$P,K69,Calc!$L:$L,K71,Calc!$O:$O,IF(O90="R","B","F"))</f>
        <v>0</v>
      </c>
      <c r="L76" s="135">
        <f>COUNTIFS(Calc!$P:$P,K69,Calc!$L:$L,K71,Calc!$O:$O,IF(O90="R","BM","FM"))</f>
        <v>0</v>
      </c>
      <c r="M76" s="135">
        <f>COUNTIFS(Calc!$P:$P,K69,Calc!$L:$L,K71,Calc!$O:$O,IF(O90="R","FM","BM"))</f>
        <v>0</v>
      </c>
      <c r="N76" s="135">
        <f>COUNTIFS(Calc!$P:$P,K69,Calc!$L:$L,K71,Calc!$O:$O,IF(O90="R","F","B"))</f>
        <v>0</v>
      </c>
      <c r="O76" s="74" t="s">
        <v>103</v>
      </c>
      <c r="P76" s="74">
        <f>COUNTIFS(Calc!$P:$P,K69,Calc!$L:$L,K71,Calc!$N:$N,O76)</f>
        <v>0</v>
      </c>
      <c r="Q76" s="76" t="e">
        <f>P76/SUM(P72:P79)</f>
        <v>#DIV/0!</v>
      </c>
      <c r="R76" s="74">
        <f>COUNTIFS(Calc!$P:$P,K69,Calc!$L:$L,K71,Calc!$N:$N,O76,Calc!$F:$F,K71)</f>
        <v>0</v>
      </c>
      <c r="S76" s="74">
        <f>COUNTIFS(Calc!$P:$P,K69,Calc!$L:$L,K71,Calc!$N:$N,O76,Calc!$F:$F,K90)</f>
        <v>0</v>
      </c>
    </row>
    <row r="77" spans="1:19" x14ac:dyDescent="0.45">
      <c r="A77" s="134"/>
      <c r="B77" s="134"/>
      <c r="C77" s="134"/>
      <c r="D77" s="134"/>
      <c r="E77" s="73" t="s">
        <v>105</v>
      </c>
      <c r="F77" s="73">
        <f>COUNTIFS(Calc!$P:$P,A69,Calc!$L:$L,A71,Calc!$N:$N,E77)</f>
        <v>0</v>
      </c>
      <c r="G77" s="75" t="e">
        <f>F77/SUM(F72:F79)</f>
        <v>#DIV/0!</v>
      </c>
      <c r="H77" s="73">
        <f>COUNTIFS(Calc!$P:$P,A69,Calc!$L:$L,A71,Calc!$N:$N,E77,Calc!$F:$F,A71)</f>
        <v>0</v>
      </c>
      <c r="I77" s="73">
        <f>COUNTIFS(Calc!$P:$P,A69,Calc!$L:$L,A71,Calc!$N:$N,E77,Calc!$F:$F,A90)</f>
        <v>0</v>
      </c>
      <c r="K77" s="136"/>
      <c r="L77" s="136"/>
      <c r="M77" s="136"/>
      <c r="N77" s="136"/>
      <c r="O77" s="74" t="s">
        <v>82</v>
      </c>
      <c r="P77" s="74">
        <f>COUNTIFS(Calc!$P:$P,K69,Calc!$L:$L,K71,Calc!$N:$N,O77)</f>
        <v>0</v>
      </c>
      <c r="Q77" s="76" t="e">
        <f>P77/SUM(P72:P79)</f>
        <v>#DIV/0!</v>
      </c>
      <c r="R77" s="74">
        <f>COUNTIFS(Calc!$P:$P,K69,Calc!$L:$L,K71,Calc!$N:$N,O77,Calc!$F:$F,K71)</f>
        <v>0</v>
      </c>
      <c r="S77" s="74">
        <f>COUNTIFS(Calc!$P:$P,K69,Calc!$L:$L,K71,Calc!$N:$N,O77,Calc!$F:$F,K90)</f>
        <v>0</v>
      </c>
    </row>
    <row r="78" spans="1:19" x14ac:dyDescent="0.45">
      <c r="A78" s="137" t="s">
        <v>98</v>
      </c>
      <c r="B78" s="137"/>
      <c r="C78" s="137"/>
      <c r="D78" s="137"/>
      <c r="E78" s="73" t="s">
        <v>106</v>
      </c>
      <c r="F78" s="73">
        <f>COUNTIFS(Calc!$P:$P,A69,Calc!$L:$L,A71,Calc!$N:$N,E78)</f>
        <v>0</v>
      </c>
      <c r="G78" s="75" t="e">
        <f>F78/SUM(F72:F79)</f>
        <v>#DIV/0!</v>
      </c>
      <c r="H78" s="73">
        <f>COUNTIFS(Calc!$P:$P,A69,Calc!$L:$L,A71,Calc!$N:$N,E78,Calc!$F:$F,A71)</f>
        <v>0</v>
      </c>
      <c r="I78" s="73">
        <f>COUNTIFS(Calc!$P:$P,A69,Calc!$L:$L,A71,Calc!$N:$N,E78,Calc!$F:$F,A90)</f>
        <v>0</v>
      </c>
      <c r="K78" s="138" t="s">
        <v>80</v>
      </c>
      <c r="L78" s="138"/>
      <c r="M78" s="138"/>
      <c r="N78" s="138"/>
      <c r="O78" s="74" t="s">
        <v>83</v>
      </c>
      <c r="P78" s="74">
        <f>COUNTIFS(Calc!$P:$P,K69,Calc!$L:$L,K71,Calc!$N:$N,O78)</f>
        <v>0</v>
      </c>
      <c r="Q78" s="76" t="e">
        <f>P78/SUM(P72:P79)</f>
        <v>#DIV/0!</v>
      </c>
      <c r="R78" s="74">
        <f>COUNTIFS(Calc!$P:$P,K69,Calc!$L:$L,K71,Calc!$N:$N,O78,Calc!$F:$F,K71)</f>
        <v>0</v>
      </c>
      <c r="S78" s="74">
        <f>COUNTIFS(Calc!$P:$P,K69,Calc!$L:$L,K71,Calc!$N:$N,O78,Calc!$F:$F,K90)</f>
        <v>0</v>
      </c>
    </row>
    <row r="79" spans="1:19" x14ac:dyDescent="0.45">
      <c r="A79" s="132">
        <f>COUNTIFS(Calc!$P:$P,A69,Calc!$L:$L,A71,Calc!$O:$O,"オーバーミス")</f>
        <v>0</v>
      </c>
      <c r="B79" s="132"/>
      <c r="C79" s="132"/>
      <c r="D79" s="132"/>
      <c r="E79" s="73" t="s">
        <v>108</v>
      </c>
      <c r="F79" s="73">
        <f>COUNTIFS(Calc!$P:$P,A69,Calc!$L:$L,A71,Calc!$N:$N,E79)</f>
        <v>0</v>
      </c>
      <c r="G79" s="75" t="e">
        <f>F79/SUM(F72:F79)</f>
        <v>#DIV/0!</v>
      </c>
      <c r="H79" s="73">
        <f>COUNTIFS(Calc!$P:$P,A69,Calc!$L:$L,A71,Calc!$N:$N,E79,Calc!$F:$F,A71)</f>
        <v>0</v>
      </c>
      <c r="I79" s="73">
        <f>COUNTIFS(Calc!$P:$P,A69,Calc!$L:$L,A71,Calc!$N:$N,E79,Calc!$F:$F,A90)</f>
        <v>0</v>
      </c>
      <c r="K79" s="133">
        <f>COUNTIFS(Calc!$P:$P,K69,Calc!$L:$L,K71,Calc!$O:$O,"オーバーミス")</f>
        <v>0</v>
      </c>
      <c r="L79" s="133"/>
      <c r="M79" s="133"/>
      <c r="N79" s="133"/>
      <c r="O79" s="74" t="s">
        <v>107</v>
      </c>
      <c r="P79" s="74">
        <f>COUNTIFS(Calc!$P:$P,K69,Calc!$L:$L,K71,Calc!$N:$N,O79)</f>
        <v>0</v>
      </c>
      <c r="Q79" s="76" t="e">
        <f>P79/SUM(P72:P79)</f>
        <v>#DIV/0!</v>
      </c>
      <c r="R79" s="74">
        <f>COUNTIFS(Calc!$P:$P,K69,Calc!$L:$L,K71,Calc!$N:$N,O79,Calc!$F:$F,K71)</f>
        <v>0</v>
      </c>
      <c r="S79" s="74">
        <f>COUNTIFS(Calc!$P:$P,K69,Calc!$L:$L,K71,Calc!$N:$N,O79,Calc!$F:$F,K90)</f>
        <v>0</v>
      </c>
    </row>
    <row r="80" spans="1:19" x14ac:dyDescent="0.45">
      <c r="A80" s="103"/>
      <c r="B80" s="103"/>
      <c r="C80" s="103"/>
      <c r="D80" s="103"/>
      <c r="E80" s="73"/>
      <c r="F80" s="73"/>
      <c r="G80" s="75"/>
      <c r="H80" s="73"/>
      <c r="I80" s="73"/>
      <c r="K80" s="104"/>
      <c r="L80" s="104"/>
      <c r="M80" s="104"/>
      <c r="N80" s="104"/>
      <c r="O80" s="74"/>
      <c r="P80" s="74"/>
      <c r="Q80" s="76"/>
      <c r="R80" s="74"/>
      <c r="S80" s="74"/>
    </row>
    <row r="81" spans="1:19" x14ac:dyDescent="0.45">
      <c r="A81" s="68" t="s">
        <v>140</v>
      </c>
      <c r="K81" s="68" t="s">
        <v>140</v>
      </c>
    </row>
    <row r="82" spans="1:19" x14ac:dyDescent="0.45">
      <c r="A82" s="164">
        <f>COUNTIFS(Calc!$P:$P,A69,Calc!$H:$H,A90,Calc!$K:$K,IF(E71="R","F","B"))</f>
        <v>0</v>
      </c>
      <c r="B82" s="164">
        <f>COUNTIFS(Calc!$P:$P,A69,Calc!$H:$H,A90,Calc!$K:$K,IF(E71="R","FM","BM"))</f>
        <v>0</v>
      </c>
      <c r="C82" s="164">
        <f>COUNTIFS(Calc!$P:$P,A69,Calc!$H:$H,A90,Calc!$K:$K,IF(E71="R","BM","FM"))</f>
        <v>0</v>
      </c>
      <c r="D82" s="164">
        <f>COUNTIFS(Calc!$P:$P,A69,Calc!$H:$H,A90,Calc!$K:$K,IF(E71="R","B","F"))</f>
        <v>0</v>
      </c>
      <c r="E82" s="74"/>
      <c r="F82" s="74"/>
      <c r="G82" s="76"/>
      <c r="H82" s="74"/>
      <c r="I82" s="74"/>
      <c r="K82" s="134">
        <f>COUNTIFS(Calc!$P:$P,K69,Calc!$H:$H,K90,Calc!$K:$K,IF(O71="R","F","B"))</f>
        <v>0</v>
      </c>
      <c r="L82" s="134">
        <f>COUNTIFS(Calc!$P:$P,K69,Calc!$H:$H,K90,Calc!$K:$K,IF(O71="R","FM","BM"))</f>
        <v>0</v>
      </c>
      <c r="M82" s="134">
        <f>COUNTIFS(Calc!$P:$P,K69,Calc!$H:$H,K90,Calc!$K:$K,IF(O71="R","BM","FM"))</f>
        <v>0</v>
      </c>
      <c r="N82" s="134">
        <f>COUNTIFS(Calc!$P:$P,K69,Calc!$H:$H,K90,Calc!$K:$K,IF(O71="R","B","F"))</f>
        <v>0</v>
      </c>
      <c r="O82" s="73"/>
      <c r="P82" s="73"/>
      <c r="Q82" s="75"/>
      <c r="R82" s="73"/>
      <c r="S82" s="73"/>
    </row>
    <row r="83" spans="1:19" x14ac:dyDescent="0.45">
      <c r="A83" s="164"/>
      <c r="B83" s="164"/>
      <c r="C83" s="164"/>
      <c r="D83" s="164"/>
      <c r="E83" s="74"/>
      <c r="F83" s="74"/>
      <c r="G83" s="76"/>
      <c r="H83" s="74"/>
      <c r="I83" s="74"/>
      <c r="K83" s="134"/>
      <c r="L83" s="134"/>
      <c r="M83" s="134"/>
      <c r="N83" s="134"/>
      <c r="O83" s="73"/>
      <c r="P83" s="73"/>
      <c r="Q83" s="75"/>
      <c r="R83" s="73"/>
      <c r="S83" s="73"/>
    </row>
    <row r="84" spans="1:19" ht="18.600000000000001" thickBot="1" x14ac:dyDescent="0.5">
      <c r="A84" s="157">
        <f>COUNTIFS(Calc!$P:$P,A69,Calc!$H:$H,A90,Calc!$K:$K,IF(E71="R","FS","BS"))</f>
        <v>0</v>
      </c>
      <c r="B84" s="157">
        <f>COUNTIFS(Calc!$P:$P,A69,Calc!$H:$H,A90,Calc!$K:$K,IF(E71="R","FMS","BMS"))</f>
        <v>0</v>
      </c>
      <c r="C84" s="157">
        <f>COUNTIFS(Calc!$P:$P,A69,Calc!$H:$H,A90,Calc!$K:$K,IF(E71="R","BMS","FMS"))</f>
        <v>0</v>
      </c>
      <c r="D84" s="157">
        <f>COUNTIFS(Calc!$P:$P,A69,Calc!$H:$H,A90,Calc!$K:$K,IF(E71="R","BS","FS"))</f>
        <v>0</v>
      </c>
      <c r="E84" s="74"/>
      <c r="F84" s="74"/>
      <c r="G84" s="76"/>
      <c r="H84" s="74"/>
      <c r="I84" s="74"/>
      <c r="K84" s="159">
        <f>COUNTIFS(Calc!$P:$P,K69,Calc!$H:$H,K90,Calc!$K:$K,IF(O71="R","FS","BS"))</f>
        <v>0</v>
      </c>
      <c r="L84" s="159">
        <f>COUNTIFS(Calc!$P:$P,K69,Calc!$H:$H,K90,Calc!$K:$K,IF(O71="R","FMS","BMS"))</f>
        <v>0</v>
      </c>
      <c r="M84" s="159">
        <f>COUNTIFS(Calc!$P:$P,K69,Calc!$H:$H,K90,Calc!$K:$K,IF(O71="R","BMS","FMS"))</f>
        <v>0</v>
      </c>
      <c r="N84" s="159">
        <f>COUNTIFS(Calc!$P:$P,K69,Calc!$H:$H,K90,Calc!$K:$K,IF(O71="R","BS","FS"))</f>
        <v>0</v>
      </c>
      <c r="O84" s="73"/>
      <c r="P84" s="73"/>
      <c r="Q84" s="75"/>
      <c r="R84" s="73"/>
      <c r="S84" s="73"/>
    </row>
    <row r="85" spans="1:19" ht="19.2" thickTop="1" thickBot="1" x14ac:dyDescent="0.5">
      <c r="A85" s="158"/>
      <c r="B85" s="158"/>
      <c r="C85" s="158"/>
      <c r="D85" s="158"/>
      <c r="E85" s="74"/>
      <c r="F85" s="74"/>
      <c r="G85" s="76"/>
      <c r="H85" s="74"/>
      <c r="I85" s="74"/>
      <c r="K85" s="160"/>
      <c r="L85" s="160"/>
      <c r="M85" s="160"/>
      <c r="N85" s="160"/>
      <c r="O85" s="73"/>
      <c r="P85" s="73"/>
      <c r="Q85" s="75"/>
      <c r="R85" s="73"/>
      <c r="S85" s="73"/>
    </row>
    <row r="86" spans="1:19" ht="19.2" thickTop="1" thickBot="1" x14ac:dyDescent="0.5">
      <c r="A86" s="158">
        <f>COUNTIFS(Calc!$P:$P,A69,Calc!$H:$H,A90,Calc!$J:$J,IF(E90="R","B","F"))</f>
        <v>6</v>
      </c>
      <c r="B86" s="158"/>
      <c r="C86" s="158">
        <f>COUNTIFS(Calc!$P:$P,A69,Calc!$H:$H,A90,Calc!$J:$J,IF(E90="R","F","B"))</f>
        <v>2</v>
      </c>
      <c r="D86" s="158"/>
      <c r="E86" s="74"/>
      <c r="F86" s="74"/>
      <c r="G86" s="76"/>
      <c r="H86" s="74" t="s">
        <v>109</v>
      </c>
      <c r="I86" s="74" t="s">
        <v>110</v>
      </c>
      <c r="K86" s="160">
        <f>COUNTIFS(Calc!$P:$P,K69,Calc!$H:$H,K90,Calc!$J:$J,IF(O90="R","B","F"))</f>
        <v>0</v>
      </c>
      <c r="L86" s="160"/>
      <c r="M86" s="160">
        <f>COUNTIFS(Calc!$P:$P,K69,Calc!$H:$H,K90,Calc!$J:$J,IF(O90="R","F","B"))</f>
        <v>0</v>
      </c>
      <c r="N86" s="160"/>
      <c r="O86" s="73"/>
      <c r="P86" s="73"/>
      <c r="Q86" s="75"/>
      <c r="R86" s="73" t="s">
        <v>177</v>
      </c>
      <c r="S86" s="73" t="s">
        <v>178</v>
      </c>
    </row>
    <row r="87" spans="1:19" ht="19.2" thickTop="1" thickBot="1" x14ac:dyDescent="0.5">
      <c r="A87" s="158"/>
      <c r="B87" s="158"/>
      <c r="C87" s="158"/>
      <c r="D87" s="158"/>
      <c r="E87" s="74" t="s">
        <v>111</v>
      </c>
      <c r="F87" s="74">
        <f>COUNTIFS(Calc!$P:$P,A69,Calc!$H:$H,A90,Calc!$I:$I,E87)</f>
        <v>6</v>
      </c>
      <c r="G87" s="76">
        <f>F87/SUM(F87:F89)</f>
        <v>0.75</v>
      </c>
      <c r="H87" s="74">
        <f>COUNTIFS(Calc!$P:$P,A69,Calc!$H:$H,A90,Calc!$I:$I,E87,Calc!$F:$F,A90)</f>
        <v>3</v>
      </c>
      <c r="I87" s="74">
        <f>COUNTIFS(Calc!$P:$P,A69,Calc!$H:$H,A90,Calc!$I:$I,E87,Calc!$F:$F,A71)</f>
        <v>3</v>
      </c>
      <c r="K87" s="160"/>
      <c r="L87" s="160"/>
      <c r="M87" s="160"/>
      <c r="N87" s="160"/>
      <c r="O87" s="73" t="s">
        <v>174</v>
      </c>
      <c r="P87" s="73">
        <f>COUNTIFS(Calc!$P:$P,K69,Calc!$H:$H,K90,Calc!$I:$I,O87)</f>
        <v>0</v>
      </c>
      <c r="Q87" s="75" t="e">
        <f>P87/SUM(P87:P89)</f>
        <v>#DIV/0!</v>
      </c>
      <c r="R87" s="73">
        <f>COUNTIFS(Calc!$P:$P,K69,Calc!$H:$H,K90,Calc!$I:$I,O87,Calc!$F:$F,K90)</f>
        <v>0</v>
      </c>
      <c r="S87" s="73">
        <f>COUNTIFS(Calc!$P:$P,K69,Calc!$H:$H,K90,Calc!$I:$I,O87,Calc!$F:$F,K71)</f>
        <v>0</v>
      </c>
    </row>
    <row r="88" spans="1:19" ht="19.2" thickTop="1" thickBot="1" x14ac:dyDescent="0.5">
      <c r="A88" s="158"/>
      <c r="B88" s="158"/>
      <c r="C88" s="158"/>
      <c r="D88" s="158"/>
      <c r="E88" s="74" t="s">
        <v>112</v>
      </c>
      <c r="F88" s="74">
        <f>COUNTIFS(Calc!$P:$P,A69,Calc!$H:$H,A90,Calc!$I:$I,E88)</f>
        <v>0</v>
      </c>
      <c r="G88" s="76">
        <f>F88/SUM(F87:F89)</f>
        <v>0</v>
      </c>
      <c r="H88" s="74">
        <f>COUNTIFS(Calc!$P:$P,A69,Calc!$H:$H,A90,Calc!$I:$I,E88,Calc!$F:$F,A90)</f>
        <v>0</v>
      </c>
      <c r="I88" s="74">
        <f>COUNTIFS(Calc!$P:$P,A69,Calc!$H:$H,A90,Calc!$I:$I,E88,Calc!$F:$F,A71)</f>
        <v>0</v>
      </c>
      <c r="K88" s="160"/>
      <c r="L88" s="160"/>
      <c r="M88" s="160"/>
      <c r="N88" s="160"/>
      <c r="O88" s="73" t="s">
        <v>63</v>
      </c>
      <c r="P88" s="73">
        <f>COUNTIFS(Calc!$P:$P,K69,Calc!$H:$H,K90,Calc!$I:$I,O88)</f>
        <v>0</v>
      </c>
      <c r="Q88" s="75" t="e">
        <f>P88/SUM(P87:P89)</f>
        <v>#DIV/0!</v>
      </c>
      <c r="R88" s="73">
        <f>COUNTIFS(Calc!$P:$P,K69,Calc!$H:$H,K90,Calc!$I:$I,O88,Calc!$F:$F,K90)</f>
        <v>0</v>
      </c>
      <c r="S88" s="73">
        <f>COUNTIFS(Calc!$P:$P,K69,Calc!$H:$H,K90,Calc!$I:$I,O88,Calc!$F:$F,K71)</f>
        <v>0</v>
      </c>
    </row>
    <row r="89" spans="1:19" ht="18.600000000000001" thickTop="1" x14ac:dyDescent="0.45">
      <c r="A89" s="161"/>
      <c r="B89" s="161"/>
      <c r="C89" s="161"/>
      <c r="D89" s="161"/>
      <c r="E89" s="74" t="s">
        <v>113</v>
      </c>
      <c r="F89" s="74">
        <f>COUNTIFS(Calc!$P:$P,A69,Calc!$H:$H,A90,Calc!$I:$I,E89)</f>
        <v>2</v>
      </c>
      <c r="G89" s="76">
        <f>F89/SUM(F87:F89)</f>
        <v>0.25</v>
      </c>
      <c r="H89" s="74">
        <f>COUNTIFS(Calc!$P:$P,A69,Calc!$H:$H,A90,Calc!$I:$I,E89,Calc!$F:$F,A90)</f>
        <v>1</v>
      </c>
      <c r="I89" s="74">
        <f>COUNTIFS(Calc!$P:$P,A69,Calc!$H:$H,A90,Calc!$I:$I,E89,Calc!$F:$F,A71)</f>
        <v>1</v>
      </c>
      <c r="K89" s="162"/>
      <c r="L89" s="162"/>
      <c r="M89" s="162"/>
      <c r="N89" s="162"/>
      <c r="O89" s="73" t="s">
        <v>61</v>
      </c>
      <c r="P89" s="73">
        <f>COUNTIFS(Calc!$P:$P,K69,Calc!$H:$H,K90,Calc!$I:$I,O89)</f>
        <v>0</v>
      </c>
      <c r="Q89" s="75" t="e">
        <f>P89/SUM(P87:P89)</f>
        <v>#DIV/0!</v>
      </c>
      <c r="R89" s="73">
        <f>COUNTIFS(Calc!$P:$P,K69,Calc!$H:$H,K90,Calc!$I:$I,O89,Calc!$F:$F,K90)</f>
        <v>0</v>
      </c>
      <c r="S89" s="73">
        <f>COUNTIFS(Calc!$P:$P,K69,Calc!$H:$H,K90,Calc!$I:$I,O89,Calc!$F:$F,K71)</f>
        <v>0</v>
      </c>
    </row>
    <row r="90" spans="1:19" x14ac:dyDescent="0.45">
      <c r="A90" s="155" t="str">
        <f>Main!$D$12</f>
        <v>NAMBA Yurika</v>
      </c>
      <c r="B90" s="156"/>
      <c r="C90" s="156"/>
      <c r="D90" s="156"/>
      <c r="E90" s="72" t="str">
        <f>Main!$F$12</f>
        <v>R</v>
      </c>
      <c r="F90" s="79"/>
      <c r="G90" s="80"/>
      <c r="K90" s="155" t="str">
        <f>Main!$D$8</f>
        <v>HIRANO Miu</v>
      </c>
      <c r="L90" s="156"/>
      <c r="M90" s="156"/>
      <c r="N90" s="156"/>
      <c r="O90" s="72" t="str">
        <f>Main!$F$8</f>
        <v>R</v>
      </c>
      <c r="P90" s="79"/>
      <c r="Q90" s="80"/>
    </row>
    <row r="94" spans="1:19" x14ac:dyDescent="0.45">
      <c r="A94" s="139" t="s">
        <v>157</v>
      </c>
      <c r="B94" s="139"/>
      <c r="C94" s="139"/>
      <c r="D94" s="139"/>
      <c r="E94" s="139"/>
      <c r="F94" s="139"/>
      <c r="G94" s="139"/>
      <c r="H94" s="139"/>
      <c r="I94" s="139"/>
      <c r="J94" s="139"/>
      <c r="K94" s="139"/>
      <c r="L94" s="139"/>
      <c r="M94" s="139"/>
      <c r="N94" s="139"/>
      <c r="O94" s="139"/>
      <c r="P94" s="139"/>
      <c r="Q94" s="139"/>
      <c r="R94" s="139"/>
      <c r="S94" s="139"/>
    </row>
    <row r="95" spans="1:19" x14ac:dyDescent="0.45">
      <c r="A95" s="119">
        <v>3</v>
      </c>
      <c r="K95" s="119">
        <v>3</v>
      </c>
    </row>
    <row r="96" spans="1:19" x14ac:dyDescent="0.45">
      <c r="A96" s="68" t="s">
        <v>139</v>
      </c>
      <c r="K96" s="68" t="s">
        <v>139</v>
      </c>
    </row>
    <row r="97" spans="1:19" x14ac:dyDescent="0.45">
      <c r="A97" s="140" t="str">
        <f>Main!$D$8</f>
        <v>HIRANO Miu</v>
      </c>
      <c r="B97" s="141"/>
      <c r="C97" s="141"/>
      <c r="D97" s="141"/>
      <c r="E97" s="72" t="str">
        <f>Main!$F$8</f>
        <v>R</v>
      </c>
      <c r="F97" s="79"/>
      <c r="G97" s="80"/>
      <c r="H97" s="73" t="s">
        <v>109</v>
      </c>
      <c r="I97" s="73" t="s">
        <v>110</v>
      </c>
      <c r="K97" s="140" t="str">
        <f>Main!$D$12</f>
        <v>NAMBA Yurika</v>
      </c>
      <c r="L97" s="141"/>
      <c r="M97" s="141"/>
      <c r="N97" s="141"/>
      <c r="O97" s="72" t="str">
        <f>Main!$F$12</f>
        <v>R</v>
      </c>
      <c r="P97" s="79"/>
      <c r="Q97" s="80"/>
      <c r="R97" s="74" t="s">
        <v>109</v>
      </c>
      <c r="S97" s="74" t="s">
        <v>110</v>
      </c>
    </row>
    <row r="98" spans="1:19" ht="18.600000000000001" thickBot="1" x14ac:dyDescent="0.5">
      <c r="A98" s="142" t="s">
        <v>97</v>
      </c>
      <c r="B98" s="143"/>
      <c r="C98" s="143"/>
      <c r="D98" s="82">
        <f>COUNTIFS(Calc!$P:$P,A95,Calc!$L:$L,A97,Calc!$O:$O,"ネット")</f>
        <v>0</v>
      </c>
      <c r="E98" s="73" t="s">
        <v>99</v>
      </c>
      <c r="F98" s="73">
        <f>COUNTIFS(Calc!$P:$P,A95,Calc!$L:$L,A97,Calc!$N:$N,E98)</f>
        <v>0</v>
      </c>
      <c r="G98" s="75" t="e">
        <f>F98/SUM(F98:F105)</f>
        <v>#DIV/0!</v>
      </c>
      <c r="H98" s="73">
        <f>COUNTIFS(Calc!$P:$P,A95,Calc!$L:$L,A97,Calc!$N:$N,E98,Calc!$F:$F,A97)</f>
        <v>0</v>
      </c>
      <c r="I98" s="73">
        <f>COUNTIFS(Calc!$P:$P,A95,Calc!$L:$L,A97,Calc!$N:$N,E98,Calc!$F:$F,A116)</f>
        <v>0</v>
      </c>
      <c r="K98" s="144" t="s">
        <v>81</v>
      </c>
      <c r="L98" s="145"/>
      <c r="M98" s="145"/>
      <c r="N98" s="83">
        <f>COUNTIFS(Calc!$P:$P,K95,Calc!$L:$L,K97,Calc!$O:$O,"ネット")</f>
        <v>0</v>
      </c>
      <c r="O98" s="74" t="s">
        <v>14</v>
      </c>
      <c r="P98" s="74">
        <f>COUNTIFS(Calc!$P:$P,K95,Calc!$L:$L,K97,Calc!$N:$N,O98)</f>
        <v>0</v>
      </c>
      <c r="Q98" s="76" t="e">
        <f>P98/SUM(P98:P105)</f>
        <v>#DIV/0!</v>
      </c>
      <c r="R98" s="74">
        <f>COUNTIFS(Calc!$P:$P,K95,Calc!$L:$L,K97,Calc!$N:$N,O98,Calc!$F:$F,K97)</f>
        <v>0</v>
      </c>
      <c r="S98" s="74">
        <f>COUNTIFS(Calc!$P:$P,K95,Calc!$L:$L,K97,Calc!$N:$N,O98,Calc!$F:$F,K116)</f>
        <v>0</v>
      </c>
    </row>
    <row r="99" spans="1:19" ht="18.600000000000001" thickTop="1" x14ac:dyDescent="0.45">
      <c r="A99" s="146" t="s">
        <v>114</v>
      </c>
      <c r="B99" s="147"/>
      <c r="C99" s="147"/>
      <c r="D99" s="109">
        <f>COUNTIFS(Calc!$P:$P,A95,Calc!$L:$L,A97,Calc!$O:$O,"ネットイン")</f>
        <v>0</v>
      </c>
      <c r="E99" s="73" t="s">
        <v>100</v>
      </c>
      <c r="F99" s="73">
        <f>COUNTIFS(Calc!$P:$P,A95,Calc!$L:$L,A97,Calc!$N:$N,E99)</f>
        <v>0</v>
      </c>
      <c r="G99" s="75" t="e">
        <f>F99/SUM(F98:F105)</f>
        <v>#DIV/0!</v>
      </c>
      <c r="H99" s="73">
        <f>COUNTIFS(Calc!$P:$P,A95,Calc!$L:$L,A97,Calc!$N:$N,E99,Calc!$F:$F,A97)</f>
        <v>0</v>
      </c>
      <c r="I99" s="73">
        <f>COUNTIFS(Calc!$P:$P,A95,Calc!$L:$L,A97,Calc!$N:$N,E99,Calc!$F:$F,A116)</f>
        <v>0</v>
      </c>
      <c r="K99" s="148" t="s">
        <v>176</v>
      </c>
      <c r="L99" s="149"/>
      <c r="M99" s="149"/>
      <c r="N99" s="110">
        <f>COUNTIFS(Calc!$P:$P,K95,Calc!$L:$L,K97,Calc!$O:$O,"ネットイン")</f>
        <v>0</v>
      </c>
      <c r="O99" s="74" t="s">
        <v>15</v>
      </c>
      <c r="P99" s="74">
        <f>COUNTIFS(Calc!$P:$P,K95,Calc!$L:$L,K97,Calc!$N:$N,O99)</f>
        <v>0</v>
      </c>
      <c r="Q99" s="76" t="e">
        <f>P99/SUM(P98:P105)</f>
        <v>#DIV/0!</v>
      </c>
      <c r="R99" s="74">
        <f>COUNTIFS(Calc!$P:$P,K95,Calc!$L:$L,K97,Calc!$N:$N,O99,Calc!$F:$F,K97)</f>
        <v>0</v>
      </c>
      <c r="S99" s="74">
        <f>COUNTIFS(Calc!$P:$P,K95,Calc!$L:$L,K97,Calc!$N:$N,O99,Calc!$F:$F,K116)</f>
        <v>0</v>
      </c>
    </row>
    <row r="100" spans="1:19" x14ac:dyDescent="0.45">
      <c r="A100" s="134">
        <f>COUNTIFS(Calc!$P:$P,A95,Calc!$L:$L,A97,Calc!$O:$O,IF(E116="R","BS","FS"))</f>
        <v>0</v>
      </c>
      <c r="B100" s="134">
        <f>COUNTIFS(Calc!$P:$P,A95,Calc!$L:$L,A97,Calc!$O:$O,IF(E116="R","BMS","FMS"))</f>
        <v>0</v>
      </c>
      <c r="C100" s="134">
        <f>COUNTIFS(Calc!$P:$P,A95,Calc!$L:$L,A97,Calc!$O:$O,IF(E116="R","FMS","BMS"))</f>
        <v>0</v>
      </c>
      <c r="D100" s="134">
        <f>COUNTIFS(Calc!$P:$P,A95,Calc!$L:$L,A97,Calc!$O:$O,IF(E116="R","FS","BS"))</f>
        <v>0</v>
      </c>
      <c r="E100" s="73" t="s">
        <v>101</v>
      </c>
      <c r="F100" s="73">
        <f>COUNTIFS(Calc!$P:$P,A95,Calc!$L:$L,A97,Calc!$N:$N,E100)</f>
        <v>0</v>
      </c>
      <c r="G100" s="75" t="e">
        <f>F100/SUM(F98:F105)</f>
        <v>#DIV/0!</v>
      </c>
      <c r="H100" s="73">
        <f>COUNTIFS(Calc!$P:$P,A95,Calc!$L:$L,A97,Calc!$N:$N,E100,Calc!$F:$F,A97)</f>
        <v>0</v>
      </c>
      <c r="I100" s="73">
        <f>COUNTIFS(Calc!$P:$P,A95,Calc!$L:$L,A97,Calc!$N:$N,E100,Calc!$F:$F,A116)</f>
        <v>0</v>
      </c>
      <c r="K100" s="150">
        <f>COUNTIFS(Calc!$P:$P,K95,Calc!$L:$L,K97,Calc!$O:$O,IF(O116="R","BS","FS"))</f>
        <v>0</v>
      </c>
      <c r="L100" s="150">
        <f>COUNTIFS(Calc!$P:$P,K95,Calc!$L:$L,K97,Calc!$O:$O,IF(O116="R","BMS","FMS"))</f>
        <v>0</v>
      </c>
      <c r="M100" s="150">
        <f>COUNTIFS(Calc!$P:$P,K95,Calc!$L:$L,K97,Calc!$O:$O,IF(O116="R","FMS","BMS"))</f>
        <v>0</v>
      </c>
      <c r="N100" s="150">
        <f>COUNTIFS(Calc!$P:$P,K95,Calc!$L:$L,K97,Calc!$O:$O,IF(O116="R","FS","BS"))</f>
        <v>0</v>
      </c>
      <c r="O100" s="74" t="s">
        <v>17</v>
      </c>
      <c r="P100" s="74">
        <f>COUNTIFS(Calc!$P:$P,K95,Calc!$L:$L,K97,Calc!$N:$N,O100)</f>
        <v>0</v>
      </c>
      <c r="Q100" s="76" t="e">
        <f>P100/SUM(P98:P105)</f>
        <v>#DIV/0!</v>
      </c>
      <c r="R100" s="74">
        <f>COUNTIFS(Calc!$P:$P,K95,Calc!$L:$L,K97,Calc!$N:$N,O100,Calc!$F:$F,K97)</f>
        <v>0</v>
      </c>
      <c r="S100" s="74">
        <f>COUNTIFS(Calc!$P:$P,K95,Calc!$L:$L,K97,Calc!$N:$N,O100,Calc!$F:$F,K116)</f>
        <v>0</v>
      </c>
    </row>
    <row r="101" spans="1:19" x14ac:dyDescent="0.45">
      <c r="A101" s="134"/>
      <c r="B101" s="134"/>
      <c r="C101" s="134"/>
      <c r="D101" s="134"/>
      <c r="E101" s="73" t="s">
        <v>102</v>
      </c>
      <c r="F101" s="73">
        <f>COUNTIFS(Calc!$P:$P,A95,Calc!$L:$L,A97,Calc!$N:$N,E101)</f>
        <v>0</v>
      </c>
      <c r="G101" s="75" t="e">
        <f>F101/SUM(F98:F105)</f>
        <v>#DIV/0!</v>
      </c>
      <c r="H101" s="73">
        <f>COUNTIFS(Calc!$P:$P,A95,Calc!$L:$L,A97,Calc!$N:$N,E101,Calc!$F:$F,A97)</f>
        <v>0</v>
      </c>
      <c r="I101" s="73">
        <f>COUNTIFS(Calc!$P:$P,A95,Calc!$L:$L,A97,Calc!$N:$N,E101,Calc!$F:$F,A116)</f>
        <v>0</v>
      </c>
      <c r="K101" s="136"/>
      <c r="L101" s="136"/>
      <c r="M101" s="136"/>
      <c r="N101" s="136"/>
      <c r="O101" s="74" t="s">
        <v>16</v>
      </c>
      <c r="P101" s="74">
        <f>COUNTIFS(Calc!$P:$P,K95,Calc!$L:$L,K97,Calc!$N:$N,O101)</f>
        <v>0</v>
      </c>
      <c r="Q101" s="76" t="e">
        <f>P101/SUM(P98:P105)</f>
        <v>#DIV/0!</v>
      </c>
      <c r="R101" s="74">
        <f>COUNTIFS(Calc!$P:$P,K95,Calc!$L:$L,K97,Calc!$N:$N,O101,Calc!$F:$F,K97)</f>
        <v>0</v>
      </c>
      <c r="S101" s="74">
        <f>COUNTIFS(Calc!$P:$P,K95,Calc!$L:$L,K97,Calc!$N:$N,O101,Calc!$F:$F,K116)</f>
        <v>0</v>
      </c>
    </row>
    <row r="102" spans="1:19" x14ac:dyDescent="0.45">
      <c r="A102" s="134">
        <f>COUNTIFS(Calc!$P:$P,A95,Calc!$L:$L,A97,Calc!$O:$O,IF(E116="R","B","F"))</f>
        <v>0</v>
      </c>
      <c r="B102" s="134">
        <f>COUNTIFS(Calc!$P:$P,A95,Calc!$L:$L,A97,Calc!$O:$O,IF(E116="R","BM","FM"))</f>
        <v>0</v>
      </c>
      <c r="C102" s="134">
        <f>COUNTIFS(Calc!$P:$P,A95,Calc!$L:$L,A97,Calc!$O:$O,IF(E116="R","FM","BM"))</f>
        <v>0</v>
      </c>
      <c r="D102" s="134">
        <f>COUNTIFS(Calc!$P:$P,A95,Calc!$L:$L,A97,Calc!$O:$O,IF(E116="R","F","B"))</f>
        <v>0</v>
      </c>
      <c r="E102" s="73" t="s">
        <v>104</v>
      </c>
      <c r="F102" s="73">
        <f>COUNTIFS(Calc!$P:$P,A95,Calc!$L:$L,A97,Calc!$N:$N,E102)</f>
        <v>0</v>
      </c>
      <c r="G102" s="75" t="e">
        <f>F102/SUM(F98:F105)</f>
        <v>#DIV/0!</v>
      </c>
      <c r="H102" s="73">
        <f>COUNTIFS(Calc!$P:$P,A95,Calc!$L:$L,A97,Calc!$N:$N,E102,Calc!$F:$F,A97)</f>
        <v>0</v>
      </c>
      <c r="I102" s="73">
        <f>COUNTIFS(Calc!$P:$P,A95,Calc!$L:$L,A97,Calc!$N:$N,E102,Calc!$F:$F,A116)</f>
        <v>0</v>
      </c>
      <c r="K102" s="135">
        <f>COUNTIFS(Calc!$P:$P,K95,Calc!$L:$L,K97,Calc!$O:$O,IF(O116="R","B","F"))</f>
        <v>0</v>
      </c>
      <c r="L102" s="135">
        <f>COUNTIFS(Calc!$P:$P,K95,Calc!$L:$L,K97,Calc!$O:$O,IF(O116="R","BM","FM"))</f>
        <v>0</v>
      </c>
      <c r="M102" s="135">
        <f>COUNTIFS(Calc!$P:$P,K95,Calc!$L:$L,K97,Calc!$O:$O,IF(O116="R","FM","BM"))</f>
        <v>0</v>
      </c>
      <c r="N102" s="135">
        <f>COUNTIFS(Calc!$P:$P,K95,Calc!$L:$L,K97,Calc!$O:$O,IF(O116="R","F","B"))</f>
        <v>0</v>
      </c>
      <c r="O102" s="74" t="s">
        <v>103</v>
      </c>
      <c r="P102" s="74">
        <f>COUNTIFS(Calc!$P:$P,K95,Calc!$L:$L,K97,Calc!$N:$N,O102)</f>
        <v>0</v>
      </c>
      <c r="Q102" s="76" t="e">
        <f>P102/SUM(P98:P105)</f>
        <v>#DIV/0!</v>
      </c>
      <c r="R102" s="74">
        <f>COUNTIFS(Calc!$P:$P,K95,Calc!$L:$L,K97,Calc!$N:$N,O102,Calc!$F:$F,K97)</f>
        <v>0</v>
      </c>
      <c r="S102" s="74">
        <f>COUNTIFS(Calc!$P:$P,K95,Calc!$L:$L,K97,Calc!$N:$N,O102,Calc!$F:$F,K116)</f>
        <v>0</v>
      </c>
    </row>
    <row r="103" spans="1:19" x14ac:dyDescent="0.45">
      <c r="A103" s="134"/>
      <c r="B103" s="134"/>
      <c r="C103" s="134"/>
      <c r="D103" s="134"/>
      <c r="E103" s="73" t="s">
        <v>105</v>
      </c>
      <c r="F103" s="73">
        <f>COUNTIFS(Calc!$P:$P,A95,Calc!$L:$L,A97,Calc!$N:$N,E103)</f>
        <v>0</v>
      </c>
      <c r="G103" s="75" t="e">
        <f>F103/SUM(F98:F105)</f>
        <v>#DIV/0!</v>
      </c>
      <c r="H103" s="73">
        <f>COUNTIFS(Calc!$P:$P,A95,Calc!$L:$L,A97,Calc!$N:$N,E103,Calc!$F:$F,A97)</f>
        <v>0</v>
      </c>
      <c r="I103" s="73">
        <f>COUNTIFS(Calc!$P:$P,A95,Calc!$L:$L,A97,Calc!$N:$N,E103,Calc!$F:$F,A116)</f>
        <v>0</v>
      </c>
      <c r="K103" s="136"/>
      <c r="L103" s="136"/>
      <c r="M103" s="136"/>
      <c r="N103" s="136"/>
      <c r="O103" s="74" t="s">
        <v>82</v>
      </c>
      <c r="P103" s="74">
        <f>COUNTIFS(Calc!$P:$P,K95,Calc!$L:$L,K97,Calc!$N:$N,O103)</f>
        <v>0</v>
      </c>
      <c r="Q103" s="76" t="e">
        <f>P103/SUM(P98:P105)</f>
        <v>#DIV/0!</v>
      </c>
      <c r="R103" s="74">
        <f>COUNTIFS(Calc!$P:$P,K95,Calc!$L:$L,K97,Calc!$N:$N,O103,Calc!$F:$F,K97)</f>
        <v>0</v>
      </c>
      <c r="S103" s="74">
        <f>COUNTIFS(Calc!$P:$P,K95,Calc!$L:$L,K97,Calc!$N:$N,O103,Calc!$F:$F,K116)</f>
        <v>0</v>
      </c>
    </row>
    <row r="104" spans="1:19" x14ac:dyDescent="0.45">
      <c r="A104" s="137" t="s">
        <v>98</v>
      </c>
      <c r="B104" s="137"/>
      <c r="C104" s="137"/>
      <c r="D104" s="137"/>
      <c r="E104" s="73" t="s">
        <v>106</v>
      </c>
      <c r="F104" s="73">
        <f>COUNTIFS(Calc!$P:$P,A95,Calc!$L:$L,A97,Calc!$N:$N,E104)</f>
        <v>0</v>
      </c>
      <c r="G104" s="75" t="e">
        <f>F104/SUM(F98:F105)</f>
        <v>#DIV/0!</v>
      </c>
      <c r="H104" s="73">
        <f>COUNTIFS(Calc!$P:$P,A95,Calc!$L:$L,A97,Calc!$N:$N,E104,Calc!$F:$F,A97)</f>
        <v>0</v>
      </c>
      <c r="I104" s="73">
        <f>COUNTIFS(Calc!$P:$P,A95,Calc!$L:$L,A97,Calc!$N:$N,E104,Calc!$F:$F,A116)</f>
        <v>0</v>
      </c>
      <c r="K104" s="138" t="s">
        <v>80</v>
      </c>
      <c r="L104" s="138"/>
      <c r="M104" s="138"/>
      <c r="N104" s="138"/>
      <c r="O104" s="74" t="s">
        <v>83</v>
      </c>
      <c r="P104" s="74">
        <f>COUNTIFS(Calc!$P:$P,K95,Calc!$L:$L,K97,Calc!$N:$N,O104)</f>
        <v>0</v>
      </c>
      <c r="Q104" s="76" t="e">
        <f>P104/SUM(P98:P105)</f>
        <v>#DIV/0!</v>
      </c>
      <c r="R104" s="74">
        <f>COUNTIFS(Calc!$P:$P,K95,Calc!$L:$L,K97,Calc!$N:$N,O104,Calc!$F:$F,K97)</f>
        <v>0</v>
      </c>
      <c r="S104" s="74">
        <f>COUNTIFS(Calc!$P:$P,K95,Calc!$L:$L,K97,Calc!$N:$N,O104,Calc!$F:$F,K116)</f>
        <v>0</v>
      </c>
    </row>
    <row r="105" spans="1:19" x14ac:dyDescent="0.45">
      <c r="A105" s="132">
        <f>COUNTIFS(Calc!$P:$P,A95,Calc!$L:$L,A97,Calc!$O:$O,"オーバーミス")</f>
        <v>0</v>
      </c>
      <c r="B105" s="132"/>
      <c r="C105" s="132"/>
      <c r="D105" s="132"/>
      <c r="E105" s="73" t="s">
        <v>108</v>
      </c>
      <c r="F105" s="73">
        <f>COUNTIFS(Calc!$P:$P,A95,Calc!$L:$L,A97,Calc!$N:$N,E105)</f>
        <v>0</v>
      </c>
      <c r="G105" s="75" t="e">
        <f>F105/SUM(F98:F105)</f>
        <v>#DIV/0!</v>
      </c>
      <c r="H105" s="73">
        <f>COUNTIFS(Calc!$P:$P,A95,Calc!$L:$L,A97,Calc!$N:$N,E105,Calc!$F:$F,A97)</f>
        <v>0</v>
      </c>
      <c r="I105" s="73">
        <f>COUNTIFS(Calc!$P:$P,A95,Calc!$L:$L,A97,Calc!$N:$N,E105,Calc!$F:$F,A116)</f>
        <v>0</v>
      </c>
      <c r="K105" s="133">
        <f>COUNTIFS(Calc!$P:$P,K95,Calc!$L:$L,K97,Calc!$O:$O,"オーバーミス")</f>
        <v>0</v>
      </c>
      <c r="L105" s="133"/>
      <c r="M105" s="133"/>
      <c r="N105" s="133"/>
      <c r="O105" s="74" t="s">
        <v>107</v>
      </c>
      <c r="P105" s="74">
        <f>COUNTIFS(Calc!$P:$P,K95,Calc!$L:$L,K97,Calc!$N:$N,O105)</f>
        <v>0</v>
      </c>
      <c r="Q105" s="76" t="e">
        <f>P105/SUM(P98:P105)</f>
        <v>#DIV/0!</v>
      </c>
      <c r="R105" s="74">
        <f>COUNTIFS(Calc!$P:$P,K95,Calc!$L:$L,K97,Calc!$N:$N,O105,Calc!$F:$F,K97)</f>
        <v>0</v>
      </c>
      <c r="S105" s="74">
        <f>COUNTIFS(Calc!$P:$P,K95,Calc!$L:$L,K97,Calc!$N:$N,O105,Calc!$F:$F,K116)</f>
        <v>0</v>
      </c>
    </row>
    <row r="106" spans="1:19" x14ac:dyDescent="0.45">
      <c r="A106" s="103"/>
      <c r="B106" s="103"/>
      <c r="C106" s="103"/>
      <c r="D106" s="103"/>
      <c r="E106" s="73"/>
      <c r="F106" s="73"/>
      <c r="G106" s="75"/>
      <c r="H106" s="73"/>
      <c r="I106" s="73"/>
      <c r="K106" s="104"/>
      <c r="L106" s="104"/>
      <c r="M106" s="104"/>
      <c r="N106" s="104"/>
      <c r="O106" s="74"/>
      <c r="P106" s="74"/>
      <c r="Q106" s="76"/>
      <c r="R106" s="74"/>
      <c r="S106" s="74"/>
    </row>
    <row r="107" spans="1:19" x14ac:dyDescent="0.45">
      <c r="A107" s="68" t="s">
        <v>140</v>
      </c>
      <c r="K107" s="68" t="s">
        <v>140</v>
      </c>
    </row>
    <row r="108" spans="1:19" x14ac:dyDescent="0.45">
      <c r="A108" s="164">
        <f>COUNTIFS(Calc!$P:$P,A95,Calc!$H:$H,A116,Calc!$K:$K,IF(E97="R","F","B"))</f>
        <v>0</v>
      </c>
      <c r="B108" s="164">
        <f>COUNTIFS(Calc!$P:$P,A95,Calc!$H:$H,A116,Calc!$K:$K,IF(E97="R","FM","BM"))</f>
        <v>0</v>
      </c>
      <c r="C108" s="164">
        <f>COUNTIFS(Calc!$P:$P,A95,Calc!$H:$H,A116,Calc!$K:$K,IF(E97="R","BM","FM"))</f>
        <v>0</v>
      </c>
      <c r="D108" s="164">
        <f>COUNTIFS(Calc!$P:$P,A95,Calc!$H:$H,A116,Calc!$K:$K,IF(E97="R","B","F"))</f>
        <v>0</v>
      </c>
      <c r="E108" s="74"/>
      <c r="F108" s="74"/>
      <c r="G108" s="76"/>
      <c r="H108" s="74"/>
      <c r="I108" s="74"/>
      <c r="K108" s="134">
        <f>COUNTIFS(Calc!$P:$P,K95,Calc!$H:$H,K116,Calc!$K:$K,IF(O97="R","F","B"))</f>
        <v>0</v>
      </c>
      <c r="L108" s="134">
        <f>COUNTIFS(Calc!$P:$P,K95,Calc!$H:$H,K116,Calc!$K:$K,IF(O97="R","FM","BM"))</f>
        <v>0</v>
      </c>
      <c r="M108" s="134">
        <f>COUNTIFS(Calc!$P:$P,K95,Calc!$H:$H,K116,Calc!$K:$K,IF(O97="R","BM","FM"))</f>
        <v>0</v>
      </c>
      <c r="N108" s="134">
        <f>COUNTIFS(Calc!$P:$P,K95,Calc!$H:$H,K116,Calc!$K:$K,IF(O97="R","B","F"))</f>
        <v>0</v>
      </c>
      <c r="O108" s="73"/>
      <c r="P108" s="73"/>
      <c r="Q108" s="75"/>
      <c r="R108" s="73"/>
      <c r="S108" s="73"/>
    </row>
    <row r="109" spans="1:19" x14ac:dyDescent="0.45">
      <c r="A109" s="164"/>
      <c r="B109" s="164"/>
      <c r="C109" s="164"/>
      <c r="D109" s="164"/>
      <c r="E109" s="74"/>
      <c r="F109" s="74"/>
      <c r="G109" s="76"/>
      <c r="H109" s="74"/>
      <c r="I109" s="74"/>
      <c r="K109" s="134"/>
      <c r="L109" s="134"/>
      <c r="M109" s="134"/>
      <c r="N109" s="134"/>
      <c r="O109" s="73"/>
      <c r="P109" s="73"/>
      <c r="Q109" s="75"/>
      <c r="R109" s="73"/>
      <c r="S109" s="73"/>
    </row>
    <row r="110" spans="1:19" ht="18.600000000000001" thickBot="1" x14ac:dyDescent="0.5">
      <c r="A110" s="157">
        <f>COUNTIFS(Calc!$P:$P,A95,Calc!$H:$H,A116,Calc!$K:$K,IF(E97="R","FS","BS"))</f>
        <v>0</v>
      </c>
      <c r="B110" s="157">
        <f>COUNTIFS(Calc!$P:$P,A95,Calc!$H:$H,A116,Calc!$K:$K,IF(E97="R","FMS","BMS"))</f>
        <v>1</v>
      </c>
      <c r="C110" s="157">
        <f>COUNTIFS(Calc!$P:$P,A95,Calc!$H:$H,A116,Calc!$K:$K,IF(E97="R","BMS","FMS"))</f>
        <v>0</v>
      </c>
      <c r="D110" s="157">
        <f>COUNTIFS(Calc!$P:$P,A95,Calc!$H:$H,A116,Calc!$K:$K,IF(E97="R","BS","FS"))</f>
        <v>1</v>
      </c>
      <c r="E110" s="74"/>
      <c r="F110" s="74"/>
      <c r="G110" s="76"/>
      <c r="H110" s="74"/>
      <c r="I110" s="74"/>
      <c r="K110" s="159">
        <f>COUNTIFS(Calc!$P:$P,K95,Calc!$H:$H,K116,Calc!$K:$K,IF(O97="R","FS","BS"))</f>
        <v>0</v>
      </c>
      <c r="L110" s="159">
        <f>COUNTIFS(Calc!$P:$P,K95,Calc!$H:$H,K116,Calc!$K:$K,IF(O97="R","FMS","BMS"))</f>
        <v>0</v>
      </c>
      <c r="M110" s="159">
        <f>COUNTIFS(Calc!$P:$P,K95,Calc!$H:$H,K116,Calc!$K:$K,IF(O97="R","BMS","FMS"))</f>
        <v>0</v>
      </c>
      <c r="N110" s="159">
        <f>COUNTIFS(Calc!$P:$P,K95,Calc!$H:$H,K116,Calc!$K:$K,IF(O97="R","BS","FS"))</f>
        <v>0</v>
      </c>
      <c r="O110" s="73"/>
      <c r="P110" s="73"/>
      <c r="Q110" s="75"/>
      <c r="R110" s="73"/>
      <c r="S110" s="73"/>
    </row>
    <row r="111" spans="1:19" ht="19.2" thickTop="1" thickBot="1" x14ac:dyDescent="0.5">
      <c r="A111" s="158"/>
      <c r="B111" s="158"/>
      <c r="C111" s="158"/>
      <c r="D111" s="158"/>
      <c r="E111" s="74"/>
      <c r="F111" s="74"/>
      <c r="G111" s="76"/>
      <c r="H111" s="74"/>
      <c r="I111" s="74"/>
      <c r="K111" s="160"/>
      <c r="L111" s="160"/>
      <c r="M111" s="160"/>
      <c r="N111" s="160"/>
      <c r="O111" s="73"/>
      <c r="P111" s="73"/>
      <c r="Q111" s="75"/>
      <c r="R111" s="73"/>
      <c r="S111" s="73"/>
    </row>
    <row r="112" spans="1:19" ht="19.2" thickTop="1" thickBot="1" x14ac:dyDescent="0.5">
      <c r="A112" s="158">
        <f>COUNTIFS(Calc!$P:$P,A95,Calc!$H:$H,A116,Calc!$J:$J,IF(E116="R","B","F"))</f>
        <v>5</v>
      </c>
      <c r="B112" s="158"/>
      <c r="C112" s="158">
        <f>COUNTIFS(Calc!$P:$P,A95,Calc!$H:$H,A116,Calc!$J:$J,IF(E116="R","F","B"))</f>
        <v>3</v>
      </c>
      <c r="D112" s="158"/>
      <c r="E112" s="74"/>
      <c r="F112" s="74"/>
      <c r="G112" s="76"/>
      <c r="H112" s="74" t="s">
        <v>109</v>
      </c>
      <c r="I112" s="74" t="s">
        <v>110</v>
      </c>
      <c r="K112" s="160">
        <f>COUNTIFS(Calc!$P:$P,K95,Calc!$H:$H,K116,Calc!$J:$J,IF(O116="R","B","F"))</f>
        <v>0</v>
      </c>
      <c r="L112" s="160"/>
      <c r="M112" s="160">
        <f>COUNTIFS(Calc!$P:$P,K95,Calc!$H:$H,K116,Calc!$J:$J,IF(O116="R","F","B"))</f>
        <v>0</v>
      </c>
      <c r="N112" s="160"/>
      <c r="O112" s="73"/>
      <c r="P112" s="73"/>
      <c r="Q112" s="75"/>
      <c r="R112" s="73" t="s">
        <v>177</v>
      </c>
      <c r="S112" s="73" t="s">
        <v>178</v>
      </c>
    </row>
    <row r="113" spans="1:19" ht="19.2" thickTop="1" thickBot="1" x14ac:dyDescent="0.5">
      <c r="A113" s="158"/>
      <c r="B113" s="158"/>
      <c r="C113" s="158"/>
      <c r="D113" s="158"/>
      <c r="E113" s="74" t="s">
        <v>111</v>
      </c>
      <c r="F113" s="74">
        <f>COUNTIFS(Calc!$P:$P,A95,Calc!$H:$H,A116,Calc!$I:$I,E113)</f>
        <v>2</v>
      </c>
      <c r="G113" s="76">
        <f>F113/SUM(F113:F115)</f>
        <v>0.25</v>
      </c>
      <c r="H113" s="74">
        <f>COUNTIFS(Calc!$P:$P,A95,Calc!$H:$H,A116,Calc!$I:$I,E113,Calc!$F:$F,A116)</f>
        <v>1</v>
      </c>
      <c r="I113" s="74">
        <f>COUNTIFS(Calc!$P:$P,A95,Calc!$H:$H,A116,Calc!$I:$I,E113,Calc!$F:$F,A97)</f>
        <v>1</v>
      </c>
      <c r="K113" s="160"/>
      <c r="L113" s="160"/>
      <c r="M113" s="160"/>
      <c r="N113" s="160"/>
      <c r="O113" s="73" t="s">
        <v>174</v>
      </c>
      <c r="P113" s="73">
        <f>COUNTIFS(Calc!$P:$P,K95,Calc!$H:$H,K116,Calc!$I:$I,O113)</f>
        <v>0</v>
      </c>
      <c r="Q113" s="75" t="e">
        <f>P113/SUM(P113:P115)</f>
        <v>#DIV/0!</v>
      </c>
      <c r="R113" s="73">
        <f>COUNTIFS(Calc!$P:$P,K95,Calc!$H:$H,K116,Calc!$I:$I,O113,Calc!$F:$F,K116)</f>
        <v>0</v>
      </c>
      <c r="S113" s="73">
        <f>COUNTIFS(Calc!$P:$P,K95,Calc!$H:$H,K116,Calc!$I:$I,O113,Calc!$F:$F,K97)</f>
        <v>0</v>
      </c>
    </row>
    <row r="114" spans="1:19" ht="19.2" thickTop="1" thickBot="1" x14ac:dyDescent="0.5">
      <c r="A114" s="158"/>
      <c r="B114" s="158"/>
      <c r="C114" s="158"/>
      <c r="D114" s="158"/>
      <c r="E114" s="74" t="s">
        <v>112</v>
      </c>
      <c r="F114" s="74">
        <f>COUNTIFS(Calc!$P:$P,A95,Calc!$H:$H,A116,Calc!$I:$I,E114)</f>
        <v>2</v>
      </c>
      <c r="G114" s="76">
        <f>F114/SUM(F113:F115)</f>
        <v>0.25</v>
      </c>
      <c r="H114" s="74">
        <f>COUNTIFS(Calc!$P:$P,A95,Calc!$H:$H,A116,Calc!$I:$I,E114,Calc!$F:$F,A116)</f>
        <v>1</v>
      </c>
      <c r="I114" s="74">
        <f>COUNTIFS(Calc!$P:$P,A95,Calc!$H:$H,A116,Calc!$I:$I,E114,Calc!$F:$F,A97)</f>
        <v>1</v>
      </c>
      <c r="K114" s="160"/>
      <c r="L114" s="160"/>
      <c r="M114" s="160"/>
      <c r="N114" s="160"/>
      <c r="O114" s="73" t="s">
        <v>63</v>
      </c>
      <c r="P114" s="73">
        <f>COUNTIFS(Calc!$P:$P,K95,Calc!$H:$H,K116,Calc!$I:$I,O114)</f>
        <v>0</v>
      </c>
      <c r="Q114" s="75" t="e">
        <f>P114/SUM(P113:P115)</f>
        <v>#DIV/0!</v>
      </c>
      <c r="R114" s="73">
        <f>COUNTIFS(Calc!$P:$P,K95,Calc!$H:$H,K116,Calc!$I:$I,O114,Calc!$F:$F,K116)</f>
        <v>0</v>
      </c>
      <c r="S114" s="73">
        <f>COUNTIFS(Calc!$P:$P,K95,Calc!$H:$H,K116,Calc!$I:$I,O114,Calc!$F:$F,K97)</f>
        <v>0</v>
      </c>
    </row>
    <row r="115" spans="1:19" ht="18.600000000000001" thickTop="1" x14ac:dyDescent="0.45">
      <c r="A115" s="161"/>
      <c r="B115" s="161"/>
      <c r="C115" s="161"/>
      <c r="D115" s="161"/>
      <c r="E115" s="74" t="s">
        <v>113</v>
      </c>
      <c r="F115" s="74">
        <f>COUNTIFS(Calc!$P:$P,A95,Calc!$H:$H,A116,Calc!$I:$I,E115)</f>
        <v>4</v>
      </c>
      <c r="G115" s="76">
        <f>F115/SUM(F113:F115)</f>
        <v>0.5</v>
      </c>
      <c r="H115" s="74">
        <f>COUNTIFS(Calc!$P:$P,A95,Calc!$H:$H,A116,Calc!$I:$I,E115,Calc!$F:$F,A116)</f>
        <v>1</v>
      </c>
      <c r="I115" s="74">
        <f>COUNTIFS(Calc!$P:$P,A95,Calc!$H:$H,A116,Calc!$I:$I,E115,Calc!$F:$F,A97)</f>
        <v>3</v>
      </c>
      <c r="K115" s="162"/>
      <c r="L115" s="162"/>
      <c r="M115" s="162"/>
      <c r="N115" s="162"/>
      <c r="O115" s="73" t="s">
        <v>61</v>
      </c>
      <c r="P115" s="73">
        <f>COUNTIFS(Calc!$P:$P,K95,Calc!$H:$H,K116,Calc!$I:$I,O115)</f>
        <v>0</v>
      </c>
      <c r="Q115" s="75" t="e">
        <f>P115/SUM(P113:P115)</f>
        <v>#DIV/0!</v>
      </c>
      <c r="R115" s="73">
        <f>COUNTIFS(Calc!$P:$P,K95,Calc!$H:$H,K116,Calc!$I:$I,O115,Calc!$F:$F,K116)</f>
        <v>0</v>
      </c>
      <c r="S115" s="73">
        <f>COUNTIFS(Calc!$P:$P,K95,Calc!$H:$H,K116,Calc!$I:$I,O115,Calc!$F:$F,K97)</f>
        <v>0</v>
      </c>
    </row>
    <row r="116" spans="1:19" x14ac:dyDescent="0.45">
      <c r="A116" s="155" t="str">
        <f>Main!$D$12</f>
        <v>NAMBA Yurika</v>
      </c>
      <c r="B116" s="156"/>
      <c r="C116" s="156"/>
      <c r="D116" s="156"/>
      <c r="E116" s="72" t="str">
        <f>Main!$F$12</f>
        <v>R</v>
      </c>
      <c r="F116" s="79"/>
      <c r="G116" s="80"/>
      <c r="K116" s="155" t="str">
        <f>Main!$D$8</f>
        <v>HIRANO Miu</v>
      </c>
      <c r="L116" s="156"/>
      <c r="M116" s="156"/>
      <c r="N116" s="156"/>
      <c r="O116" s="72" t="str">
        <f>Main!$F$8</f>
        <v>R</v>
      </c>
      <c r="P116" s="79"/>
      <c r="Q116" s="80"/>
    </row>
    <row r="120" spans="1:19" x14ac:dyDescent="0.45">
      <c r="A120" s="139" t="s">
        <v>158</v>
      </c>
      <c r="B120" s="139"/>
      <c r="C120" s="139"/>
      <c r="D120" s="139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</row>
    <row r="121" spans="1:19" x14ac:dyDescent="0.45">
      <c r="A121" s="119">
        <v>4</v>
      </c>
      <c r="K121" s="119">
        <v>4</v>
      </c>
    </row>
    <row r="122" spans="1:19" x14ac:dyDescent="0.45">
      <c r="A122" s="68" t="s">
        <v>139</v>
      </c>
      <c r="K122" s="68" t="s">
        <v>139</v>
      </c>
    </row>
    <row r="123" spans="1:19" x14ac:dyDescent="0.45">
      <c r="A123" s="140" t="str">
        <f>Main!$D$8</f>
        <v>HIRANO Miu</v>
      </c>
      <c r="B123" s="141"/>
      <c r="C123" s="141"/>
      <c r="D123" s="141"/>
      <c r="E123" s="72" t="str">
        <f>Main!$F$8</f>
        <v>R</v>
      </c>
      <c r="F123" s="79"/>
      <c r="G123" s="80"/>
      <c r="H123" s="73" t="s">
        <v>109</v>
      </c>
      <c r="I123" s="73" t="s">
        <v>110</v>
      </c>
      <c r="K123" s="140" t="str">
        <f>Main!$D$12</f>
        <v>NAMBA Yurika</v>
      </c>
      <c r="L123" s="141"/>
      <c r="M123" s="141"/>
      <c r="N123" s="141"/>
      <c r="O123" s="72" t="str">
        <f>Main!$F$12</f>
        <v>R</v>
      </c>
      <c r="P123" s="79"/>
      <c r="Q123" s="80"/>
      <c r="R123" s="74" t="s">
        <v>109</v>
      </c>
      <c r="S123" s="74" t="s">
        <v>110</v>
      </c>
    </row>
    <row r="124" spans="1:19" ht="18.600000000000001" thickBot="1" x14ac:dyDescent="0.5">
      <c r="A124" s="142" t="s">
        <v>97</v>
      </c>
      <c r="B124" s="143"/>
      <c r="C124" s="143"/>
      <c r="D124" s="82">
        <f>COUNTIFS(Calc!$P:$P,A121,Calc!$L:$L,A123,Calc!$O:$O,"ネット")</f>
        <v>0</v>
      </c>
      <c r="E124" s="73" t="s">
        <v>99</v>
      </c>
      <c r="F124" s="73">
        <f>COUNTIFS(Calc!$P:$P,A121,Calc!$L:$L,A123,Calc!$N:$N,E124)</f>
        <v>0</v>
      </c>
      <c r="G124" s="75" t="e">
        <f>F124/SUM(F124:F131)</f>
        <v>#DIV/0!</v>
      </c>
      <c r="H124" s="73">
        <f>COUNTIFS(Calc!$P:$P,A121,Calc!$L:$L,A123,Calc!$N:$N,E124,Calc!$F:$F,A123)</f>
        <v>0</v>
      </c>
      <c r="I124" s="73">
        <f>COUNTIFS(Calc!$P:$P,A121,Calc!$L:$L,A123,Calc!$N:$N,E124,Calc!$F:$F,A142)</f>
        <v>0</v>
      </c>
      <c r="K124" s="144" t="s">
        <v>81</v>
      </c>
      <c r="L124" s="145"/>
      <c r="M124" s="145"/>
      <c r="N124" s="83">
        <f>COUNTIFS(Calc!$P:$P,K121,Calc!$L:$L,K123,Calc!$O:$O,"ネット")</f>
        <v>0</v>
      </c>
      <c r="O124" s="74" t="s">
        <v>14</v>
      </c>
      <c r="P124" s="74">
        <f>COUNTIFS(Calc!$P:$P,K121,Calc!$L:$L,K123,Calc!$N:$N,O124)</f>
        <v>0</v>
      </c>
      <c r="Q124" s="76" t="e">
        <f>P124/SUM(P124:P131)</f>
        <v>#DIV/0!</v>
      </c>
      <c r="R124" s="74">
        <f>COUNTIFS(Calc!$P:$P,K121,Calc!$L:$L,K123,Calc!$N:$N,O124,Calc!$F:$F,K123)</f>
        <v>0</v>
      </c>
      <c r="S124" s="74">
        <f>COUNTIFS(Calc!$P:$P,K121,Calc!$L:$L,K123,Calc!$N:$N,O124,Calc!$F:$F,K142)</f>
        <v>0</v>
      </c>
    </row>
    <row r="125" spans="1:19" ht="18.600000000000001" thickTop="1" x14ac:dyDescent="0.45">
      <c r="A125" s="146" t="s">
        <v>114</v>
      </c>
      <c r="B125" s="147"/>
      <c r="C125" s="147"/>
      <c r="D125" s="109">
        <f>COUNTIFS(Calc!$P:$P,A121,Calc!$L:$L,A123,Calc!$O:$O,"ネットイン")</f>
        <v>0</v>
      </c>
      <c r="E125" s="73" t="s">
        <v>100</v>
      </c>
      <c r="F125" s="73">
        <f>COUNTIFS(Calc!$P:$P,A121,Calc!$L:$L,A123,Calc!$N:$N,E125)</f>
        <v>0</v>
      </c>
      <c r="G125" s="75" t="e">
        <f>F125/SUM(F124:F131)</f>
        <v>#DIV/0!</v>
      </c>
      <c r="H125" s="73">
        <f>COUNTIFS(Calc!$P:$P,A121,Calc!$L:$L,A123,Calc!$N:$N,E125,Calc!$F:$F,A123)</f>
        <v>0</v>
      </c>
      <c r="I125" s="73">
        <f>COUNTIFS(Calc!$P:$P,A121,Calc!$L:$L,A123,Calc!$N:$N,E125,Calc!$F:$F,A142)</f>
        <v>0</v>
      </c>
      <c r="K125" s="148" t="s">
        <v>176</v>
      </c>
      <c r="L125" s="149"/>
      <c r="M125" s="149"/>
      <c r="N125" s="110">
        <f>COUNTIFS(Calc!$P:$P,K121,Calc!$L:$L,K123,Calc!$O:$O,"ネットイン")</f>
        <v>0</v>
      </c>
      <c r="O125" s="74" t="s">
        <v>15</v>
      </c>
      <c r="P125" s="74">
        <f>COUNTIFS(Calc!$P:$P,K121,Calc!$L:$L,K123,Calc!$N:$N,O125)</f>
        <v>0</v>
      </c>
      <c r="Q125" s="76" t="e">
        <f>P125/SUM(P124:P131)</f>
        <v>#DIV/0!</v>
      </c>
      <c r="R125" s="74">
        <f>COUNTIFS(Calc!$P:$P,K121,Calc!$L:$L,K123,Calc!$N:$N,O125,Calc!$F:$F,K123)</f>
        <v>0</v>
      </c>
      <c r="S125" s="74">
        <f>COUNTIFS(Calc!$P:$P,K121,Calc!$L:$L,K123,Calc!$N:$N,O125,Calc!$F:$F,K142)</f>
        <v>0</v>
      </c>
    </row>
    <row r="126" spans="1:19" x14ac:dyDescent="0.45">
      <c r="A126" s="134">
        <f>COUNTIFS(Calc!$P:$P,A121,Calc!$L:$L,A123,Calc!$O:$O,IF(E142="R","BS","FS"))</f>
        <v>0</v>
      </c>
      <c r="B126" s="134">
        <f>COUNTIFS(Calc!$P:$P,A121,Calc!$L:$L,A123,Calc!$O:$O,IF(E142="R","BMS","FMS"))</f>
        <v>0</v>
      </c>
      <c r="C126" s="134">
        <f>COUNTIFS(Calc!$P:$P,A121,Calc!$L:$L,A123,Calc!$O:$O,IF(E142="R","FMS","BMS"))</f>
        <v>0</v>
      </c>
      <c r="D126" s="134">
        <f>COUNTIFS(Calc!$P:$P,A121,Calc!$L:$L,A123,Calc!$O:$O,IF(E142="R","FS","BS"))</f>
        <v>0</v>
      </c>
      <c r="E126" s="73" t="s">
        <v>101</v>
      </c>
      <c r="F126" s="73">
        <f>COUNTIFS(Calc!$P:$P,A121,Calc!$L:$L,A123,Calc!$N:$N,E126)</f>
        <v>0</v>
      </c>
      <c r="G126" s="75" t="e">
        <f>F126/SUM(F124:F131)</f>
        <v>#DIV/0!</v>
      </c>
      <c r="H126" s="73">
        <f>COUNTIFS(Calc!$P:$P,A121,Calc!$L:$L,A123,Calc!$N:$N,E126,Calc!$F:$F,A123)</f>
        <v>0</v>
      </c>
      <c r="I126" s="73">
        <f>COUNTIFS(Calc!$P:$P,A121,Calc!$L:$L,A123,Calc!$N:$N,E126,Calc!$F:$F,A142)</f>
        <v>0</v>
      </c>
      <c r="K126" s="150">
        <f>COUNTIFS(Calc!$P:$P,K121,Calc!$L:$L,K123,Calc!$O:$O,IF(O142="R","BS","FS"))</f>
        <v>0</v>
      </c>
      <c r="L126" s="150">
        <f>COUNTIFS(Calc!$P:$P,K121,Calc!$L:$L,K123,Calc!$O:$O,IF(O142="R","BMS","FMS"))</f>
        <v>0</v>
      </c>
      <c r="M126" s="150">
        <f>COUNTIFS(Calc!$P:$P,K121,Calc!$L:$L,K123,Calc!$O:$O,IF(O142="R","FMS","BMS"))</f>
        <v>0</v>
      </c>
      <c r="N126" s="150">
        <f>COUNTIFS(Calc!$P:$P,K121,Calc!$L:$L,K123,Calc!$O:$O,IF(O142="R","FS","BS"))</f>
        <v>0</v>
      </c>
      <c r="O126" s="74" t="s">
        <v>17</v>
      </c>
      <c r="P126" s="74">
        <f>COUNTIFS(Calc!$P:$P,K121,Calc!$L:$L,K123,Calc!$N:$N,O126)</f>
        <v>0</v>
      </c>
      <c r="Q126" s="76" t="e">
        <f>P126/SUM(P124:P131)</f>
        <v>#DIV/0!</v>
      </c>
      <c r="R126" s="74">
        <f>COUNTIFS(Calc!$P:$P,K121,Calc!$L:$L,K123,Calc!$N:$N,O126,Calc!$F:$F,K123)</f>
        <v>0</v>
      </c>
      <c r="S126" s="74">
        <f>COUNTIFS(Calc!$P:$P,K121,Calc!$L:$L,K123,Calc!$N:$N,O126,Calc!$F:$F,K142)</f>
        <v>0</v>
      </c>
    </row>
    <row r="127" spans="1:19" x14ac:dyDescent="0.45">
      <c r="A127" s="134"/>
      <c r="B127" s="134"/>
      <c r="C127" s="134"/>
      <c r="D127" s="134"/>
      <c r="E127" s="73" t="s">
        <v>102</v>
      </c>
      <c r="F127" s="73">
        <f>COUNTIFS(Calc!$P:$P,A121,Calc!$L:$L,A123,Calc!$N:$N,E127)</f>
        <v>0</v>
      </c>
      <c r="G127" s="75" t="e">
        <f>F127/SUM(F124:F131)</f>
        <v>#DIV/0!</v>
      </c>
      <c r="H127" s="73">
        <f>COUNTIFS(Calc!$P:$P,A121,Calc!$L:$L,A123,Calc!$N:$N,E127,Calc!$F:$F,A123)</f>
        <v>0</v>
      </c>
      <c r="I127" s="73">
        <f>COUNTIFS(Calc!$P:$P,A121,Calc!$L:$L,A123,Calc!$N:$N,E127,Calc!$F:$F,A142)</f>
        <v>0</v>
      </c>
      <c r="K127" s="136"/>
      <c r="L127" s="136"/>
      <c r="M127" s="136"/>
      <c r="N127" s="136"/>
      <c r="O127" s="74" t="s">
        <v>16</v>
      </c>
      <c r="P127" s="74">
        <f>COUNTIFS(Calc!$P:$P,K121,Calc!$L:$L,K123,Calc!$N:$N,O127)</f>
        <v>0</v>
      </c>
      <c r="Q127" s="76" t="e">
        <f>P127/SUM(P124:P131)</f>
        <v>#DIV/0!</v>
      </c>
      <c r="R127" s="74">
        <f>COUNTIFS(Calc!$P:$P,K121,Calc!$L:$L,K123,Calc!$N:$N,O127,Calc!$F:$F,K123)</f>
        <v>0</v>
      </c>
      <c r="S127" s="74">
        <f>COUNTIFS(Calc!$P:$P,K121,Calc!$L:$L,K123,Calc!$N:$N,O127,Calc!$F:$F,K142)</f>
        <v>0</v>
      </c>
    </row>
    <row r="128" spans="1:19" x14ac:dyDescent="0.45">
      <c r="A128" s="134">
        <f>COUNTIFS(Calc!$P:$P,A121,Calc!$L:$L,A123,Calc!$O:$O,IF(E142="R","B","F"))</f>
        <v>0</v>
      </c>
      <c r="B128" s="134">
        <f>COUNTIFS(Calc!$P:$P,A121,Calc!$L:$L,A123,Calc!$O:$O,IF(E142="R","BM","FM"))</f>
        <v>0</v>
      </c>
      <c r="C128" s="134">
        <f>COUNTIFS(Calc!$P:$P,A121,Calc!$L:$L,A123,Calc!$O:$O,IF(E142="R","FM","BM"))</f>
        <v>0</v>
      </c>
      <c r="D128" s="134">
        <f>COUNTIFS(Calc!$P:$P,A121,Calc!$L:$L,A123,Calc!$O:$O,IF(E142="R","F","B"))</f>
        <v>0</v>
      </c>
      <c r="E128" s="73" t="s">
        <v>104</v>
      </c>
      <c r="F128" s="73">
        <f>COUNTIFS(Calc!$P:$P,A121,Calc!$L:$L,A123,Calc!$N:$N,E128)</f>
        <v>0</v>
      </c>
      <c r="G128" s="75" t="e">
        <f>F128/SUM(F124:F131)</f>
        <v>#DIV/0!</v>
      </c>
      <c r="H128" s="73">
        <f>COUNTIFS(Calc!$P:$P,A121,Calc!$L:$L,A123,Calc!$N:$N,E128,Calc!$F:$F,A123)</f>
        <v>0</v>
      </c>
      <c r="I128" s="73">
        <f>COUNTIFS(Calc!$P:$P,A121,Calc!$L:$L,A123,Calc!$N:$N,E128,Calc!$F:$F,A142)</f>
        <v>0</v>
      </c>
      <c r="K128" s="135">
        <f>COUNTIFS(Calc!$P:$P,K121,Calc!$L:$L,K123,Calc!$O:$O,IF(O142="R","B","F"))</f>
        <v>0</v>
      </c>
      <c r="L128" s="135">
        <f>COUNTIFS(Calc!$P:$P,K121,Calc!$L:$L,K123,Calc!$O:$O,IF(O142="R","BM","FM"))</f>
        <v>0</v>
      </c>
      <c r="M128" s="135">
        <f>COUNTIFS(Calc!$P:$P,K121,Calc!$L:$L,K123,Calc!$O:$O,IF(O142="R","FM","BM"))</f>
        <v>0</v>
      </c>
      <c r="N128" s="135">
        <f>COUNTIFS(Calc!$P:$P,K121,Calc!$L:$L,K123,Calc!$O:$O,IF(O142="R","F","B"))</f>
        <v>0</v>
      </c>
      <c r="O128" s="74" t="s">
        <v>103</v>
      </c>
      <c r="P128" s="74">
        <f>COUNTIFS(Calc!$P:$P,K121,Calc!$L:$L,K123,Calc!$N:$N,O128)</f>
        <v>0</v>
      </c>
      <c r="Q128" s="76" t="e">
        <f>P128/SUM(P124:P131)</f>
        <v>#DIV/0!</v>
      </c>
      <c r="R128" s="74">
        <f>COUNTIFS(Calc!$P:$P,K121,Calc!$L:$L,K123,Calc!$N:$N,O128,Calc!$F:$F,K123)</f>
        <v>0</v>
      </c>
      <c r="S128" s="74">
        <f>COUNTIFS(Calc!$P:$P,K121,Calc!$L:$L,K123,Calc!$N:$N,O128,Calc!$F:$F,K142)</f>
        <v>0</v>
      </c>
    </row>
    <row r="129" spans="1:19" x14ac:dyDescent="0.45">
      <c r="A129" s="134"/>
      <c r="B129" s="134"/>
      <c r="C129" s="134"/>
      <c r="D129" s="134"/>
      <c r="E129" s="73" t="s">
        <v>105</v>
      </c>
      <c r="F129" s="73">
        <f>COUNTIFS(Calc!$P:$P,A121,Calc!$L:$L,A123,Calc!$N:$N,E129)</f>
        <v>0</v>
      </c>
      <c r="G129" s="75" t="e">
        <f>F129/SUM(F124:F131)</f>
        <v>#DIV/0!</v>
      </c>
      <c r="H129" s="73">
        <f>COUNTIFS(Calc!$P:$P,A121,Calc!$L:$L,A123,Calc!$N:$N,E129,Calc!$F:$F,A123)</f>
        <v>0</v>
      </c>
      <c r="I129" s="73">
        <f>COUNTIFS(Calc!$P:$P,A121,Calc!$L:$L,A123,Calc!$N:$N,E129,Calc!$F:$F,A142)</f>
        <v>0</v>
      </c>
      <c r="K129" s="136"/>
      <c r="L129" s="136"/>
      <c r="M129" s="136"/>
      <c r="N129" s="136"/>
      <c r="O129" s="74" t="s">
        <v>82</v>
      </c>
      <c r="P129" s="74">
        <f>COUNTIFS(Calc!$P:$P,K121,Calc!$L:$L,K123,Calc!$N:$N,O129)</f>
        <v>0</v>
      </c>
      <c r="Q129" s="76" t="e">
        <f>P129/SUM(P124:P131)</f>
        <v>#DIV/0!</v>
      </c>
      <c r="R129" s="74">
        <f>COUNTIFS(Calc!$P:$P,K121,Calc!$L:$L,K123,Calc!$N:$N,O129,Calc!$F:$F,K123)</f>
        <v>0</v>
      </c>
      <c r="S129" s="74">
        <f>COUNTIFS(Calc!$P:$P,K121,Calc!$L:$L,K123,Calc!$N:$N,O129,Calc!$F:$F,K142)</f>
        <v>0</v>
      </c>
    </row>
    <row r="130" spans="1:19" x14ac:dyDescent="0.45">
      <c r="A130" s="137" t="s">
        <v>98</v>
      </c>
      <c r="B130" s="137"/>
      <c r="C130" s="137"/>
      <c r="D130" s="137"/>
      <c r="E130" s="73" t="s">
        <v>106</v>
      </c>
      <c r="F130" s="73">
        <f>COUNTIFS(Calc!$P:$P,A121,Calc!$L:$L,A123,Calc!$N:$N,E130)</f>
        <v>0</v>
      </c>
      <c r="G130" s="75" t="e">
        <f>F130/SUM(F124:F131)</f>
        <v>#DIV/0!</v>
      </c>
      <c r="H130" s="73">
        <f>COUNTIFS(Calc!$P:$P,A121,Calc!$L:$L,A123,Calc!$N:$N,E130,Calc!$F:$F,A123)</f>
        <v>0</v>
      </c>
      <c r="I130" s="73">
        <f>COUNTIFS(Calc!$P:$P,A121,Calc!$L:$L,A123,Calc!$N:$N,E130,Calc!$F:$F,A142)</f>
        <v>0</v>
      </c>
      <c r="K130" s="138" t="s">
        <v>80</v>
      </c>
      <c r="L130" s="138"/>
      <c r="M130" s="138"/>
      <c r="N130" s="138"/>
      <c r="O130" s="74" t="s">
        <v>83</v>
      </c>
      <c r="P130" s="74">
        <f>COUNTIFS(Calc!$P:$P,K121,Calc!$L:$L,K123,Calc!$N:$N,O130)</f>
        <v>0</v>
      </c>
      <c r="Q130" s="76" t="e">
        <f>P130/SUM(P124:P131)</f>
        <v>#DIV/0!</v>
      </c>
      <c r="R130" s="74">
        <f>COUNTIFS(Calc!$P:$P,K121,Calc!$L:$L,K123,Calc!$N:$N,O130,Calc!$F:$F,K123)</f>
        <v>0</v>
      </c>
      <c r="S130" s="74">
        <f>COUNTIFS(Calc!$P:$P,K121,Calc!$L:$L,K123,Calc!$N:$N,O130,Calc!$F:$F,K142)</f>
        <v>0</v>
      </c>
    </row>
    <row r="131" spans="1:19" x14ac:dyDescent="0.45">
      <c r="A131" s="132">
        <f>COUNTIFS(Calc!$P:$P,A121,Calc!$L:$L,A123,Calc!$O:$O,"オーバーミス")</f>
        <v>0</v>
      </c>
      <c r="B131" s="132"/>
      <c r="C131" s="132"/>
      <c r="D131" s="132"/>
      <c r="E131" s="73" t="s">
        <v>108</v>
      </c>
      <c r="F131" s="73">
        <f>COUNTIFS(Calc!$P:$P,A121,Calc!$L:$L,A123,Calc!$N:$N,E131)</f>
        <v>0</v>
      </c>
      <c r="G131" s="75" t="e">
        <f>F131/SUM(F124:F131)</f>
        <v>#DIV/0!</v>
      </c>
      <c r="H131" s="73">
        <f>COUNTIFS(Calc!$P:$P,A121,Calc!$L:$L,A123,Calc!$N:$N,E131,Calc!$F:$F,A123)</f>
        <v>0</v>
      </c>
      <c r="I131" s="73">
        <f>COUNTIFS(Calc!$P:$P,A121,Calc!$L:$L,A123,Calc!$N:$N,E131,Calc!$F:$F,A142)</f>
        <v>0</v>
      </c>
      <c r="K131" s="133">
        <f>COUNTIFS(Calc!$P:$P,K121,Calc!$L:$L,K123,Calc!$O:$O,"オーバーミス")</f>
        <v>0</v>
      </c>
      <c r="L131" s="133"/>
      <c r="M131" s="133"/>
      <c r="N131" s="133"/>
      <c r="O131" s="74" t="s">
        <v>107</v>
      </c>
      <c r="P131" s="74">
        <f>COUNTIFS(Calc!$P:$P,K121,Calc!$L:$L,K123,Calc!$N:$N,O131)</f>
        <v>0</v>
      </c>
      <c r="Q131" s="76" t="e">
        <f>P131/SUM(P124:P131)</f>
        <v>#DIV/0!</v>
      </c>
      <c r="R131" s="74">
        <f>COUNTIFS(Calc!$P:$P,K121,Calc!$L:$L,K123,Calc!$N:$N,O131,Calc!$F:$F,K123)</f>
        <v>0</v>
      </c>
      <c r="S131" s="74">
        <f>COUNTIFS(Calc!$P:$P,K121,Calc!$L:$L,K123,Calc!$N:$N,O131,Calc!$F:$F,K142)</f>
        <v>0</v>
      </c>
    </row>
    <row r="132" spans="1:19" x14ac:dyDescent="0.45">
      <c r="A132" s="103"/>
      <c r="B132" s="103"/>
      <c r="C132" s="103"/>
      <c r="D132" s="103"/>
      <c r="E132" s="73"/>
      <c r="F132" s="73"/>
      <c r="G132" s="75"/>
      <c r="H132" s="73"/>
      <c r="I132" s="73"/>
      <c r="K132" s="104"/>
      <c r="L132" s="104"/>
      <c r="M132" s="104"/>
      <c r="N132" s="104"/>
      <c r="O132" s="74"/>
      <c r="P132" s="74"/>
      <c r="Q132" s="76"/>
      <c r="R132" s="74"/>
      <c r="S132" s="74"/>
    </row>
    <row r="133" spans="1:19" x14ac:dyDescent="0.45">
      <c r="A133" s="68" t="s">
        <v>140</v>
      </c>
      <c r="K133" s="68" t="s">
        <v>140</v>
      </c>
    </row>
    <row r="134" spans="1:19" x14ac:dyDescent="0.45">
      <c r="A134" s="164">
        <f>COUNTIFS(Calc!$P:$P,A121,Calc!$H:$H,A142,Calc!$K:$K,IF(E123="R","F","B"))</f>
        <v>0</v>
      </c>
      <c r="B134" s="164">
        <f>COUNTIFS(Calc!$P:$P,A121,Calc!$H:$H,A142,Calc!$K:$K,IF(E123="R","FM","BM"))</f>
        <v>0</v>
      </c>
      <c r="C134" s="164">
        <f>COUNTIFS(Calc!$P:$P,A121,Calc!$H:$H,A142,Calc!$K:$K,IF(E123="R","BM","FM"))</f>
        <v>0</v>
      </c>
      <c r="D134" s="164">
        <f>COUNTIFS(Calc!$P:$P,A121,Calc!$H:$H,A142,Calc!$K:$K,IF(E123="R","B","F"))</f>
        <v>0</v>
      </c>
      <c r="E134" s="74"/>
      <c r="F134" s="74"/>
      <c r="G134" s="76"/>
      <c r="H134" s="74"/>
      <c r="I134" s="74"/>
      <c r="K134" s="134">
        <f>COUNTIFS(Calc!$P:$P,K121,Calc!$H:$H,K142,Calc!$K:$K,IF(O123="R","F","B"))</f>
        <v>0</v>
      </c>
      <c r="L134" s="134">
        <f>COUNTIFS(Calc!$P:$P,K121,Calc!$H:$H,K142,Calc!$K:$K,IF(O123="R","FM","BM"))</f>
        <v>0</v>
      </c>
      <c r="M134" s="134">
        <f>COUNTIFS(Calc!$P:$P,K121,Calc!$H:$H,K142,Calc!$K:$K,IF(O123="R","BM","FM"))</f>
        <v>0</v>
      </c>
      <c r="N134" s="134">
        <f>COUNTIFS(Calc!$P:$P,K121,Calc!$H:$H,K142,Calc!$K:$K,IF(O123="R","B","F"))</f>
        <v>0</v>
      </c>
      <c r="O134" s="73"/>
      <c r="P134" s="73"/>
      <c r="Q134" s="75"/>
      <c r="R134" s="73"/>
      <c r="S134" s="73"/>
    </row>
    <row r="135" spans="1:19" x14ac:dyDescent="0.45">
      <c r="A135" s="164"/>
      <c r="B135" s="164"/>
      <c r="C135" s="164"/>
      <c r="D135" s="164"/>
      <c r="E135" s="74"/>
      <c r="F135" s="74"/>
      <c r="G135" s="76"/>
      <c r="H135" s="74"/>
      <c r="I135" s="74"/>
      <c r="K135" s="134"/>
      <c r="L135" s="134"/>
      <c r="M135" s="134"/>
      <c r="N135" s="134"/>
      <c r="O135" s="73"/>
      <c r="P135" s="73"/>
      <c r="Q135" s="75"/>
      <c r="R135" s="73"/>
      <c r="S135" s="73"/>
    </row>
    <row r="136" spans="1:19" ht="18.600000000000001" thickBot="1" x14ac:dyDescent="0.5">
      <c r="A136" s="157">
        <f>COUNTIFS(Calc!$P:$P,A121,Calc!$H:$H,A142,Calc!$K:$K,IF(E123="R","FS","BS"))</f>
        <v>0</v>
      </c>
      <c r="B136" s="157">
        <f>COUNTIFS(Calc!$P:$P,A121,Calc!$H:$H,A142,Calc!$K:$K,IF(E123="R","FMS","BMS"))</f>
        <v>0</v>
      </c>
      <c r="C136" s="157">
        <f>COUNTIFS(Calc!$P:$P,A121,Calc!$H:$H,A142,Calc!$K:$K,IF(E123="R","BMS","FMS"))</f>
        <v>0</v>
      </c>
      <c r="D136" s="157">
        <f>COUNTIFS(Calc!$P:$P,A121,Calc!$H:$H,A142,Calc!$K:$K,IF(E123="R","BS","FS"))</f>
        <v>0</v>
      </c>
      <c r="E136" s="74"/>
      <c r="F136" s="74"/>
      <c r="G136" s="76"/>
      <c r="H136" s="74"/>
      <c r="I136" s="74"/>
      <c r="K136" s="159">
        <f>COUNTIFS(Calc!$P:$P,K121,Calc!$H:$H,K142,Calc!$K:$K,IF(O123="R","FS","BS"))</f>
        <v>0</v>
      </c>
      <c r="L136" s="159">
        <f>COUNTIFS(Calc!$P:$P,K121,Calc!$H:$H,K142,Calc!$K:$K,IF(O123="R","FMS","BMS"))</f>
        <v>0</v>
      </c>
      <c r="M136" s="159">
        <f>COUNTIFS(Calc!$P:$P,K121,Calc!$H:$H,K142,Calc!$K:$K,IF(O123="R","BMS","FMS"))</f>
        <v>0</v>
      </c>
      <c r="N136" s="159">
        <f>COUNTIFS(Calc!$P:$P,K121,Calc!$H:$H,K142,Calc!$K:$K,IF(O123="R","BS","FS"))</f>
        <v>0</v>
      </c>
      <c r="O136" s="73"/>
      <c r="P136" s="73"/>
      <c r="Q136" s="75"/>
      <c r="R136" s="73"/>
      <c r="S136" s="73"/>
    </row>
    <row r="137" spans="1:19" ht="19.2" thickTop="1" thickBot="1" x14ac:dyDescent="0.5">
      <c r="A137" s="158"/>
      <c r="B137" s="158"/>
      <c r="C137" s="158"/>
      <c r="D137" s="158"/>
      <c r="E137" s="74"/>
      <c r="F137" s="74"/>
      <c r="G137" s="76"/>
      <c r="H137" s="74"/>
      <c r="I137" s="74"/>
      <c r="K137" s="160"/>
      <c r="L137" s="160"/>
      <c r="M137" s="160"/>
      <c r="N137" s="160"/>
      <c r="O137" s="73"/>
      <c r="P137" s="73"/>
      <c r="Q137" s="75"/>
      <c r="R137" s="73"/>
      <c r="S137" s="73"/>
    </row>
    <row r="138" spans="1:19" ht="19.2" thickTop="1" thickBot="1" x14ac:dyDescent="0.5">
      <c r="A138" s="158">
        <f>COUNTIFS(Calc!$P:$P,A121,Calc!$H:$H,A142,Calc!$J:$J,IF(E142="R","B","F"))</f>
        <v>0</v>
      </c>
      <c r="B138" s="158"/>
      <c r="C138" s="158">
        <f>COUNTIFS(Calc!$P:$P,A121,Calc!$H:$H,A142,Calc!$J:$J,IF(E142="R","F","B"))</f>
        <v>0</v>
      </c>
      <c r="D138" s="158"/>
      <c r="E138" s="74"/>
      <c r="F138" s="74"/>
      <c r="G138" s="76"/>
      <c r="H138" s="74" t="s">
        <v>109</v>
      </c>
      <c r="I138" s="74" t="s">
        <v>110</v>
      </c>
      <c r="K138" s="160">
        <f>COUNTIFS(Calc!$P:$P,K121,Calc!$H:$H,K142,Calc!$J:$J,IF(O142="R","B","F"))</f>
        <v>0</v>
      </c>
      <c r="L138" s="160"/>
      <c r="M138" s="160">
        <f>COUNTIFS(Calc!$P:$P,K121,Calc!$H:$H,K142,Calc!$J:$J,IF(O142="R","F","B"))</f>
        <v>0</v>
      </c>
      <c r="N138" s="160"/>
      <c r="O138" s="73"/>
      <c r="P138" s="73"/>
      <c r="Q138" s="75"/>
      <c r="R138" s="73" t="s">
        <v>177</v>
      </c>
      <c r="S138" s="73" t="s">
        <v>178</v>
      </c>
    </row>
    <row r="139" spans="1:19" ht="19.2" thickTop="1" thickBot="1" x14ac:dyDescent="0.5">
      <c r="A139" s="158"/>
      <c r="B139" s="158"/>
      <c r="C139" s="158"/>
      <c r="D139" s="158"/>
      <c r="E139" s="74" t="s">
        <v>111</v>
      </c>
      <c r="F139" s="74">
        <f>COUNTIFS(Calc!$P:$P,A121,Calc!$H:$H,A142,Calc!$I:$I,E139)</f>
        <v>0</v>
      </c>
      <c r="G139" s="76" t="e">
        <f>F139/SUM(F139:F141)</f>
        <v>#DIV/0!</v>
      </c>
      <c r="H139" s="74">
        <f>COUNTIFS(Calc!$P:$P,A121,Calc!$H:$H,A142,Calc!$I:$I,E139,Calc!$F:$F,A142)</f>
        <v>0</v>
      </c>
      <c r="I139" s="74">
        <f>COUNTIFS(Calc!$P:$P,A121,Calc!$H:$H,A142,Calc!$I:$I,E139,Calc!$F:$F,A123)</f>
        <v>0</v>
      </c>
      <c r="K139" s="160"/>
      <c r="L139" s="160"/>
      <c r="M139" s="160"/>
      <c r="N139" s="160"/>
      <c r="O139" s="73" t="s">
        <v>174</v>
      </c>
      <c r="P139" s="73">
        <f>COUNTIFS(Calc!$P:$P,K121,Calc!$H:$H,K142,Calc!$I:$I,O139)</f>
        <v>0</v>
      </c>
      <c r="Q139" s="75" t="e">
        <f>P139/SUM(P139:P141)</f>
        <v>#DIV/0!</v>
      </c>
      <c r="R139" s="73">
        <f>COUNTIFS(Calc!$P:$P,K121,Calc!$H:$H,K142,Calc!$I:$I,O139,Calc!$F:$F,K142)</f>
        <v>0</v>
      </c>
      <c r="S139" s="73">
        <f>COUNTIFS(Calc!$P:$P,K121,Calc!$H:$H,K142,Calc!$I:$I,O139,Calc!$F:$F,K123)</f>
        <v>0</v>
      </c>
    </row>
    <row r="140" spans="1:19" ht="19.2" thickTop="1" thickBot="1" x14ac:dyDescent="0.5">
      <c r="A140" s="158"/>
      <c r="B140" s="158"/>
      <c r="C140" s="158"/>
      <c r="D140" s="158"/>
      <c r="E140" s="74" t="s">
        <v>112</v>
      </c>
      <c r="F140" s="74">
        <f>COUNTIFS(Calc!$P:$P,A121,Calc!$H:$H,A142,Calc!$I:$I,E140)</f>
        <v>0</v>
      </c>
      <c r="G140" s="76" t="e">
        <f>F140/SUM(F139:F141)</f>
        <v>#DIV/0!</v>
      </c>
      <c r="H140" s="74">
        <f>COUNTIFS(Calc!$P:$P,A121,Calc!$H:$H,A142,Calc!$I:$I,E140,Calc!$F:$F,A142)</f>
        <v>0</v>
      </c>
      <c r="I140" s="74">
        <f>COUNTIFS(Calc!$P:$P,A121,Calc!$H:$H,A142,Calc!$I:$I,E140,Calc!$F:$F,A123)</f>
        <v>0</v>
      </c>
      <c r="K140" s="160"/>
      <c r="L140" s="160"/>
      <c r="M140" s="160"/>
      <c r="N140" s="160"/>
      <c r="O140" s="73" t="s">
        <v>63</v>
      </c>
      <c r="P140" s="73">
        <f>COUNTIFS(Calc!$P:$P,K121,Calc!$H:$H,K142,Calc!$I:$I,O140)</f>
        <v>0</v>
      </c>
      <c r="Q140" s="75" t="e">
        <f>P140/SUM(P139:P141)</f>
        <v>#DIV/0!</v>
      </c>
      <c r="R140" s="73">
        <f>COUNTIFS(Calc!$P:$P,K121,Calc!$H:$H,K142,Calc!$I:$I,O140,Calc!$F:$F,K142)</f>
        <v>0</v>
      </c>
      <c r="S140" s="73">
        <f>COUNTIFS(Calc!$P:$P,K121,Calc!$H:$H,K142,Calc!$I:$I,O140,Calc!$F:$F,K123)</f>
        <v>0</v>
      </c>
    </row>
    <row r="141" spans="1:19" ht="18.600000000000001" thickTop="1" x14ac:dyDescent="0.45">
      <c r="A141" s="161"/>
      <c r="B141" s="161"/>
      <c r="C141" s="161"/>
      <c r="D141" s="161"/>
      <c r="E141" s="74" t="s">
        <v>113</v>
      </c>
      <c r="F141" s="74">
        <f>COUNTIFS(Calc!$P:$P,A121,Calc!$H:$H,A142,Calc!$I:$I,E141)</f>
        <v>0</v>
      </c>
      <c r="G141" s="76" t="e">
        <f>F141/SUM(F139:F141)</f>
        <v>#DIV/0!</v>
      </c>
      <c r="H141" s="74">
        <f>COUNTIFS(Calc!$P:$P,A121,Calc!$H:$H,A142,Calc!$I:$I,E141,Calc!$F:$F,A142)</f>
        <v>0</v>
      </c>
      <c r="I141" s="74">
        <f>COUNTIFS(Calc!$P:$P,A121,Calc!$H:$H,A142,Calc!$I:$I,E141,Calc!$F:$F,A123)</f>
        <v>0</v>
      </c>
      <c r="K141" s="162"/>
      <c r="L141" s="162"/>
      <c r="M141" s="162"/>
      <c r="N141" s="162"/>
      <c r="O141" s="73" t="s">
        <v>61</v>
      </c>
      <c r="P141" s="73">
        <f>COUNTIFS(Calc!$P:$P,K121,Calc!$H:$H,K142,Calc!$I:$I,O141)</f>
        <v>0</v>
      </c>
      <c r="Q141" s="75" t="e">
        <f>P141/SUM(P139:P141)</f>
        <v>#DIV/0!</v>
      </c>
      <c r="R141" s="73">
        <f>COUNTIFS(Calc!$P:$P,K121,Calc!$H:$H,K142,Calc!$I:$I,O141,Calc!$F:$F,K142)</f>
        <v>0</v>
      </c>
      <c r="S141" s="73">
        <f>COUNTIFS(Calc!$P:$P,K121,Calc!$H:$H,K142,Calc!$I:$I,O141,Calc!$F:$F,K123)</f>
        <v>0</v>
      </c>
    </row>
    <row r="142" spans="1:19" x14ac:dyDescent="0.45">
      <c r="A142" s="155" t="str">
        <f>Main!$D$12</f>
        <v>NAMBA Yurika</v>
      </c>
      <c r="B142" s="156"/>
      <c r="C142" s="156"/>
      <c r="D142" s="156"/>
      <c r="E142" s="72" t="str">
        <f>Main!$F$12</f>
        <v>R</v>
      </c>
      <c r="F142" s="79"/>
      <c r="G142" s="80"/>
      <c r="K142" s="155" t="str">
        <f>Main!$D$8</f>
        <v>HIRANO Miu</v>
      </c>
      <c r="L142" s="156"/>
      <c r="M142" s="156"/>
      <c r="N142" s="156"/>
      <c r="O142" s="72" t="str">
        <f>Main!$F$8</f>
        <v>R</v>
      </c>
      <c r="P142" s="79"/>
      <c r="Q142" s="80"/>
    </row>
    <row r="146" spans="1:19" x14ac:dyDescent="0.45">
      <c r="A146" s="139" t="s">
        <v>159</v>
      </c>
      <c r="B146" s="139"/>
      <c r="C146" s="139"/>
      <c r="D146" s="139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</row>
    <row r="147" spans="1:19" x14ac:dyDescent="0.45">
      <c r="A147" s="119">
        <v>5</v>
      </c>
      <c r="K147" s="119">
        <v>5</v>
      </c>
    </row>
    <row r="148" spans="1:19" x14ac:dyDescent="0.45">
      <c r="A148" s="68" t="s">
        <v>139</v>
      </c>
      <c r="K148" s="68" t="s">
        <v>139</v>
      </c>
    </row>
    <row r="149" spans="1:19" x14ac:dyDescent="0.45">
      <c r="A149" s="140" t="str">
        <f>Main!$D$8</f>
        <v>HIRANO Miu</v>
      </c>
      <c r="B149" s="141"/>
      <c r="C149" s="141"/>
      <c r="D149" s="141"/>
      <c r="E149" s="72" t="str">
        <f>Main!$F$8</f>
        <v>R</v>
      </c>
      <c r="F149" s="79"/>
      <c r="G149" s="80"/>
      <c r="H149" s="73" t="s">
        <v>109</v>
      </c>
      <c r="I149" s="73" t="s">
        <v>110</v>
      </c>
      <c r="K149" s="140" t="str">
        <f>Main!$D$12</f>
        <v>NAMBA Yurika</v>
      </c>
      <c r="L149" s="141"/>
      <c r="M149" s="141"/>
      <c r="N149" s="141"/>
      <c r="O149" s="72" t="str">
        <f>Main!$F$12</f>
        <v>R</v>
      </c>
      <c r="P149" s="79"/>
      <c r="Q149" s="80"/>
      <c r="R149" s="74" t="s">
        <v>109</v>
      </c>
      <c r="S149" s="74" t="s">
        <v>110</v>
      </c>
    </row>
    <row r="150" spans="1:19" ht="18.600000000000001" thickBot="1" x14ac:dyDescent="0.5">
      <c r="A150" s="142" t="s">
        <v>97</v>
      </c>
      <c r="B150" s="143"/>
      <c r="C150" s="143"/>
      <c r="D150" s="82">
        <f>COUNTIFS(Calc!$P:$P,A147,Calc!$L:$L,A149,Calc!$O:$O,"ネット")</f>
        <v>0</v>
      </c>
      <c r="E150" s="73" t="s">
        <v>99</v>
      </c>
      <c r="F150" s="73">
        <f>COUNTIFS(Calc!$P:$P,A147,Calc!$L:$L,A149,Calc!$N:$N,E150)</f>
        <v>0</v>
      </c>
      <c r="G150" s="75" t="e">
        <f>F150/SUM(F150:F157)</f>
        <v>#DIV/0!</v>
      </c>
      <c r="H150" s="73">
        <f>COUNTIFS(Calc!$P:$P,A147,Calc!$L:$L,A149,Calc!$N:$N,E150,Calc!$F:$F,A149)</f>
        <v>0</v>
      </c>
      <c r="I150" s="73">
        <f>COUNTIFS(Calc!$P:$P,A147,Calc!$L:$L,A149,Calc!$N:$N,E150,Calc!$F:$F,A168)</f>
        <v>0</v>
      </c>
      <c r="K150" s="144" t="s">
        <v>81</v>
      </c>
      <c r="L150" s="145"/>
      <c r="M150" s="145"/>
      <c r="N150" s="83">
        <f>COUNTIFS(Calc!$P:$P,K147,Calc!$L:$L,K149,Calc!$O:$O,"ネット")</f>
        <v>0</v>
      </c>
      <c r="O150" s="74" t="s">
        <v>14</v>
      </c>
      <c r="P150" s="74">
        <f>COUNTIFS(Calc!$P:$P,K147,Calc!$L:$L,K149,Calc!$N:$N,O150)</f>
        <v>0</v>
      </c>
      <c r="Q150" s="76" t="e">
        <f>P150/SUM(P150:P157)</f>
        <v>#DIV/0!</v>
      </c>
      <c r="R150" s="74">
        <f>COUNTIFS(Calc!$P:$P,K147,Calc!$L:$L,K149,Calc!$N:$N,O150,Calc!$F:$F,K149)</f>
        <v>0</v>
      </c>
      <c r="S150" s="74">
        <f>COUNTIFS(Calc!$P:$P,K147,Calc!$L:$L,K149,Calc!$N:$N,O150,Calc!$F:$F,K168)</f>
        <v>0</v>
      </c>
    </row>
    <row r="151" spans="1:19" ht="18.600000000000001" thickTop="1" x14ac:dyDescent="0.45">
      <c r="A151" s="146" t="s">
        <v>114</v>
      </c>
      <c r="B151" s="147"/>
      <c r="C151" s="147"/>
      <c r="D151" s="109">
        <f>COUNTIFS(Calc!$P:$P,A147,Calc!$L:$L,A149,Calc!$O:$O,"ネットイン")</f>
        <v>0</v>
      </c>
      <c r="E151" s="73" t="s">
        <v>100</v>
      </c>
      <c r="F151" s="73">
        <f>COUNTIFS(Calc!$P:$P,A147,Calc!$L:$L,A149,Calc!$N:$N,E151)</f>
        <v>0</v>
      </c>
      <c r="G151" s="75" t="e">
        <f>F151/SUM(F150:F157)</f>
        <v>#DIV/0!</v>
      </c>
      <c r="H151" s="73">
        <f>COUNTIFS(Calc!$P:$P,A147,Calc!$L:$L,A149,Calc!$N:$N,E151,Calc!$F:$F,A149)</f>
        <v>0</v>
      </c>
      <c r="I151" s="73">
        <f>COUNTIFS(Calc!$P:$P,A147,Calc!$L:$L,A149,Calc!$N:$N,E151,Calc!$F:$F,A168)</f>
        <v>0</v>
      </c>
      <c r="K151" s="148" t="s">
        <v>176</v>
      </c>
      <c r="L151" s="149"/>
      <c r="M151" s="149"/>
      <c r="N151" s="110">
        <f>COUNTIFS(Calc!$P:$P,K147,Calc!$L:$L,K149,Calc!$O:$O,"ネットイン")</f>
        <v>0</v>
      </c>
      <c r="O151" s="74" t="s">
        <v>15</v>
      </c>
      <c r="P151" s="74">
        <f>COUNTIFS(Calc!$P:$P,K147,Calc!$L:$L,K149,Calc!$N:$N,O151)</f>
        <v>0</v>
      </c>
      <c r="Q151" s="76" t="e">
        <f>P151/SUM(P150:P157)</f>
        <v>#DIV/0!</v>
      </c>
      <c r="R151" s="74">
        <f>COUNTIFS(Calc!$P:$P,K147,Calc!$L:$L,K149,Calc!$N:$N,O151,Calc!$F:$F,K149)</f>
        <v>0</v>
      </c>
      <c r="S151" s="74">
        <f>COUNTIFS(Calc!$P:$P,K147,Calc!$L:$L,K149,Calc!$N:$N,O151,Calc!$F:$F,K168)</f>
        <v>0</v>
      </c>
    </row>
    <row r="152" spans="1:19" x14ac:dyDescent="0.45">
      <c r="A152" s="134">
        <f>COUNTIFS(Calc!$P:$P,A147,Calc!$L:$L,A149,Calc!$O:$O,IF(E168="R","BS","FS"))</f>
        <v>0</v>
      </c>
      <c r="B152" s="134">
        <f>COUNTIFS(Calc!$P:$P,A147,Calc!$L:$L,A149,Calc!$O:$O,IF(E168="R","BMS","FMS"))</f>
        <v>0</v>
      </c>
      <c r="C152" s="134">
        <f>COUNTIFS(Calc!$P:$P,A147,Calc!$L:$L,A149,Calc!$O:$O,IF(E168="R","FMS","BMS"))</f>
        <v>0</v>
      </c>
      <c r="D152" s="134">
        <f>COUNTIFS(Calc!$P:$P,A147,Calc!$L:$L,A149,Calc!$O:$O,IF(E168="R","FS","BS"))</f>
        <v>0</v>
      </c>
      <c r="E152" s="73" t="s">
        <v>101</v>
      </c>
      <c r="F152" s="73">
        <f>COUNTIFS(Calc!$P:$P,A147,Calc!$L:$L,A149,Calc!$N:$N,E152)</f>
        <v>0</v>
      </c>
      <c r="G152" s="75" t="e">
        <f>F152/SUM(F150:F157)</f>
        <v>#DIV/0!</v>
      </c>
      <c r="H152" s="73">
        <f>COUNTIFS(Calc!$P:$P,A147,Calc!$L:$L,A149,Calc!$N:$N,E152,Calc!$F:$F,A149)</f>
        <v>0</v>
      </c>
      <c r="I152" s="73">
        <f>COUNTIFS(Calc!$P:$P,A147,Calc!$L:$L,A149,Calc!$N:$N,E152,Calc!$F:$F,A168)</f>
        <v>0</v>
      </c>
      <c r="K152" s="150">
        <f>COUNTIFS(Calc!$P:$P,K147,Calc!$L:$L,K149,Calc!$O:$O,IF(O168="R","BS","FS"))</f>
        <v>0</v>
      </c>
      <c r="L152" s="150">
        <f>COUNTIFS(Calc!$P:$P,K147,Calc!$L:$L,K149,Calc!$O:$O,IF(O168="R","BMS","FMS"))</f>
        <v>0</v>
      </c>
      <c r="M152" s="150">
        <f>COUNTIFS(Calc!$P:$P,K147,Calc!$L:$L,K149,Calc!$O:$O,IF(O168="R","FMS","BMS"))</f>
        <v>0</v>
      </c>
      <c r="N152" s="150">
        <f>COUNTIFS(Calc!$P:$P,K147,Calc!$L:$L,K149,Calc!$O:$O,IF(O168="R","FS","BS"))</f>
        <v>0</v>
      </c>
      <c r="O152" s="74" t="s">
        <v>17</v>
      </c>
      <c r="P152" s="74">
        <f>COUNTIFS(Calc!$P:$P,K147,Calc!$L:$L,K149,Calc!$N:$N,O152)</f>
        <v>0</v>
      </c>
      <c r="Q152" s="76" t="e">
        <f>P152/SUM(P150:P157)</f>
        <v>#DIV/0!</v>
      </c>
      <c r="R152" s="74">
        <f>COUNTIFS(Calc!$P:$P,K147,Calc!$L:$L,K149,Calc!$N:$N,O152,Calc!$F:$F,K149)</f>
        <v>0</v>
      </c>
      <c r="S152" s="74">
        <f>COUNTIFS(Calc!$P:$P,K147,Calc!$L:$L,K149,Calc!$N:$N,O152,Calc!$F:$F,K168)</f>
        <v>0</v>
      </c>
    </row>
    <row r="153" spans="1:19" x14ac:dyDescent="0.45">
      <c r="A153" s="134"/>
      <c r="B153" s="134"/>
      <c r="C153" s="134"/>
      <c r="D153" s="134"/>
      <c r="E153" s="73" t="s">
        <v>102</v>
      </c>
      <c r="F153" s="73">
        <f>COUNTIFS(Calc!$P:$P,A147,Calc!$L:$L,A149,Calc!$N:$N,E153)</f>
        <v>0</v>
      </c>
      <c r="G153" s="75" t="e">
        <f>F153/SUM(F150:F157)</f>
        <v>#DIV/0!</v>
      </c>
      <c r="H153" s="73">
        <f>COUNTIFS(Calc!$P:$P,A147,Calc!$L:$L,A149,Calc!$N:$N,E153,Calc!$F:$F,A149)</f>
        <v>0</v>
      </c>
      <c r="I153" s="73">
        <f>COUNTIFS(Calc!$P:$P,A147,Calc!$L:$L,A149,Calc!$N:$N,E153,Calc!$F:$F,A168)</f>
        <v>0</v>
      </c>
      <c r="K153" s="136"/>
      <c r="L153" s="136"/>
      <c r="M153" s="136"/>
      <c r="N153" s="136"/>
      <c r="O153" s="74" t="s">
        <v>16</v>
      </c>
      <c r="P153" s="74">
        <f>COUNTIFS(Calc!$P:$P,K147,Calc!$L:$L,K149,Calc!$N:$N,O153)</f>
        <v>0</v>
      </c>
      <c r="Q153" s="76" t="e">
        <f>P153/SUM(P150:P157)</f>
        <v>#DIV/0!</v>
      </c>
      <c r="R153" s="74">
        <f>COUNTIFS(Calc!$P:$P,K147,Calc!$L:$L,K149,Calc!$N:$N,O153,Calc!$F:$F,K149)</f>
        <v>0</v>
      </c>
      <c r="S153" s="74">
        <f>COUNTIFS(Calc!$P:$P,K147,Calc!$L:$L,K149,Calc!$N:$N,O153,Calc!$F:$F,K168)</f>
        <v>0</v>
      </c>
    </row>
    <row r="154" spans="1:19" x14ac:dyDescent="0.45">
      <c r="A154" s="134">
        <f>COUNTIFS(Calc!$P:$P,A147,Calc!$L:$L,A149,Calc!$O:$O,IF(E168="R","B","F"))</f>
        <v>0</v>
      </c>
      <c r="B154" s="134">
        <f>COUNTIFS(Calc!$P:$P,A147,Calc!$L:$L,A149,Calc!$O:$O,IF(E168="R","BM","FM"))</f>
        <v>0</v>
      </c>
      <c r="C154" s="134">
        <f>COUNTIFS(Calc!$P:$P,A147,Calc!$L:$L,A149,Calc!$O:$O,IF(E168="R","FM","BM"))</f>
        <v>0</v>
      </c>
      <c r="D154" s="134">
        <f>COUNTIFS(Calc!$P:$P,A147,Calc!$L:$L,A149,Calc!$O:$O,IF(E168="R","F","B"))</f>
        <v>0</v>
      </c>
      <c r="E154" s="73" t="s">
        <v>104</v>
      </c>
      <c r="F154" s="73">
        <f>COUNTIFS(Calc!$P:$P,A147,Calc!$L:$L,A149,Calc!$N:$N,E154)</f>
        <v>0</v>
      </c>
      <c r="G154" s="75" t="e">
        <f>F154/SUM(F150:F157)</f>
        <v>#DIV/0!</v>
      </c>
      <c r="H154" s="73">
        <f>COUNTIFS(Calc!$P:$P,A147,Calc!$L:$L,A149,Calc!$N:$N,E154,Calc!$F:$F,A149)</f>
        <v>0</v>
      </c>
      <c r="I154" s="73">
        <f>COUNTIFS(Calc!$P:$P,A147,Calc!$L:$L,A149,Calc!$N:$N,E154,Calc!$F:$F,A168)</f>
        <v>0</v>
      </c>
      <c r="K154" s="135">
        <f>COUNTIFS(Calc!$P:$P,K147,Calc!$L:$L,K149,Calc!$O:$O,IF(O168="R","B","F"))</f>
        <v>0</v>
      </c>
      <c r="L154" s="135">
        <f>COUNTIFS(Calc!$P:$P,K147,Calc!$L:$L,K149,Calc!$O:$O,IF(O168="R","BM","FM"))</f>
        <v>0</v>
      </c>
      <c r="M154" s="135">
        <f>COUNTIFS(Calc!$P:$P,K147,Calc!$L:$L,K149,Calc!$O:$O,IF(O168="R","FM","BM"))</f>
        <v>0</v>
      </c>
      <c r="N154" s="135">
        <f>COUNTIFS(Calc!$P:$P,K147,Calc!$L:$L,K149,Calc!$O:$O,IF(O168="R","F","B"))</f>
        <v>0</v>
      </c>
      <c r="O154" s="74" t="s">
        <v>103</v>
      </c>
      <c r="P154" s="74">
        <f>COUNTIFS(Calc!$P:$P,K147,Calc!$L:$L,K149,Calc!$N:$N,O154)</f>
        <v>0</v>
      </c>
      <c r="Q154" s="76" t="e">
        <f>P154/SUM(P150:P157)</f>
        <v>#DIV/0!</v>
      </c>
      <c r="R154" s="74">
        <f>COUNTIFS(Calc!$P:$P,K147,Calc!$L:$L,K149,Calc!$N:$N,O154,Calc!$F:$F,K149)</f>
        <v>0</v>
      </c>
      <c r="S154" s="74">
        <f>COUNTIFS(Calc!$P:$P,K147,Calc!$L:$L,K149,Calc!$N:$N,O154,Calc!$F:$F,K168)</f>
        <v>0</v>
      </c>
    </row>
    <row r="155" spans="1:19" x14ac:dyDescent="0.45">
      <c r="A155" s="134"/>
      <c r="B155" s="134"/>
      <c r="C155" s="134"/>
      <c r="D155" s="134"/>
      <c r="E155" s="73" t="s">
        <v>105</v>
      </c>
      <c r="F155" s="73">
        <f>COUNTIFS(Calc!$P:$P,A147,Calc!$L:$L,A149,Calc!$N:$N,E155)</f>
        <v>0</v>
      </c>
      <c r="G155" s="75" t="e">
        <f>F155/SUM(F150:F157)</f>
        <v>#DIV/0!</v>
      </c>
      <c r="H155" s="73">
        <f>COUNTIFS(Calc!$P:$P,A147,Calc!$L:$L,A149,Calc!$N:$N,E155,Calc!$F:$F,A149)</f>
        <v>0</v>
      </c>
      <c r="I155" s="73">
        <f>COUNTIFS(Calc!$P:$P,A147,Calc!$L:$L,A149,Calc!$N:$N,E155,Calc!$F:$F,A168)</f>
        <v>0</v>
      </c>
      <c r="K155" s="136"/>
      <c r="L155" s="136"/>
      <c r="M155" s="136"/>
      <c r="N155" s="136"/>
      <c r="O155" s="74" t="s">
        <v>82</v>
      </c>
      <c r="P155" s="74">
        <f>COUNTIFS(Calc!$P:$P,K147,Calc!$L:$L,K149,Calc!$N:$N,O155)</f>
        <v>0</v>
      </c>
      <c r="Q155" s="76" t="e">
        <f>P155/SUM(P150:P157)</f>
        <v>#DIV/0!</v>
      </c>
      <c r="R155" s="74">
        <f>COUNTIFS(Calc!$P:$P,K147,Calc!$L:$L,K149,Calc!$N:$N,O155,Calc!$F:$F,K149)</f>
        <v>0</v>
      </c>
      <c r="S155" s="74">
        <f>COUNTIFS(Calc!$P:$P,K147,Calc!$L:$L,K149,Calc!$N:$N,O155,Calc!$F:$F,K168)</f>
        <v>0</v>
      </c>
    </row>
    <row r="156" spans="1:19" x14ac:dyDescent="0.45">
      <c r="A156" s="137" t="s">
        <v>98</v>
      </c>
      <c r="B156" s="137"/>
      <c r="C156" s="137"/>
      <c r="D156" s="137"/>
      <c r="E156" s="73" t="s">
        <v>106</v>
      </c>
      <c r="F156" s="73">
        <f>COUNTIFS(Calc!$P:$P,A147,Calc!$L:$L,A149,Calc!$N:$N,E156)</f>
        <v>0</v>
      </c>
      <c r="G156" s="75" t="e">
        <f>F156/SUM(F150:F157)</f>
        <v>#DIV/0!</v>
      </c>
      <c r="H156" s="73">
        <f>COUNTIFS(Calc!$P:$P,A147,Calc!$L:$L,A149,Calc!$N:$N,E156,Calc!$F:$F,A149)</f>
        <v>0</v>
      </c>
      <c r="I156" s="73">
        <f>COUNTIFS(Calc!$P:$P,A147,Calc!$L:$L,A149,Calc!$N:$N,E156,Calc!$F:$F,A168)</f>
        <v>0</v>
      </c>
      <c r="K156" s="138" t="s">
        <v>80</v>
      </c>
      <c r="L156" s="138"/>
      <c r="M156" s="138"/>
      <c r="N156" s="138"/>
      <c r="O156" s="74" t="s">
        <v>83</v>
      </c>
      <c r="P156" s="74">
        <f>COUNTIFS(Calc!$P:$P,K147,Calc!$L:$L,K149,Calc!$N:$N,O156)</f>
        <v>0</v>
      </c>
      <c r="Q156" s="76" t="e">
        <f>P156/SUM(P150:P157)</f>
        <v>#DIV/0!</v>
      </c>
      <c r="R156" s="74">
        <f>COUNTIFS(Calc!$P:$P,K147,Calc!$L:$L,K149,Calc!$N:$N,O156,Calc!$F:$F,K149)</f>
        <v>0</v>
      </c>
      <c r="S156" s="74">
        <f>COUNTIFS(Calc!$P:$P,K147,Calc!$L:$L,K149,Calc!$N:$N,O156,Calc!$F:$F,K168)</f>
        <v>0</v>
      </c>
    </row>
    <row r="157" spans="1:19" x14ac:dyDescent="0.45">
      <c r="A157" s="132">
        <f>COUNTIFS(Calc!$P:$P,A147,Calc!$L:$L,A149,Calc!$O:$O,"オーバーミス")</f>
        <v>0</v>
      </c>
      <c r="B157" s="132"/>
      <c r="C157" s="132"/>
      <c r="D157" s="132"/>
      <c r="E157" s="73" t="s">
        <v>108</v>
      </c>
      <c r="F157" s="73">
        <f>COUNTIFS(Calc!$P:$P,A147,Calc!$L:$L,A149,Calc!$N:$N,E157)</f>
        <v>0</v>
      </c>
      <c r="G157" s="75" t="e">
        <f>F157/SUM(F150:F157)</f>
        <v>#DIV/0!</v>
      </c>
      <c r="H157" s="73">
        <f>COUNTIFS(Calc!$P:$P,A147,Calc!$L:$L,A149,Calc!$N:$N,E157,Calc!$F:$F,A149)</f>
        <v>0</v>
      </c>
      <c r="I157" s="73">
        <f>COUNTIFS(Calc!$P:$P,A147,Calc!$L:$L,A149,Calc!$N:$N,E157,Calc!$F:$F,A168)</f>
        <v>0</v>
      </c>
      <c r="K157" s="133">
        <f>COUNTIFS(Calc!$P:$P,K147,Calc!$L:$L,K149,Calc!$O:$O,"オーバーミス")</f>
        <v>0</v>
      </c>
      <c r="L157" s="133"/>
      <c r="M157" s="133"/>
      <c r="N157" s="133"/>
      <c r="O157" s="74" t="s">
        <v>107</v>
      </c>
      <c r="P157" s="74">
        <f>COUNTIFS(Calc!$P:$P,K147,Calc!$L:$L,K149,Calc!$N:$N,O157)</f>
        <v>0</v>
      </c>
      <c r="Q157" s="76" t="e">
        <f>P157/SUM(P150:P157)</f>
        <v>#DIV/0!</v>
      </c>
      <c r="R157" s="74">
        <f>COUNTIFS(Calc!$P:$P,K147,Calc!$L:$L,K149,Calc!$N:$N,O157,Calc!$F:$F,K149)</f>
        <v>0</v>
      </c>
      <c r="S157" s="74">
        <f>COUNTIFS(Calc!$P:$P,K147,Calc!$L:$L,K149,Calc!$N:$N,O157,Calc!$F:$F,K168)</f>
        <v>0</v>
      </c>
    </row>
    <row r="158" spans="1:19" x14ac:dyDescent="0.45">
      <c r="A158" s="103"/>
      <c r="B158" s="103"/>
      <c r="C158" s="103"/>
      <c r="D158" s="103"/>
      <c r="E158" s="73"/>
      <c r="F158" s="73"/>
      <c r="G158" s="75"/>
      <c r="H158" s="73"/>
      <c r="I158" s="73"/>
      <c r="K158" s="104"/>
      <c r="L158" s="104"/>
      <c r="M158" s="104"/>
      <c r="N158" s="104"/>
      <c r="O158" s="74"/>
      <c r="P158" s="74"/>
      <c r="Q158" s="76"/>
      <c r="R158" s="74"/>
      <c r="S158" s="74"/>
    </row>
    <row r="159" spans="1:19" x14ac:dyDescent="0.45">
      <c r="A159" s="68" t="s">
        <v>140</v>
      </c>
      <c r="K159" s="68" t="s">
        <v>140</v>
      </c>
    </row>
    <row r="160" spans="1:19" x14ac:dyDescent="0.45">
      <c r="A160" s="164">
        <f>COUNTIFS(Calc!$P:$P,A147,Calc!$H:$H,A168,Calc!$K:$K,IF(E149="R","F","B"))</f>
        <v>0</v>
      </c>
      <c r="B160" s="164">
        <f>COUNTIFS(Calc!$P:$P,A147,Calc!$H:$H,A168,Calc!$K:$K,IF(E149="R","FM","BM"))</f>
        <v>0</v>
      </c>
      <c r="C160" s="164">
        <f>COUNTIFS(Calc!$P:$P,A147,Calc!$H:$H,A168,Calc!$K:$K,IF(E149="R","BM","FM"))</f>
        <v>0</v>
      </c>
      <c r="D160" s="164">
        <f>COUNTIFS(Calc!$P:$P,A147,Calc!$H:$H,A168,Calc!$K:$K,IF(E149="R","B","F"))</f>
        <v>0</v>
      </c>
      <c r="E160" s="74"/>
      <c r="F160" s="74"/>
      <c r="G160" s="76"/>
      <c r="H160" s="74"/>
      <c r="I160" s="74"/>
      <c r="K160" s="134">
        <f>COUNTIFS(Calc!$P:$P,K147,Calc!$H:$H,K168,Calc!$K:$K,IF(O149="R","F","B"))</f>
        <v>0</v>
      </c>
      <c r="L160" s="134">
        <f>COUNTIFS(Calc!$P:$P,K147,Calc!$H:$H,K168,Calc!$K:$K,IF(O149="R","FM","BM"))</f>
        <v>0</v>
      </c>
      <c r="M160" s="134">
        <f>COUNTIFS(Calc!$P:$P,K147,Calc!$H:$H,K168,Calc!$K:$K,IF(O149="R","BM","FM"))</f>
        <v>0</v>
      </c>
      <c r="N160" s="134">
        <f>COUNTIFS(Calc!$P:$P,K147,Calc!$H:$H,K168,Calc!$K:$K,IF(O149="R","B","F"))</f>
        <v>0</v>
      </c>
      <c r="O160" s="73"/>
      <c r="P160" s="73"/>
      <c r="Q160" s="75"/>
      <c r="R160" s="73"/>
      <c r="S160" s="73"/>
    </row>
    <row r="161" spans="1:19" x14ac:dyDescent="0.45">
      <c r="A161" s="164"/>
      <c r="B161" s="164"/>
      <c r="C161" s="164"/>
      <c r="D161" s="164"/>
      <c r="E161" s="74"/>
      <c r="F161" s="74"/>
      <c r="G161" s="76"/>
      <c r="H161" s="74"/>
      <c r="I161" s="74"/>
      <c r="K161" s="134"/>
      <c r="L161" s="134"/>
      <c r="M161" s="134"/>
      <c r="N161" s="134"/>
      <c r="O161" s="73"/>
      <c r="P161" s="73"/>
      <c r="Q161" s="75"/>
      <c r="R161" s="73"/>
      <c r="S161" s="73"/>
    </row>
    <row r="162" spans="1:19" ht="18.600000000000001" thickBot="1" x14ac:dyDescent="0.5">
      <c r="A162" s="157">
        <f>COUNTIFS(Calc!$P:$P,A147,Calc!$H:$H,A168,Calc!$K:$K,IF(E149="R","FS","BS"))</f>
        <v>0</v>
      </c>
      <c r="B162" s="157">
        <f>COUNTIFS(Calc!$P:$P,A147,Calc!$H:$H,A168,Calc!$K:$K,IF(E149="R","FMS","BMS"))</f>
        <v>0</v>
      </c>
      <c r="C162" s="157">
        <f>COUNTIFS(Calc!$P:$P,A147,Calc!$H:$H,A168,Calc!$K:$K,IF(E149="R","BMS","FMS"))</f>
        <v>0</v>
      </c>
      <c r="D162" s="157">
        <f>COUNTIFS(Calc!$P:$P,A147,Calc!$H:$H,A168,Calc!$K:$K,IF(E149="R","BS","FS"))</f>
        <v>0</v>
      </c>
      <c r="E162" s="74"/>
      <c r="F162" s="74"/>
      <c r="G162" s="76"/>
      <c r="H162" s="74"/>
      <c r="I162" s="74"/>
      <c r="K162" s="159">
        <f>COUNTIFS(Calc!$P:$P,K147,Calc!$H:$H,K168,Calc!$K:$K,IF(O149="R","FS","BS"))</f>
        <v>0</v>
      </c>
      <c r="L162" s="159">
        <f>COUNTIFS(Calc!$P:$P,K147,Calc!$H:$H,K168,Calc!$K:$K,IF(O149="R","FMS","BMS"))</f>
        <v>0</v>
      </c>
      <c r="M162" s="159">
        <f>COUNTIFS(Calc!$P:$P,K147,Calc!$H:$H,K168,Calc!$K:$K,IF(O149="R","BMS","FMS"))</f>
        <v>0</v>
      </c>
      <c r="N162" s="159">
        <f>COUNTIFS(Calc!$P:$P,K147,Calc!$H:$H,K168,Calc!$K:$K,IF(O149="R","BS","FS"))</f>
        <v>0</v>
      </c>
      <c r="O162" s="73"/>
      <c r="P162" s="73"/>
      <c r="Q162" s="75"/>
      <c r="R162" s="73"/>
      <c r="S162" s="73"/>
    </row>
    <row r="163" spans="1:19" ht="19.2" thickTop="1" thickBot="1" x14ac:dyDescent="0.5">
      <c r="A163" s="158"/>
      <c r="B163" s="158"/>
      <c r="C163" s="158"/>
      <c r="D163" s="158"/>
      <c r="E163" s="74"/>
      <c r="F163" s="74"/>
      <c r="G163" s="76"/>
      <c r="H163" s="74"/>
      <c r="I163" s="74"/>
      <c r="K163" s="160"/>
      <c r="L163" s="160"/>
      <c r="M163" s="160"/>
      <c r="N163" s="160"/>
      <c r="O163" s="73"/>
      <c r="P163" s="73"/>
      <c r="Q163" s="75"/>
      <c r="R163" s="73"/>
      <c r="S163" s="73"/>
    </row>
    <row r="164" spans="1:19" ht="19.2" thickTop="1" thickBot="1" x14ac:dyDescent="0.5">
      <c r="A164" s="158">
        <f>COUNTIFS(Calc!$P:$P,A147,Calc!$H:$H,A168,Calc!$J:$J,IF(E168="R","B","F"))</f>
        <v>0</v>
      </c>
      <c r="B164" s="158"/>
      <c r="C164" s="158">
        <f>COUNTIFS(Calc!$P:$P,A147,Calc!$H:$H,A168,Calc!$J:$J,IF(E168="R","F","B"))</f>
        <v>0</v>
      </c>
      <c r="D164" s="158"/>
      <c r="E164" s="74"/>
      <c r="F164" s="74"/>
      <c r="G164" s="76"/>
      <c r="H164" s="74" t="s">
        <v>109</v>
      </c>
      <c r="I164" s="74" t="s">
        <v>110</v>
      </c>
      <c r="K164" s="160">
        <f>COUNTIFS(Calc!$P:$P,K147,Calc!$H:$H,K168,Calc!$J:$J,IF(O168="R","B","F"))</f>
        <v>0</v>
      </c>
      <c r="L164" s="160"/>
      <c r="M164" s="160">
        <f>COUNTIFS(Calc!$P:$P,K147,Calc!$H:$H,K168,Calc!$J:$J,IF(O168="R","F","B"))</f>
        <v>0</v>
      </c>
      <c r="N164" s="160"/>
      <c r="O164" s="73"/>
      <c r="P164" s="73"/>
      <c r="Q164" s="75"/>
      <c r="R164" s="73" t="s">
        <v>177</v>
      </c>
      <c r="S164" s="73" t="s">
        <v>178</v>
      </c>
    </row>
    <row r="165" spans="1:19" ht="19.2" thickTop="1" thickBot="1" x14ac:dyDescent="0.5">
      <c r="A165" s="158"/>
      <c r="B165" s="158"/>
      <c r="C165" s="158"/>
      <c r="D165" s="158"/>
      <c r="E165" s="74" t="s">
        <v>111</v>
      </c>
      <c r="F165" s="74">
        <f>COUNTIFS(Calc!$P:$P,A147,Calc!$H:$H,A168,Calc!$I:$I,E165)</f>
        <v>0</v>
      </c>
      <c r="G165" s="76" t="e">
        <f>F165/SUM(F165:F167)</f>
        <v>#DIV/0!</v>
      </c>
      <c r="H165" s="74">
        <f>COUNTIFS(Calc!$P:$P,A147,Calc!$H:$H,A168,Calc!$I:$I,E165,Calc!$F:$F,A168)</f>
        <v>0</v>
      </c>
      <c r="I165" s="74">
        <f>COUNTIFS(Calc!$P:$P,A147,Calc!$H:$H,A168,Calc!$I:$I,E165,Calc!$F:$F,A149)</f>
        <v>0</v>
      </c>
      <c r="K165" s="160"/>
      <c r="L165" s="160"/>
      <c r="M165" s="160"/>
      <c r="N165" s="160"/>
      <c r="O165" s="73" t="s">
        <v>174</v>
      </c>
      <c r="P165" s="73">
        <f>COUNTIFS(Calc!$P:$P,K147,Calc!$H:$H,K168,Calc!$I:$I,O165)</f>
        <v>0</v>
      </c>
      <c r="Q165" s="75" t="e">
        <f>P165/SUM(P165:P167)</f>
        <v>#DIV/0!</v>
      </c>
      <c r="R165" s="73">
        <f>COUNTIFS(Calc!$P:$P,K147,Calc!$H:$H,K168,Calc!$I:$I,O165,Calc!$F:$F,K168)</f>
        <v>0</v>
      </c>
      <c r="S165" s="73">
        <f>COUNTIFS(Calc!$P:$P,K147,Calc!$H:$H,K168,Calc!$I:$I,O165,Calc!$F:$F,K149)</f>
        <v>0</v>
      </c>
    </row>
    <row r="166" spans="1:19" ht="19.2" thickTop="1" thickBot="1" x14ac:dyDescent="0.5">
      <c r="A166" s="158"/>
      <c r="B166" s="158"/>
      <c r="C166" s="158"/>
      <c r="D166" s="158"/>
      <c r="E166" s="74" t="s">
        <v>112</v>
      </c>
      <c r="F166" s="74">
        <f>COUNTIFS(Calc!$P:$P,A147,Calc!$H:$H,A168,Calc!$I:$I,E166)</f>
        <v>0</v>
      </c>
      <c r="G166" s="76" t="e">
        <f>F166/SUM(F165:F167)</f>
        <v>#DIV/0!</v>
      </c>
      <c r="H166" s="74">
        <f>COUNTIFS(Calc!$P:$P,A147,Calc!$H:$H,A168,Calc!$I:$I,E166,Calc!$F:$F,A168)</f>
        <v>0</v>
      </c>
      <c r="I166" s="74">
        <f>COUNTIFS(Calc!$P:$P,A147,Calc!$H:$H,A168,Calc!$I:$I,E166,Calc!$F:$F,A149)</f>
        <v>0</v>
      </c>
      <c r="K166" s="160"/>
      <c r="L166" s="160"/>
      <c r="M166" s="160"/>
      <c r="N166" s="160"/>
      <c r="O166" s="73" t="s">
        <v>63</v>
      </c>
      <c r="P166" s="73">
        <f>COUNTIFS(Calc!$P:$P,K147,Calc!$H:$H,K168,Calc!$I:$I,O166)</f>
        <v>0</v>
      </c>
      <c r="Q166" s="75" t="e">
        <f>P166/SUM(P165:P167)</f>
        <v>#DIV/0!</v>
      </c>
      <c r="R166" s="73">
        <f>COUNTIFS(Calc!$P:$P,K147,Calc!$H:$H,K168,Calc!$I:$I,O166,Calc!$F:$F,K168)</f>
        <v>0</v>
      </c>
      <c r="S166" s="73">
        <f>COUNTIFS(Calc!$P:$P,K147,Calc!$H:$H,K168,Calc!$I:$I,O166,Calc!$F:$F,K149)</f>
        <v>0</v>
      </c>
    </row>
    <row r="167" spans="1:19" ht="18.600000000000001" thickTop="1" x14ac:dyDescent="0.45">
      <c r="A167" s="161"/>
      <c r="B167" s="161"/>
      <c r="C167" s="161"/>
      <c r="D167" s="161"/>
      <c r="E167" s="74" t="s">
        <v>113</v>
      </c>
      <c r="F167" s="74">
        <f>COUNTIFS(Calc!$P:$P,A147,Calc!$H:$H,A168,Calc!$I:$I,E167)</f>
        <v>0</v>
      </c>
      <c r="G167" s="76" t="e">
        <f>F167/SUM(F165:F167)</f>
        <v>#DIV/0!</v>
      </c>
      <c r="H167" s="74">
        <f>COUNTIFS(Calc!$P:$P,A147,Calc!$H:$H,A168,Calc!$I:$I,E167,Calc!$F:$F,A168)</f>
        <v>0</v>
      </c>
      <c r="I167" s="74">
        <f>COUNTIFS(Calc!$P:$P,A147,Calc!$H:$H,A168,Calc!$I:$I,E167,Calc!$F:$F,A149)</f>
        <v>0</v>
      </c>
      <c r="K167" s="162"/>
      <c r="L167" s="162"/>
      <c r="M167" s="162"/>
      <c r="N167" s="162"/>
      <c r="O167" s="73" t="s">
        <v>61</v>
      </c>
      <c r="P167" s="73">
        <f>COUNTIFS(Calc!$P:$P,K147,Calc!$H:$H,K168,Calc!$I:$I,O167)</f>
        <v>0</v>
      </c>
      <c r="Q167" s="75" t="e">
        <f>P167/SUM(P165:P167)</f>
        <v>#DIV/0!</v>
      </c>
      <c r="R167" s="73">
        <f>COUNTIFS(Calc!$P:$P,K147,Calc!$H:$H,K168,Calc!$I:$I,O167,Calc!$F:$F,K168)</f>
        <v>0</v>
      </c>
      <c r="S167" s="73">
        <f>COUNTIFS(Calc!$P:$P,K147,Calc!$H:$H,K168,Calc!$I:$I,O167,Calc!$F:$F,K149)</f>
        <v>0</v>
      </c>
    </row>
    <row r="168" spans="1:19" x14ac:dyDescent="0.45">
      <c r="A168" s="155" t="str">
        <f>Main!$D$12</f>
        <v>NAMBA Yurika</v>
      </c>
      <c r="B168" s="156"/>
      <c r="C168" s="156"/>
      <c r="D168" s="156"/>
      <c r="E168" s="72" t="str">
        <f>Main!$F$12</f>
        <v>R</v>
      </c>
      <c r="F168" s="79"/>
      <c r="G168" s="80"/>
      <c r="K168" s="155" t="str">
        <f>Main!$D$8</f>
        <v>HIRANO Miu</v>
      </c>
      <c r="L168" s="156"/>
      <c r="M168" s="156"/>
      <c r="N168" s="156"/>
      <c r="O168" s="72" t="str">
        <f>Main!$F$8</f>
        <v>R</v>
      </c>
      <c r="P168" s="79"/>
      <c r="Q168" s="80"/>
    </row>
    <row r="172" spans="1:19" x14ac:dyDescent="0.45">
      <c r="A172" s="139" t="s">
        <v>160</v>
      </c>
      <c r="B172" s="139"/>
      <c r="C172" s="139"/>
      <c r="D172" s="139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</row>
    <row r="173" spans="1:19" x14ac:dyDescent="0.45">
      <c r="A173" s="119">
        <v>6</v>
      </c>
      <c r="K173" s="119">
        <v>6</v>
      </c>
    </row>
    <row r="174" spans="1:19" x14ac:dyDescent="0.45">
      <c r="A174" s="68" t="s">
        <v>139</v>
      </c>
      <c r="K174" s="68" t="s">
        <v>139</v>
      </c>
    </row>
    <row r="175" spans="1:19" x14ac:dyDescent="0.45">
      <c r="A175" s="140" t="str">
        <f>Main!$D$8</f>
        <v>HIRANO Miu</v>
      </c>
      <c r="B175" s="141"/>
      <c r="C175" s="141"/>
      <c r="D175" s="141"/>
      <c r="E175" s="72" t="str">
        <f>Main!$F$8</f>
        <v>R</v>
      </c>
      <c r="F175" s="79"/>
      <c r="G175" s="80"/>
      <c r="H175" s="73" t="s">
        <v>109</v>
      </c>
      <c r="I175" s="73" t="s">
        <v>110</v>
      </c>
      <c r="K175" s="140" t="str">
        <f>Main!$D$12</f>
        <v>NAMBA Yurika</v>
      </c>
      <c r="L175" s="141"/>
      <c r="M175" s="141"/>
      <c r="N175" s="141"/>
      <c r="O175" s="72" t="str">
        <f>Main!$F$12</f>
        <v>R</v>
      </c>
      <c r="P175" s="79"/>
      <c r="Q175" s="80"/>
      <c r="R175" s="74" t="s">
        <v>109</v>
      </c>
      <c r="S175" s="74" t="s">
        <v>110</v>
      </c>
    </row>
    <row r="176" spans="1:19" ht="18.600000000000001" thickBot="1" x14ac:dyDescent="0.5">
      <c r="A176" s="142" t="s">
        <v>97</v>
      </c>
      <c r="B176" s="143"/>
      <c r="C176" s="143"/>
      <c r="D176" s="82">
        <f>COUNTIFS(Calc!$P:$P,A173,Calc!$L:$L,A175,Calc!$O:$O,"ネット")</f>
        <v>0</v>
      </c>
      <c r="E176" s="73" t="s">
        <v>99</v>
      </c>
      <c r="F176" s="73">
        <f>COUNTIFS(Calc!$P:$P,A173,Calc!$L:$L,A175,Calc!$N:$N,E176)</f>
        <v>0</v>
      </c>
      <c r="G176" s="75" t="e">
        <f>F176/SUM(F176:F183)</f>
        <v>#DIV/0!</v>
      </c>
      <c r="H176" s="73">
        <f>COUNTIFS(Calc!$P:$P,A173,Calc!$L:$L,A175,Calc!$N:$N,E176,Calc!$F:$F,A175)</f>
        <v>0</v>
      </c>
      <c r="I176" s="73">
        <f>COUNTIFS(Calc!$P:$P,A173,Calc!$L:$L,A175,Calc!$N:$N,E176,Calc!$F:$F,A194)</f>
        <v>0</v>
      </c>
      <c r="K176" s="144" t="s">
        <v>81</v>
      </c>
      <c r="L176" s="145"/>
      <c r="M176" s="145"/>
      <c r="N176" s="83">
        <f>COUNTIFS(Calc!$P:$P,K173,Calc!$L:$L,K175,Calc!$O:$O,"ネット")</f>
        <v>0</v>
      </c>
      <c r="O176" s="74" t="s">
        <v>14</v>
      </c>
      <c r="P176" s="74">
        <f>COUNTIFS(Calc!$P:$P,K173,Calc!$L:$L,K175,Calc!$N:$N,O176)</f>
        <v>0</v>
      </c>
      <c r="Q176" s="76" t="e">
        <f>P176/SUM(P176:P183)</f>
        <v>#DIV/0!</v>
      </c>
      <c r="R176" s="74">
        <f>COUNTIFS(Calc!$P:$P,K173,Calc!$L:$L,K175,Calc!$N:$N,O176,Calc!$F:$F,K175)</f>
        <v>0</v>
      </c>
      <c r="S176" s="74">
        <f>COUNTIFS(Calc!$P:$P,K173,Calc!$L:$L,K175,Calc!$N:$N,O176,Calc!$F:$F,K194)</f>
        <v>0</v>
      </c>
    </row>
    <row r="177" spans="1:19" ht="18.600000000000001" thickTop="1" x14ac:dyDescent="0.45">
      <c r="A177" s="146" t="s">
        <v>114</v>
      </c>
      <c r="B177" s="147"/>
      <c r="C177" s="147"/>
      <c r="D177" s="109">
        <f>COUNTIFS(Calc!$P:$P,A173,Calc!$L:$L,A175,Calc!$O:$O,"ネットイン")</f>
        <v>0</v>
      </c>
      <c r="E177" s="73" t="s">
        <v>100</v>
      </c>
      <c r="F177" s="73">
        <f>COUNTIFS(Calc!$P:$P,A173,Calc!$L:$L,A175,Calc!$N:$N,E177)</f>
        <v>0</v>
      </c>
      <c r="G177" s="75" t="e">
        <f>F177/SUM(F176:F183)</f>
        <v>#DIV/0!</v>
      </c>
      <c r="H177" s="73">
        <f>COUNTIFS(Calc!$P:$P,A173,Calc!$L:$L,A175,Calc!$N:$N,E177,Calc!$F:$F,A175)</f>
        <v>0</v>
      </c>
      <c r="I177" s="73">
        <f>COUNTIFS(Calc!$P:$P,A173,Calc!$L:$L,A175,Calc!$N:$N,E177,Calc!$F:$F,A194)</f>
        <v>0</v>
      </c>
      <c r="K177" s="148" t="s">
        <v>176</v>
      </c>
      <c r="L177" s="149"/>
      <c r="M177" s="149"/>
      <c r="N177" s="110">
        <f>COUNTIFS(Calc!$P:$P,K173,Calc!$L:$L,K175,Calc!$O:$O,"ネットイン")</f>
        <v>0</v>
      </c>
      <c r="O177" s="74" t="s">
        <v>15</v>
      </c>
      <c r="P177" s="74">
        <f>COUNTIFS(Calc!$P:$P,K173,Calc!$L:$L,K175,Calc!$N:$N,O177)</f>
        <v>0</v>
      </c>
      <c r="Q177" s="76" t="e">
        <f>P177/SUM(P176:P183)</f>
        <v>#DIV/0!</v>
      </c>
      <c r="R177" s="74">
        <f>COUNTIFS(Calc!$P:$P,K173,Calc!$L:$L,K175,Calc!$N:$N,O177,Calc!$F:$F,K175)</f>
        <v>0</v>
      </c>
      <c r="S177" s="74">
        <f>COUNTIFS(Calc!$P:$P,K173,Calc!$L:$L,K175,Calc!$N:$N,O177,Calc!$F:$F,K194)</f>
        <v>0</v>
      </c>
    </row>
    <row r="178" spans="1:19" x14ac:dyDescent="0.45">
      <c r="A178" s="134">
        <f>COUNTIFS(Calc!$P:$P,A173,Calc!$L:$L,A175,Calc!$O:$O,IF(E194="R","BS","FS"))</f>
        <v>0</v>
      </c>
      <c r="B178" s="134">
        <f>COUNTIFS(Calc!$P:$P,A173,Calc!$L:$L,A175,Calc!$O:$O,IF(E194="R","BMS","FMS"))</f>
        <v>0</v>
      </c>
      <c r="C178" s="134">
        <f>COUNTIFS(Calc!$P:$P,A173,Calc!$L:$L,A175,Calc!$O:$O,IF(E194="R","FMS","BMS"))</f>
        <v>0</v>
      </c>
      <c r="D178" s="134">
        <f>COUNTIFS(Calc!$P:$P,A173,Calc!$L:$L,A175,Calc!$O:$O,IF(E194="R","FS","BS"))</f>
        <v>0</v>
      </c>
      <c r="E178" s="73" t="s">
        <v>101</v>
      </c>
      <c r="F178" s="73">
        <f>COUNTIFS(Calc!$P:$P,A173,Calc!$L:$L,A175,Calc!$N:$N,E178)</f>
        <v>0</v>
      </c>
      <c r="G178" s="75" t="e">
        <f>F178/SUM(F176:F183)</f>
        <v>#DIV/0!</v>
      </c>
      <c r="H178" s="73">
        <f>COUNTIFS(Calc!$P:$P,A173,Calc!$L:$L,A175,Calc!$N:$N,E178,Calc!$F:$F,A175)</f>
        <v>0</v>
      </c>
      <c r="I178" s="73">
        <f>COUNTIFS(Calc!$P:$P,A173,Calc!$L:$L,A175,Calc!$N:$N,E178,Calc!$F:$F,A194)</f>
        <v>0</v>
      </c>
      <c r="K178" s="150">
        <f>COUNTIFS(Calc!$P:$P,K173,Calc!$L:$L,K175,Calc!$O:$O,IF(O194="R","BS","FS"))</f>
        <v>0</v>
      </c>
      <c r="L178" s="150">
        <f>COUNTIFS(Calc!$P:$P,K173,Calc!$L:$L,K175,Calc!$O:$O,IF(O194="R","BMS","FMS"))</f>
        <v>0</v>
      </c>
      <c r="M178" s="150">
        <f>COUNTIFS(Calc!$P:$P,K173,Calc!$L:$L,K175,Calc!$O:$O,IF(O194="R","FMS","BMS"))</f>
        <v>0</v>
      </c>
      <c r="N178" s="150">
        <f>COUNTIFS(Calc!$P:$P,K173,Calc!$L:$L,K175,Calc!$O:$O,IF(O194="R","FS","BS"))</f>
        <v>0</v>
      </c>
      <c r="O178" s="74" t="s">
        <v>17</v>
      </c>
      <c r="P178" s="74">
        <f>COUNTIFS(Calc!$P:$P,K173,Calc!$L:$L,K175,Calc!$N:$N,O178)</f>
        <v>0</v>
      </c>
      <c r="Q178" s="76" t="e">
        <f>P178/SUM(P176:P183)</f>
        <v>#DIV/0!</v>
      </c>
      <c r="R178" s="74">
        <f>COUNTIFS(Calc!$P:$P,K173,Calc!$L:$L,K175,Calc!$N:$N,O178,Calc!$F:$F,K175)</f>
        <v>0</v>
      </c>
      <c r="S178" s="74">
        <f>COUNTIFS(Calc!$P:$P,K173,Calc!$L:$L,K175,Calc!$N:$N,O178,Calc!$F:$F,K194)</f>
        <v>0</v>
      </c>
    </row>
    <row r="179" spans="1:19" x14ac:dyDescent="0.45">
      <c r="A179" s="134"/>
      <c r="B179" s="134"/>
      <c r="C179" s="134"/>
      <c r="D179" s="134"/>
      <c r="E179" s="73" t="s">
        <v>102</v>
      </c>
      <c r="F179" s="73">
        <f>COUNTIFS(Calc!$P:$P,A173,Calc!$L:$L,A175,Calc!$N:$N,E179)</f>
        <v>0</v>
      </c>
      <c r="G179" s="75" t="e">
        <f>F179/SUM(F176:F183)</f>
        <v>#DIV/0!</v>
      </c>
      <c r="H179" s="73">
        <f>COUNTIFS(Calc!$P:$P,A173,Calc!$L:$L,A175,Calc!$N:$N,E179,Calc!$F:$F,A175)</f>
        <v>0</v>
      </c>
      <c r="I179" s="73">
        <f>COUNTIFS(Calc!$P:$P,A173,Calc!$L:$L,A175,Calc!$N:$N,E179,Calc!$F:$F,A194)</f>
        <v>0</v>
      </c>
      <c r="K179" s="136"/>
      <c r="L179" s="136"/>
      <c r="M179" s="136"/>
      <c r="N179" s="136"/>
      <c r="O179" s="74" t="s">
        <v>16</v>
      </c>
      <c r="P179" s="74">
        <f>COUNTIFS(Calc!$P:$P,K173,Calc!$L:$L,K175,Calc!$N:$N,O179)</f>
        <v>0</v>
      </c>
      <c r="Q179" s="76" t="e">
        <f>P179/SUM(P176:P183)</f>
        <v>#DIV/0!</v>
      </c>
      <c r="R179" s="74">
        <f>COUNTIFS(Calc!$P:$P,K173,Calc!$L:$L,K175,Calc!$N:$N,O179,Calc!$F:$F,K175)</f>
        <v>0</v>
      </c>
      <c r="S179" s="74">
        <f>COUNTIFS(Calc!$P:$P,K173,Calc!$L:$L,K175,Calc!$N:$N,O179,Calc!$F:$F,K194)</f>
        <v>0</v>
      </c>
    </row>
    <row r="180" spans="1:19" x14ac:dyDescent="0.45">
      <c r="A180" s="134">
        <f>COUNTIFS(Calc!$P:$P,A173,Calc!$L:$L,A175,Calc!$O:$O,IF(E194="R","B","F"))</f>
        <v>0</v>
      </c>
      <c r="B180" s="134">
        <f>COUNTIFS(Calc!$P:$P,A173,Calc!$L:$L,A175,Calc!$O:$O,IF(E194="R","BM","FM"))</f>
        <v>0</v>
      </c>
      <c r="C180" s="134">
        <f>COUNTIFS(Calc!$P:$P,A173,Calc!$L:$L,A175,Calc!$O:$O,IF(E194="R","FM","BM"))</f>
        <v>0</v>
      </c>
      <c r="D180" s="134">
        <f>COUNTIFS(Calc!$P:$P,A173,Calc!$L:$L,A175,Calc!$O:$O,IF(E194="R","F","B"))</f>
        <v>0</v>
      </c>
      <c r="E180" s="73" t="s">
        <v>104</v>
      </c>
      <c r="F180" s="73">
        <f>COUNTIFS(Calc!$P:$P,A173,Calc!$L:$L,A175,Calc!$N:$N,E180)</f>
        <v>0</v>
      </c>
      <c r="G180" s="75" t="e">
        <f>F180/SUM(F176:F183)</f>
        <v>#DIV/0!</v>
      </c>
      <c r="H180" s="73">
        <f>COUNTIFS(Calc!$P:$P,A173,Calc!$L:$L,A175,Calc!$N:$N,E180,Calc!$F:$F,A175)</f>
        <v>0</v>
      </c>
      <c r="I180" s="73">
        <f>COUNTIFS(Calc!$P:$P,A173,Calc!$L:$L,A175,Calc!$N:$N,E180,Calc!$F:$F,A194)</f>
        <v>0</v>
      </c>
      <c r="K180" s="135">
        <f>COUNTIFS(Calc!$P:$P,K173,Calc!$L:$L,K175,Calc!$O:$O,IF(O194="R","B","F"))</f>
        <v>0</v>
      </c>
      <c r="L180" s="135">
        <f>COUNTIFS(Calc!$P:$P,K173,Calc!$L:$L,K175,Calc!$O:$O,IF(O194="R","BM","FM"))</f>
        <v>0</v>
      </c>
      <c r="M180" s="135">
        <f>COUNTIFS(Calc!$P:$P,K173,Calc!$L:$L,K175,Calc!$O:$O,IF(O194="R","FM","BM"))</f>
        <v>0</v>
      </c>
      <c r="N180" s="135">
        <f>COUNTIFS(Calc!$P:$P,K173,Calc!$L:$L,K175,Calc!$O:$O,IF(O194="R","F","B"))</f>
        <v>0</v>
      </c>
      <c r="O180" s="74" t="s">
        <v>103</v>
      </c>
      <c r="P180" s="74">
        <f>COUNTIFS(Calc!$P:$P,K173,Calc!$L:$L,K175,Calc!$N:$N,O180)</f>
        <v>0</v>
      </c>
      <c r="Q180" s="76" t="e">
        <f>P180/SUM(P176:P183)</f>
        <v>#DIV/0!</v>
      </c>
      <c r="R180" s="74">
        <f>COUNTIFS(Calc!$P:$P,K173,Calc!$L:$L,K175,Calc!$N:$N,O180,Calc!$F:$F,K175)</f>
        <v>0</v>
      </c>
      <c r="S180" s="74">
        <f>COUNTIFS(Calc!$P:$P,K173,Calc!$L:$L,K175,Calc!$N:$N,O180,Calc!$F:$F,K194)</f>
        <v>0</v>
      </c>
    </row>
    <row r="181" spans="1:19" x14ac:dyDescent="0.45">
      <c r="A181" s="134"/>
      <c r="B181" s="134"/>
      <c r="C181" s="134"/>
      <c r="D181" s="134"/>
      <c r="E181" s="73" t="s">
        <v>105</v>
      </c>
      <c r="F181" s="73">
        <f>COUNTIFS(Calc!$P:$P,A173,Calc!$L:$L,A175,Calc!$N:$N,E181)</f>
        <v>0</v>
      </c>
      <c r="G181" s="75" t="e">
        <f>F181/SUM(F176:F183)</f>
        <v>#DIV/0!</v>
      </c>
      <c r="H181" s="73">
        <f>COUNTIFS(Calc!$P:$P,A173,Calc!$L:$L,A175,Calc!$N:$N,E181,Calc!$F:$F,A175)</f>
        <v>0</v>
      </c>
      <c r="I181" s="73">
        <f>COUNTIFS(Calc!$P:$P,A173,Calc!$L:$L,A175,Calc!$N:$N,E181,Calc!$F:$F,A194)</f>
        <v>0</v>
      </c>
      <c r="K181" s="136"/>
      <c r="L181" s="136"/>
      <c r="M181" s="136"/>
      <c r="N181" s="136"/>
      <c r="O181" s="74" t="s">
        <v>82</v>
      </c>
      <c r="P181" s="74">
        <f>COUNTIFS(Calc!$P:$P,K173,Calc!$L:$L,K175,Calc!$N:$N,O181)</f>
        <v>0</v>
      </c>
      <c r="Q181" s="76" t="e">
        <f>P181/SUM(P176:P183)</f>
        <v>#DIV/0!</v>
      </c>
      <c r="R181" s="74">
        <f>COUNTIFS(Calc!$P:$P,K173,Calc!$L:$L,K175,Calc!$N:$N,O181,Calc!$F:$F,K175)</f>
        <v>0</v>
      </c>
      <c r="S181" s="74">
        <f>COUNTIFS(Calc!$P:$P,K173,Calc!$L:$L,K175,Calc!$N:$N,O181,Calc!$F:$F,K194)</f>
        <v>0</v>
      </c>
    </row>
    <row r="182" spans="1:19" x14ac:dyDescent="0.45">
      <c r="A182" s="137" t="s">
        <v>98</v>
      </c>
      <c r="B182" s="137"/>
      <c r="C182" s="137"/>
      <c r="D182" s="137"/>
      <c r="E182" s="73" t="s">
        <v>106</v>
      </c>
      <c r="F182" s="73">
        <f>COUNTIFS(Calc!$P:$P,A173,Calc!$L:$L,A175,Calc!$N:$N,E182)</f>
        <v>0</v>
      </c>
      <c r="G182" s="75" t="e">
        <f>F182/SUM(F176:F183)</f>
        <v>#DIV/0!</v>
      </c>
      <c r="H182" s="73">
        <f>COUNTIFS(Calc!$P:$P,A173,Calc!$L:$L,A175,Calc!$N:$N,E182,Calc!$F:$F,A175)</f>
        <v>0</v>
      </c>
      <c r="I182" s="73">
        <f>COUNTIFS(Calc!$P:$P,A173,Calc!$L:$L,A175,Calc!$N:$N,E182,Calc!$F:$F,A194)</f>
        <v>0</v>
      </c>
      <c r="K182" s="138" t="s">
        <v>80</v>
      </c>
      <c r="L182" s="138"/>
      <c r="M182" s="138"/>
      <c r="N182" s="138"/>
      <c r="O182" s="74" t="s">
        <v>83</v>
      </c>
      <c r="P182" s="74">
        <f>COUNTIFS(Calc!$P:$P,K173,Calc!$L:$L,K175,Calc!$N:$N,O182)</f>
        <v>0</v>
      </c>
      <c r="Q182" s="76" t="e">
        <f>P182/SUM(P176:P183)</f>
        <v>#DIV/0!</v>
      </c>
      <c r="R182" s="74">
        <f>COUNTIFS(Calc!$P:$P,K173,Calc!$L:$L,K175,Calc!$N:$N,O182,Calc!$F:$F,K175)</f>
        <v>0</v>
      </c>
      <c r="S182" s="74">
        <f>COUNTIFS(Calc!$P:$P,K173,Calc!$L:$L,K175,Calc!$N:$N,O182,Calc!$F:$F,K194)</f>
        <v>0</v>
      </c>
    </row>
    <row r="183" spans="1:19" x14ac:dyDescent="0.45">
      <c r="A183" s="132">
        <f>COUNTIFS(Calc!$P:$P,A173,Calc!$L:$L,A175,Calc!$O:$O,"オーバーミス")</f>
        <v>0</v>
      </c>
      <c r="B183" s="132"/>
      <c r="C183" s="132"/>
      <c r="D183" s="132"/>
      <c r="E183" s="73" t="s">
        <v>108</v>
      </c>
      <c r="F183" s="73">
        <f>COUNTIFS(Calc!$P:$P,A173,Calc!$L:$L,A175,Calc!$N:$N,E183)</f>
        <v>0</v>
      </c>
      <c r="G183" s="75" t="e">
        <f>F183/SUM(F176:F183)</f>
        <v>#DIV/0!</v>
      </c>
      <c r="H183" s="73">
        <f>COUNTIFS(Calc!$P:$P,A173,Calc!$L:$L,A175,Calc!$N:$N,E183,Calc!$F:$F,A175)</f>
        <v>0</v>
      </c>
      <c r="I183" s="73">
        <f>COUNTIFS(Calc!$P:$P,A173,Calc!$L:$L,A175,Calc!$N:$N,E183,Calc!$F:$F,A194)</f>
        <v>0</v>
      </c>
      <c r="K183" s="133">
        <f>COUNTIFS(Calc!$P:$P,K173,Calc!$L:$L,K175,Calc!$O:$O,"オーバーミス")</f>
        <v>0</v>
      </c>
      <c r="L183" s="133"/>
      <c r="M183" s="133"/>
      <c r="N183" s="133"/>
      <c r="O183" s="74" t="s">
        <v>107</v>
      </c>
      <c r="P183" s="74">
        <f>COUNTIFS(Calc!$P:$P,K173,Calc!$L:$L,K175,Calc!$N:$N,O183)</f>
        <v>0</v>
      </c>
      <c r="Q183" s="76" t="e">
        <f>P183/SUM(P176:P183)</f>
        <v>#DIV/0!</v>
      </c>
      <c r="R183" s="74">
        <f>COUNTIFS(Calc!$P:$P,K173,Calc!$L:$L,K175,Calc!$N:$N,O183,Calc!$F:$F,K175)</f>
        <v>0</v>
      </c>
      <c r="S183" s="74">
        <f>COUNTIFS(Calc!$P:$P,K173,Calc!$L:$L,K175,Calc!$N:$N,O183,Calc!$F:$F,K194)</f>
        <v>0</v>
      </c>
    </row>
    <row r="184" spans="1:19" x14ac:dyDescent="0.45">
      <c r="A184" s="103"/>
      <c r="B184" s="103"/>
      <c r="C184" s="103"/>
      <c r="D184" s="103"/>
      <c r="E184" s="73"/>
      <c r="F184" s="73"/>
      <c r="G184" s="75"/>
      <c r="H184" s="73"/>
      <c r="I184" s="73"/>
      <c r="K184" s="104"/>
      <c r="L184" s="104"/>
      <c r="M184" s="104"/>
      <c r="N184" s="104"/>
      <c r="O184" s="74"/>
      <c r="P184" s="74"/>
      <c r="Q184" s="76"/>
      <c r="R184" s="74"/>
      <c r="S184" s="74"/>
    </row>
    <row r="185" spans="1:19" x14ac:dyDescent="0.45">
      <c r="A185" s="68" t="s">
        <v>140</v>
      </c>
      <c r="K185" s="68" t="s">
        <v>140</v>
      </c>
    </row>
    <row r="186" spans="1:19" x14ac:dyDescent="0.45">
      <c r="A186" s="164">
        <f>COUNTIFS(Calc!$P:$P,A173,Calc!$H:$H,A194,Calc!$K:$K,IF(E175="R","F","B"))</f>
        <v>0</v>
      </c>
      <c r="B186" s="164">
        <f>COUNTIFS(Calc!$P:$P,A173,Calc!$H:$H,A194,Calc!$K:$K,IF(E175="R","FM","BM"))</f>
        <v>0</v>
      </c>
      <c r="C186" s="164">
        <f>COUNTIFS(Calc!$P:$P,A173,Calc!$H:$H,A194,Calc!$K:$K,IF(E175="R","BM","FM"))</f>
        <v>0</v>
      </c>
      <c r="D186" s="164">
        <f>COUNTIFS(Calc!$P:$P,A173,Calc!$H:$H,A194,Calc!$K:$K,IF(E175="R","B","F"))</f>
        <v>0</v>
      </c>
      <c r="E186" s="74"/>
      <c r="F186" s="74"/>
      <c r="G186" s="76"/>
      <c r="H186" s="74"/>
      <c r="I186" s="74"/>
      <c r="K186" s="134">
        <f>COUNTIFS(Calc!$P:$P,K173,Calc!$H:$H,K194,Calc!$K:$K,IF(O175="R","F","B"))</f>
        <v>0</v>
      </c>
      <c r="L186" s="134">
        <f>COUNTIFS(Calc!$P:$P,K173,Calc!$H:$H,K194,Calc!$K:$K,IF(O175="R","FM","BM"))</f>
        <v>0</v>
      </c>
      <c r="M186" s="134">
        <f>COUNTIFS(Calc!$P:$P,K173,Calc!$H:$H,K194,Calc!$K:$K,IF(O175="R","BM","FM"))</f>
        <v>0</v>
      </c>
      <c r="N186" s="134">
        <f>COUNTIFS(Calc!$P:$P,K173,Calc!$H:$H,K194,Calc!$K:$K,IF(O175="R","B","F"))</f>
        <v>0</v>
      </c>
      <c r="O186" s="73"/>
      <c r="P186" s="73"/>
      <c r="Q186" s="75"/>
      <c r="R186" s="73"/>
      <c r="S186" s="73"/>
    </row>
    <row r="187" spans="1:19" x14ac:dyDescent="0.45">
      <c r="A187" s="164"/>
      <c r="B187" s="164"/>
      <c r="C187" s="164"/>
      <c r="D187" s="164"/>
      <c r="E187" s="74"/>
      <c r="F187" s="74"/>
      <c r="G187" s="76"/>
      <c r="H187" s="74"/>
      <c r="I187" s="74"/>
      <c r="K187" s="134"/>
      <c r="L187" s="134"/>
      <c r="M187" s="134"/>
      <c r="N187" s="134"/>
      <c r="O187" s="73"/>
      <c r="P187" s="73"/>
      <c r="Q187" s="75"/>
      <c r="R187" s="73"/>
      <c r="S187" s="73"/>
    </row>
    <row r="188" spans="1:19" ht="18.600000000000001" thickBot="1" x14ac:dyDescent="0.5">
      <c r="A188" s="157">
        <f>COUNTIFS(Calc!$P:$P,A173,Calc!$H:$H,A194,Calc!$K:$K,IF(E175="R","FS","BS"))</f>
        <v>0</v>
      </c>
      <c r="B188" s="157">
        <f>COUNTIFS(Calc!$P:$P,A173,Calc!$H:$H,A194,Calc!$K:$K,IF(E175="R","FMS","BMS"))</f>
        <v>0</v>
      </c>
      <c r="C188" s="157">
        <f>COUNTIFS(Calc!$P:$P,A173,Calc!$H:$H,A194,Calc!$K:$K,IF(E175="R","BMS","FMS"))</f>
        <v>0</v>
      </c>
      <c r="D188" s="157">
        <f>COUNTIFS(Calc!$P:$P,A173,Calc!$H:$H,A194,Calc!$K:$K,IF(E175="R","BS","FS"))</f>
        <v>0</v>
      </c>
      <c r="E188" s="74"/>
      <c r="F188" s="74"/>
      <c r="G188" s="76"/>
      <c r="H188" s="74"/>
      <c r="I188" s="74"/>
      <c r="K188" s="159">
        <f>COUNTIFS(Calc!$P:$P,K173,Calc!$H:$H,K194,Calc!$K:$K,IF(O175="R","FS","BS"))</f>
        <v>0</v>
      </c>
      <c r="L188" s="159">
        <f>COUNTIFS(Calc!$P:$P,K173,Calc!$H:$H,K194,Calc!$K:$K,IF(O175="R","FMS","BMS"))</f>
        <v>0</v>
      </c>
      <c r="M188" s="159">
        <f>COUNTIFS(Calc!$P:$P,K173,Calc!$H:$H,K194,Calc!$K:$K,IF(O175="R","BMS","FMS"))</f>
        <v>0</v>
      </c>
      <c r="N188" s="159">
        <f>COUNTIFS(Calc!$P:$P,K173,Calc!$H:$H,K194,Calc!$K:$K,IF(O175="R","BS","FS"))</f>
        <v>0</v>
      </c>
      <c r="O188" s="73"/>
      <c r="P188" s="73"/>
      <c r="Q188" s="75"/>
      <c r="R188" s="73"/>
      <c r="S188" s="73"/>
    </row>
    <row r="189" spans="1:19" ht="19.2" thickTop="1" thickBot="1" x14ac:dyDescent="0.5">
      <c r="A189" s="158"/>
      <c r="B189" s="158"/>
      <c r="C189" s="158"/>
      <c r="D189" s="158"/>
      <c r="E189" s="74"/>
      <c r="F189" s="74"/>
      <c r="G189" s="76"/>
      <c r="H189" s="74"/>
      <c r="I189" s="74"/>
      <c r="K189" s="160"/>
      <c r="L189" s="160"/>
      <c r="M189" s="160"/>
      <c r="N189" s="160"/>
      <c r="O189" s="73"/>
      <c r="P189" s="73"/>
      <c r="Q189" s="75"/>
      <c r="R189" s="73"/>
      <c r="S189" s="73"/>
    </row>
    <row r="190" spans="1:19" ht="19.2" thickTop="1" thickBot="1" x14ac:dyDescent="0.5">
      <c r="A190" s="158">
        <f>COUNTIFS(Calc!$P:$P,A173,Calc!$H:$H,A194,Calc!$J:$J,IF(E194="R","B","F"))</f>
        <v>0</v>
      </c>
      <c r="B190" s="158"/>
      <c r="C190" s="158">
        <f>COUNTIFS(Calc!$P:$P,A173,Calc!$H:$H,A194,Calc!$J:$J,IF(E194="R","F","B"))</f>
        <v>0</v>
      </c>
      <c r="D190" s="158"/>
      <c r="E190" s="74"/>
      <c r="F190" s="74"/>
      <c r="G190" s="76"/>
      <c r="H190" s="74" t="s">
        <v>109</v>
      </c>
      <c r="I190" s="74" t="s">
        <v>110</v>
      </c>
      <c r="K190" s="160">
        <f>COUNTIFS(Calc!$P:$P,K173,Calc!$H:$H,K194,Calc!$J:$J,IF(O194="R","B","F"))</f>
        <v>0</v>
      </c>
      <c r="L190" s="160"/>
      <c r="M190" s="160">
        <f>COUNTIFS(Calc!$P:$P,K173,Calc!$H:$H,K194,Calc!$J:$J,IF(O194="R","F","B"))</f>
        <v>0</v>
      </c>
      <c r="N190" s="160"/>
      <c r="O190" s="73"/>
      <c r="P190" s="73"/>
      <c r="Q190" s="75"/>
      <c r="R190" s="73" t="s">
        <v>177</v>
      </c>
      <c r="S190" s="73" t="s">
        <v>178</v>
      </c>
    </row>
    <row r="191" spans="1:19" ht="19.2" thickTop="1" thickBot="1" x14ac:dyDescent="0.5">
      <c r="A191" s="158"/>
      <c r="B191" s="158"/>
      <c r="C191" s="158"/>
      <c r="D191" s="158"/>
      <c r="E191" s="74" t="s">
        <v>111</v>
      </c>
      <c r="F191" s="74">
        <f>COUNTIFS(Calc!$P:$P,A173,Calc!$H:$H,A194,Calc!$I:$I,E191)</f>
        <v>0</v>
      </c>
      <c r="G191" s="76" t="e">
        <f>F191/SUM(F191:F193)</f>
        <v>#DIV/0!</v>
      </c>
      <c r="H191" s="74">
        <f>COUNTIFS(Calc!$P:$P,A173,Calc!$H:$H,A194,Calc!$I:$I,E191,Calc!$F:$F,A194)</f>
        <v>0</v>
      </c>
      <c r="I191" s="74">
        <f>COUNTIFS(Calc!$P:$P,A173,Calc!$H:$H,A194,Calc!$I:$I,E191,Calc!$F:$F,A175)</f>
        <v>0</v>
      </c>
      <c r="K191" s="160"/>
      <c r="L191" s="160"/>
      <c r="M191" s="160"/>
      <c r="N191" s="160"/>
      <c r="O191" s="73" t="s">
        <v>174</v>
      </c>
      <c r="P191" s="73">
        <f>COUNTIFS(Calc!$P:$P,K173,Calc!$H:$H,K194,Calc!$I:$I,O191)</f>
        <v>0</v>
      </c>
      <c r="Q191" s="75" t="e">
        <f>P191/SUM(P191:P193)</f>
        <v>#DIV/0!</v>
      </c>
      <c r="R191" s="73">
        <f>COUNTIFS(Calc!$P:$P,K173,Calc!$H:$H,K194,Calc!$I:$I,O191,Calc!$F:$F,K194)</f>
        <v>0</v>
      </c>
      <c r="S191" s="73">
        <f>COUNTIFS(Calc!$P:$P,K173,Calc!$H:$H,K194,Calc!$I:$I,O191,Calc!$F:$F,K175)</f>
        <v>0</v>
      </c>
    </row>
    <row r="192" spans="1:19" ht="19.2" thickTop="1" thickBot="1" x14ac:dyDescent="0.5">
      <c r="A192" s="158"/>
      <c r="B192" s="158"/>
      <c r="C192" s="158"/>
      <c r="D192" s="158"/>
      <c r="E192" s="74" t="s">
        <v>112</v>
      </c>
      <c r="F192" s="74">
        <f>COUNTIFS(Calc!$P:$P,A173,Calc!$H:$H,A194,Calc!$I:$I,E192)</f>
        <v>0</v>
      </c>
      <c r="G192" s="76" t="e">
        <f>F192/SUM(F191:F193)</f>
        <v>#DIV/0!</v>
      </c>
      <c r="H192" s="74">
        <f>COUNTIFS(Calc!$P:$P,A173,Calc!$H:$H,A194,Calc!$I:$I,E192,Calc!$F:$F,A194)</f>
        <v>0</v>
      </c>
      <c r="I192" s="74">
        <f>COUNTIFS(Calc!$P:$P,A173,Calc!$H:$H,A194,Calc!$I:$I,E192,Calc!$F:$F,A175)</f>
        <v>0</v>
      </c>
      <c r="K192" s="160"/>
      <c r="L192" s="160"/>
      <c r="M192" s="160"/>
      <c r="N192" s="160"/>
      <c r="O192" s="73" t="s">
        <v>63</v>
      </c>
      <c r="P192" s="73">
        <f>COUNTIFS(Calc!$P:$P,K173,Calc!$H:$H,K194,Calc!$I:$I,O192)</f>
        <v>0</v>
      </c>
      <c r="Q192" s="75" t="e">
        <f>P192/SUM(P191:P193)</f>
        <v>#DIV/0!</v>
      </c>
      <c r="R192" s="73">
        <f>COUNTIFS(Calc!$P:$P,K173,Calc!$H:$H,K194,Calc!$I:$I,O192,Calc!$F:$F,K194)</f>
        <v>0</v>
      </c>
      <c r="S192" s="73">
        <f>COUNTIFS(Calc!$P:$P,K173,Calc!$H:$H,K194,Calc!$I:$I,O192,Calc!$F:$F,K175)</f>
        <v>0</v>
      </c>
    </row>
    <row r="193" spans="1:19" ht="18.600000000000001" thickTop="1" x14ac:dyDescent="0.45">
      <c r="A193" s="161"/>
      <c r="B193" s="161"/>
      <c r="C193" s="161"/>
      <c r="D193" s="161"/>
      <c r="E193" s="74" t="s">
        <v>113</v>
      </c>
      <c r="F193" s="74">
        <f>COUNTIFS(Calc!$P:$P,A173,Calc!$H:$H,A194,Calc!$I:$I,E193)</f>
        <v>0</v>
      </c>
      <c r="G193" s="76" t="e">
        <f>F193/SUM(F191:F193)</f>
        <v>#DIV/0!</v>
      </c>
      <c r="H193" s="74">
        <f>COUNTIFS(Calc!$P:$P,A173,Calc!$H:$H,A194,Calc!$I:$I,E193,Calc!$F:$F,A194)</f>
        <v>0</v>
      </c>
      <c r="I193" s="74">
        <f>COUNTIFS(Calc!$P:$P,A173,Calc!$H:$H,A194,Calc!$I:$I,E193,Calc!$F:$F,A175)</f>
        <v>0</v>
      </c>
      <c r="K193" s="162"/>
      <c r="L193" s="162"/>
      <c r="M193" s="162"/>
      <c r="N193" s="162"/>
      <c r="O193" s="73" t="s">
        <v>61</v>
      </c>
      <c r="P193" s="73">
        <f>COUNTIFS(Calc!$P:$P,K173,Calc!$H:$H,K194,Calc!$I:$I,O193)</f>
        <v>0</v>
      </c>
      <c r="Q193" s="75" t="e">
        <f>P193/SUM(P191:P193)</f>
        <v>#DIV/0!</v>
      </c>
      <c r="R193" s="73">
        <f>COUNTIFS(Calc!$P:$P,K173,Calc!$H:$H,K194,Calc!$I:$I,O193,Calc!$F:$F,K194)</f>
        <v>0</v>
      </c>
      <c r="S193" s="73">
        <f>COUNTIFS(Calc!$P:$P,K173,Calc!$H:$H,K194,Calc!$I:$I,O193,Calc!$F:$F,K175)</f>
        <v>0</v>
      </c>
    </row>
    <row r="194" spans="1:19" x14ac:dyDescent="0.45">
      <c r="A194" s="155" t="str">
        <f>Main!$D$12</f>
        <v>NAMBA Yurika</v>
      </c>
      <c r="B194" s="156"/>
      <c r="C194" s="156"/>
      <c r="D194" s="156"/>
      <c r="E194" s="72" t="str">
        <f>Main!$F$12</f>
        <v>R</v>
      </c>
      <c r="F194" s="79"/>
      <c r="G194" s="80"/>
      <c r="K194" s="155" t="str">
        <f>Main!$D$8</f>
        <v>HIRANO Miu</v>
      </c>
      <c r="L194" s="156"/>
      <c r="M194" s="156"/>
      <c r="N194" s="156"/>
      <c r="O194" s="72" t="str">
        <f>Main!$F$8</f>
        <v>R</v>
      </c>
      <c r="P194" s="79"/>
      <c r="Q194" s="80"/>
    </row>
    <row r="198" spans="1:19" x14ac:dyDescent="0.45">
      <c r="A198" s="139" t="s">
        <v>161</v>
      </c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</row>
    <row r="199" spans="1:19" x14ac:dyDescent="0.45">
      <c r="A199" s="119">
        <v>7</v>
      </c>
      <c r="K199" s="119">
        <v>7</v>
      </c>
    </row>
    <row r="200" spans="1:19" x14ac:dyDescent="0.45">
      <c r="A200" s="68" t="s">
        <v>139</v>
      </c>
      <c r="K200" s="68" t="s">
        <v>139</v>
      </c>
    </row>
    <row r="201" spans="1:19" x14ac:dyDescent="0.45">
      <c r="A201" s="140" t="str">
        <f>Main!$D$8</f>
        <v>HIRANO Miu</v>
      </c>
      <c r="B201" s="141"/>
      <c r="C201" s="141"/>
      <c r="D201" s="141"/>
      <c r="E201" s="72" t="str">
        <f>Main!$F$8</f>
        <v>R</v>
      </c>
      <c r="F201" s="79"/>
      <c r="G201" s="80"/>
      <c r="H201" s="73" t="s">
        <v>109</v>
      </c>
      <c r="I201" s="73" t="s">
        <v>110</v>
      </c>
      <c r="K201" s="140" t="str">
        <f>Main!$D$12</f>
        <v>NAMBA Yurika</v>
      </c>
      <c r="L201" s="141"/>
      <c r="M201" s="141"/>
      <c r="N201" s="141"/>
      <c r="O201" s="72" t="str">
        <f>Main!$F$12</f>
        <v>R</v>
      </c>
      <c r="P201" s="79"/>
      <c r="Q201" s="80"/>
      <c r="R201" s="74" t="s">
        <v>109</v>
      </c>
      <c r="S201" s="74" t="s">
        <v>110</v>
      </c>
    </row>
    <row r="202" spans="1:19" ht="18.600000000000001" thickBot="1" x14ac:dyDescent="0.5">
      <c r="A202" s="142" t="s">
        <v>97</v>
      </c>
      <c r="B202" s="143"/>
      <c r="C202" s="143"/>
      <c r="D202" s="82">
        <f>COUNTIFS(Calc!$P:$P,A199,Calc!$L:$L,A201,Calc!$O:$O,"ネット")</f>
        <v>0</v>
      </c>
      <c r="E202" s="73" t="s">
        <v>99</v>
      </c>
      <c r="F202" s="73">
        <f>COUNTIFS(Calc!$P:$P,A199,Calc!$L:$L,A201,Calc!$N:$N,E202)</f>
        <v>0</v>
      </c>
      <c r="G202" s="75" t="e">
        <f>F202/SUM(F202:F209)</f>
        <v>#DIV/0!</v>
      </c>
      <c r="H202" s="73">
        <f>COUNTIFS(Calc!$P:$P,A199,Calc!$L:$L,A201,Calc!$N:$N,E202,Calc!$F:$F,A201)</f>
        <v>0</v>
      </c>
      <c r="I202" s="73">
        <f>COUNTIFS(Calc!$P:$P,A199,Calc!$L:$L,A201,Calc!$N:$N,E202,Calc!$F:$F,A220)</f>
        <v>0</v>
      </c>
      <c r="K202" s="144" t="s">
        <v>81</v>
      </c>
      <c r="L202" s="145"/>
      <c r="M202" s="145"/>
      <c r="N202" s="83">
        <f>COUNTIFS(Calc!$P:$P,K199,Calc!$L:$L,K201,Calc!$O:$O,"ネット")</f>
        <v>0</v>
      </c>
      <c r="O202" s="74" t="s">
        <v>14</v>
      </c>
      <c r="P202" s="74">
        <f>COUNTIFS(Calc!$P:$P,K199,Calc!$L:$L,K201,Calc!$N:$N,O202)</f>
        <v>0</v>
      </c>
      <c r="Q202" s="76" t="e">
        <f>P202/SUM(P202:P209)</f>
        <v>#DIV/0!</v>
      </c>
      <c r="R202" s="74">
        <f>COUNTIFS(Calc!$P:$P,K199,Calc!$L:$L,K201,Calc!$N:$N,O202,Calc!$F:$F,K201)</f>
        <v>0</v>
      </c>
      <c r="S202" s="74">
        <f>COUNTIFS(Calc!$P:$P,K199,Calc!$L:$L,K201,Calc!$N:$N,O202,Calc!$F:$F,K220)</f>
        <v>0</v>
      </c>
    </row>
    <row r="203" spans="1:19" ht="18.600000000000001" thickTop="1" x14ac:dyDescent="0.45">
      <c r="A203" s="146" t="s">
        <v>114</v>
      </c>
      <c r="B203" s="147"/>
      <c r="C203" s="147"/>
      <c r="D203" s="109">
        <f>COUNTIFS(Calc!$P:$P,A199,Calc!$L:$L,A201,Calc!$O:$O,"ネットイン")</f>
        <v>0</v>
      </c>
      <c r="E203" s="73" t="s">
        <v>100</v>
      </c>
      <c r="F203" s="73">
        <f>COUNTIFS(Calc!$P:$P,A199,Calc!$L:$L,A201,Calc!$N:$N,E203)</f>
        <v>0</v>
      </c>
      <c r="G203" s="75" t="e">
        <f>F203/SUM(F202:F209)</f>
        <v>#DIV/0!</v>
      </c>
      <c r="H203" s="73">
        <f>COUNTIFS(Calc!$P:$P,A199,Calc!$L:$L,A201,Calc!$N:$N,E203,Calc!$F:$F,A201)</f>
        <v>0</v>
      </c>
      <c r="I203" s="73">
        <f>COUNTIFS(Calc!$P:$P,A199,Calc!$L:$L,A201,Calc!$N:$N,E203,Calc!$F:$F,A220)</f>
        <v>0</v>
      </c>
      <c r="K203" s="148" t="s">
        <v>176</v>
      </c>
      <c r="L203" s="149"/>
      <c r="M203" s="149"/>
      <c r="N203" s="110">
        <f>COUNTIFS(Calc!$P:$P,K199,Calc!$L:$L,K201,Calc!$O:$O,"ネットイン")</f>
        <v>0</v>
      </c>
      <c r="O203" s="74" t="s">
        <v>15</v>
      </c>
      <c r="P203" s="74">
        <f>COUNTIFS(Calc!$P:$P,K199,Calc!$L:$L,K201,Calc!$N:$N,O203)</f>
        <v>0</v>
      </c>
      <c r="Q203" s="76" t="e">
        <f>P203/SUM(P202:P209)</f>
        <v>#DIV/0!</v>
      </c>
      <c r="R203" s="74">
        <f>COUNTIFS(Calc!$P:$P,K199,Calc!$L:$L,K201,Calc!$N:$N,O203,Calc!$F:$F,K201)</f>
        <v>0</v>
      </c>
      <c r="S203" s="74">
        <f>COUNTIFS(Calc!$P:$P,K199,Calc!$L:$L,K201,Calc!$N:$N,O203,Calc!$F:$F,K220)</f>
        <v>0</v>
      </c>
    </row>
    <row r="204" spans="1:19" x14ac:dyDescent="0.45">
      <c r="A204" s="134">
        <f>COUNTIFS(Calc!$P:$P,A199,Calc!$L:$L,A201,Calc!$O:$O,IF(E220="R","BS","FS"))</f>
        <v>0</v>
      </c>
      <c r="B204" s="134">
        <f>COUNTIFS(Calc!$P:$P,A199,Calc!$L:$L,A201,Calc!$O:$O,IF(E220="R","BMS","FMS"))</f>
        <v>0</v>
      </c>
      <c r="C204" s="134">
        <f>COUNTIFS(Calc!$P:$P,A199,Calc!$L:$L,A201,Calc!$O:$O,IF(E220="R","FMS","BMS"))</f>
        <v>0</v>
      </c>
      <c r="D204" s="134">
        <f>COUNTIFS(Calc!$P:$P,A199,Calc!$L:$L,A201,Calc!$O:$O,IF(E220="R","FS","BS"))</f>
        <v>0</v>
      </c>
      <c r="E204" s="73" t="s">
        <v>101</v>
      </c>
      <c r="F204" s="73">
        <f>COUNTIFS(Calc!$P:$P,A199,Calc!$L:$L,A201,Calc!$N:$N,E204)</f>
        <v>0</v>
      </c>
      <c r="G204" s="75" t="e">
        <f>F204/SUM(F202:F209)</f>
        <v>#DIV/0!</v>
      </c>
      <c r="H204" s="73">
        <f>COUNTIFS(Calc!$P:$P,A199,Calc!$L:$L,A201,Calc!$N:$N,E204,Calc!$F:$F,A201)</f>
        <v>0</v>
      </c>
      <c r="I204" s="73">
        <f>COUNTIFS(Calc!$P:$P,A199,Calc!$L:$L,A201,Calc!$N:$N,E204,Calc!$F:$F,A220)</f>
        <v>0</v>
      </c>
      <c r="K204" s="150">
        <f>COUNTIFS(Calc!$P:$P,K199,Calc!$L:$L,K201,Calc!$O:$O,IF(O220="R","BS","FS"))</f>
        <v>0</v>
      </c>
      <c r="L204" s="150">
        <f>COUNTIFS(Calc!$P:$P,K199,Calc!$L:$L,K201,Calc!$O:$O,IF(O220="R","BMS","FMS"))</f>
        <v>0</v>
      </c>
      <c r="M204" s="150">
        <f>COUNTIFS(Calc!$P:$P,K199,Calc!$L:$L,K201,Calc!$O:$O,IF(O220="R","FMS","BMS"))</f>
        <v>0</v>
      </c>
      <c r="N204" s="150">
        <f>COUNTIFS(Calc!$P:$P,K199,Calc!$L:$L,K201,Calc!$O:$O,IF(O220="R","FS","BS"))</f>
        <v>0</v>
      </c>
      <c r="O204" s="74" t="s">
        <v>17</v>
      </c>
      <c r="P204" s="74">
        <f>COUNTIFS(Calc!$P:$P,K199,Calc!$L:$L,K201,Calc!$N:$N,O204)</f>
        <v>0</v>
      </c>
      <c r="Q204" s="76" t="e">
        <f>P204/SUM(P202:P209)</f>
        <v>#DIV/0!</v>
      </c>
      <c r="R204" s="74">
        <f>COUNTIFS(Calc!$P:$P,K199,Calc!$L:$L,K201,Calc!$N:$N,O204,Calc!$F:$F,K201)</f>
        <v>0</v>
      </c>
      <c r="S204" s="74">
        <f>COUNTIFS(Calc!$P:$P,K199,Calc!$L:$L,K201,Calc!$N:$N,O204,Calc!$F:$F,K220)</f>
        <v>0</v>
      </c>
    </row>
    <row r="205" spans="1:19" x14ac:dyDescent="0.45">
      <c r="A205" s="134"/>
      <c r="B205" s="134"/>
      <c r="C205" s="134"/>
      <c r="D205" s="134"/>
      <c r="E205" s="73" t="s">
        <v>102</v>
      </c>
      <c r="F205" s="73">
        <f>COUNTIFS(Calc!$P:$P,A199,Calc!$L:$L,A201,Calc!$N:$N,E205)</f>
        <v>0</v>
      </c>
      <c r="G205" s="75" t="e">
        <f>F205/SUM(F202:F209)</f>
        <v>#DIV/0!</v>
      </c>
      <c r="H205" s="73">
        <f>COUNTIFS(Calc!$P:$P,A199,Calc!$L:$L,A201,Calc!$N:$N,E205,Calc!$F:$F,A201)</f>
        <v>0</v>
      </c>
      <c r="I205" s="73">
        <f>COUNTIFS(Calc!$P:$P,A199,Calc!$L:$L,A201,Calc!$N:$N,E205,Calc!$F:$F,A220)</f>
        <v>0</v>
      </c>
      <c r="K205" s="136"/>
      <c r="L205" s="136"/>
      <c r="M205" s="136"/>
      <c r="N205" s="136"/>
      <c r="O205" s="74" t="s">
        <v>16</v>
      </c>
      <c r="P205" s="74">
        <f>COUNTIFS(Calc!$P:$P,K199,Calc!$L:$L,K201,Calc!$N:$N,O205)</f>
        <v>0</v>
      </c>
      <c r="Q205" s="76" t="e">
        <f>P205/SUM(P202:P209)</f>
        <v>#DIV/0!</v>
      </c>
      <c r="R205" s="74">
        <f>COUNTIFS(Calc!$P:$P,K199,Calc!$L:$L,K201,Calc!$N:$N,O205,Calc!$F:$F,K201)</f>
        <v>0</v>
      </c>
      <c r="S205" s="74">
        <f>COUNTIFS(Calc!$P:$P,K199,Calc!$L:$L,K201,Calc!$N:$N,O205,Calc!$F:$F,K220)</f>
        <v>0</v>
      </c>
    </row>
    <row r="206" spans="1:19" x14ac:dyDescent="0.45">
      <c r="A206" s="134">
        <f>COUNTIFS(Calc!$P:$P,A199,Calc!$L:$L,A201,Calc!$O:$O,IF(E220="R","B","F"))</f>
        <v>0</v>
      </c>
      <c r="B206" s="134">
        <f>COUNTIFS(Calc!$P:$P,A199,Calc!$L:$L,A201,Calc!$O:$O,IF(E220="R","BM","FM"))</f>
        <v>0</v>
      </c>
      <c r="C206" s="134">
        <f>COUNTIFS(Calc!$P:$P,A199,Calc!$L:$L,A201,Calc!$O:$O,IF(E220="R","FM","BM"))</f>
        <v>0</v>
      </c>
      <c r="D206" s="134">
        <f>COUNTIFS(Calc!$P:$P,A199,Calc!$L:$L,A201,Calc!$O:$O,IF(E220="R","F","B"))</f>
        <v>0</v>
      </c>
      <c r="E206" s="73" t="s">
        <v>104</v>
      </c>
      <c r="F206" s="73">
        <f>COUNTIFS(Calc!$P:$P,A199,Calc!$L:$L,A201,Calc!$N:$N,E206)</f>
        <v>0</v>
      </c>
      <c r="G206" s="75" t="e">
        <f>F206/SUM(F202:F209)</f>
        <v>#DIV/0!</v>
      </c>
      <c r="H206" s="73">
        <f>COUNTIFS(Calc!$P:$P,A199,Calc!$L:$L,A201,Calc!$N:$N,E206,Calc!$F:$F,A201)</f>
        <v>0</v>
      </c>
      <c r="I206" s="73">
        <f>COUNTIFS(Calc!$P:$P,A199,Calc!$L:$L,A201,Calc!$N:$N,E206,Calc!$F:$F,A220)</f>
        <v>0</v>
      </c>
      <c r="K206" s="135">
        <f>COUNTIFS(Calc!$P:$P,K199,Calc!$L:$L,K201,Calc!$O:$O,IF(O220="R","B","F"))</f>
        <v>0</v>
      </c>
      <c r="L206" s="135">
        <f>COUNTIFS(Calc!$P:$P,K199,Calc!$L:$L,K201,Calc!$O:$O,IF(O220="R","BM","FM"))</f>
        <v>0</v>
      </c>
      <c r="M206" s="135">
        <f>COUNTIFS(Calc!$P:$P,K199,Calc!$L:$L,K201,Calc!$O:$O,IF(O220="R","FM","BM"))</f>
        <v>0</v>
      </c>
      <c r="N206" s="135">
        <f>COUNTIFS(Calc!$P:$P,K199,Calc!$L:$L,K201,Calc!$O:$O,IF(O220="R","F","B"))</f>
        <v>0</v>
      </c>
      <c r="O206" s="74" t="s">
        <v>103</v>
      </c>
      <c r="P206" s="74">
        <f>COUNTIFS(Calc!$P:$P,K199,Calc!$L:$L,K201,Calc!$N:$N,O206)</f>
        <v>0</v>
      </c>
      <c r="Q206" s="76" t="e">
        <f>P206/SUM(P202:P209)</f>
        <v>#DIV/0!</v>
      </c>
      <c r="R206" s="74">
        <f>COUNTIFS(Calc!$P:$P,K199,Calc!$L:$L,K201,Calc!$N:$N,O206,Calc!$F:$F,K201)</f>
        <v>0</v>
      </c>
      <c r="S206" s="74">
        <f>COUNTIFS(Calc!$P:$P,K199,Calc!$L:$L,K201,Calc!$N:$N,O206,Calc!$F:$F,K220)</f>
        <v>0</v>
      </c>
    </row>
    <row r="207" spans="1:19" x14ac:dyDescent="0.45">
      <c r="A207" s="134"/>
      <c r="B207" s="134"/>
      <c r="C207" s="134"/>
      <c r="D207" s="134"/>
      <c r="E207" s="73" t="s">
        <v>105</v>
      </c>
      <c r="F207" s="73">
        <f>COUNTIFS(Calc!$P:$P,A199,Calc!$L:$L,A201,Calc!$N:$N,E207)</f>
        <v>0</v>
      </c>
      <c r="G207" s="75" t="e">
        <f>F207/SUM(F202:F209)</f>
        <v>#DIV/0!</v>
      </c>
      <c r="H207" s="73">
        <f>COUNTIFS(Calc!$P:$P,A199,Calc!$L:$L,A201,Calc!$N:$N,E207,Calc!$F:$F,A201)</f>
        <v>0</v>
      </c>
      <c r="I207" s="73">
        <f>COUNTIFS(Calc!$P:$P,A199,Calc!$L:$L,A201,Calc!$N:$N,E207,Calc!$F:$F,A220)</f>
        <v>0</v>
      </c>
      <c r="K207" s="136"/>
      <c r="L207" s="136"/>
      <c r="M207" s="136"/>
      <c r="N207" s="136"/>
      <c r="O207" s="74" t="s">
        <v>82</v>
      </c>
      <c r="P207" s="74">
        <f>COUNTIFS(Calc!$P:$P,K199,Calc!$L:$L,K201,Calc!$N:$N,O207)</f>
        <v>0</v>
      </c>
      <c r="Q207" s="76" t="e">
        <f>P207/SUM(P202:P209)</f>
        <v>#DIV/0!</v>
      </c>
      <c r="R207" s="74">
        <f>COUNTIFS(Calc!$P:$P,K199,Calc!$L:$L,K201,Calc!$N:$N,O207,Calc!$F:$F,K201)</f>
        <v>0</v>
      </c>
      <c r="S207" s="74">
        <f>COUNTIFS(Calc!$P:$P,K199,Calc!$L:$L,K201,Calc!$N:$N,O207,Calc!$F:$F,K220)</f>
        <v>0</v>
      </c>
    </row>
    <row r="208" spans="1:19" x14ac:dyDescent="0.45">
      <c r="A208" s="137" t="s">
        <v>98</v>
      </c>
      <c r="B208" s="137"/>
      <c r="C208" s="137"/>
      <c r="D208" s="137"/>
      <c r="E208" s="73" t="s">
        <v>106</v>
      </c>
      <c r="F208" s="73">
        <f>COUNTIFS(Calc!$P:$P,A199,Calc!$L:$L,A201,Calc!$N:$N,E208)</f>
        <v>0</v>
      </c>
      <c r="G208" s="75" t="e">
        <f>F208/SUM(F202:F209)</f>
        <v>#DIV/0!</v>
      </c>
      <c r="H208" s="73">
        <f>COUNTIFS(Calc!$P:$P,A199,Calc!$L:$L,A201,Calc!$N:$N,E208,Calc!$F:$F,A201)</f>
        <v>0</v>
      </c>
      <c r="I208" s="73">
        <f>COUNTIFS(Calc!$P:$P,A199,Calc!$L:$L,A201,Calc!$N:$N,E208,Calc!$F:$F,A220)</f>
        <v>0</v>
      </c>
      <c r="K208" s="138" t="s">
        <v>80</v>
      </c>
      <c r="L208" s="138"/>
      <c r="M208" s="138"/>
      <c r="N208" s="138"/>
      <c r="O208" s="74" t="s">
        <v>83</v>
      </c>
      <c r="P208" s="74">
        <f>COUNTIFS(Calc!$P:$P,K199,Calc!$L:$L,K201,Calc!$N:$N,O208)</f>
        <v>0</v>
      </c>
      <c r="Q208" s="76" t="e">
        <f>P208/SUM(P202:P209)</f>
        <v>#DIV/0!</v>
      </c>
      <c r="R208" s="74">
        <f>COUNTIFS(Calc!$P:$P,K199,Calc!$L:$L,K201,Calc!$N:$N,O208,Calc!$F:$F,K201)</f>
        <v>0</v>
      </c>
      <c r="S208" s="74">
        <f>COUNTIFS(Calc!$P:$P,K199,Calc!$L:$L,K201,Calc!$N:$N,O208,Calc!$F:$F,K220)</f>
        <v>0</v>
      </c>
    </row>
    <row r="209" spans="1:19" x14ac:dyDescent="0.45">
      <c r="A209" s="132">
        <f>COUNTIFS(Calc!$P:$P,A199,Calc!$L:$L,A201,Calc!$O:$O,"オーバーミス")</f>
        <v>0</v>
      </c>
      <c r="B209" s="132"/>
      <c r="C209" s="132"/>
      <c r="D209" s="132"/>
      <c r="E209" s="73" t="s">
        <v>108</v>
      </c>
      <c r="F209" s="73">
        <f>COUNTIFS(Calc!$P:$P,A199,Calc!$L:$L,A201,Calc!$N:$N,E209)</f>
        <v>0</v>
      </c>
      <c r="G209" s="75" t="e">
        <f>F209/SUM(F202:F209)</f>
        <v>#DIV/0!</v>
      </c>
      <c r="H209" s="73">
        <f>COUNTIFS(Calc!$P:$P,A199,Calc!$L:$L,A201,Calc!$N:$N,E209,Calc!$F:$F,A201)</f>
        <v>0</v>
      </c>
      <c r="I209" s="73">
        <f>COUNTIFS(Calc!$P:$P,A199,Calc!$L:$L,A201,Calc!$N:$N,E209,Calc!$F:$F,A220)</f>
        <v>0</v>
      </c>
      <c r="K209" s="133">
        <f>COUNTIFS(Calc!$P:$P,K199,Calc!$L:$L,K201,Calc!$O:$O,"オーバーミス")</f>
        <v>0</v>
      </c>
      <c r="L209" s="133"/>
      <c r="M209" s="133"/>
      <c r="N209" s="133"/>
      <c r="O209" s="74" t="s">
        <v>107</v>
      </c>
      <c r="P209" s="74">
        <f>COUNTIFS(Calc!$P:$P,K199,Calc!$L:$L,K201,Calc!$N:$N,O209)</f>
        <v>0</v>
      </c>
      <c r="Q209" s="76" t="e">
        <f>P209/SUM(P202:P209)</f>
        <v>#DIV/0!</v>
      </c>
      <c r="R209" s="74">
        <f>COUNTIFS(Calc!$P:$P,K199,Calc!$L:$L,K201,Calc!$N:$N,O209,Calc!$F:$F,K201)</f>
        <v>0</v>
      </c>
      <c r="S209" s="74">
        <f>COUNTIFS(Calc!$P:$P,K199,Calc!$L:$L,K201,Calc!$N:$N,O209,Calc!$F:$F,K220)</f>
        <v>0</v>
      </c>
    </row>
    <row r="210" spans="1:19" x14ac:dyDescent="0.45">
      <c r="A210" s="103"/>
      <c r="B210" s="103"/>
      <c r="C210" s="103"/>
      <c r="D210" s="103"/>
      <c r="E210" s="73"/>
      <c r="F210" s="73"/>
      <c r="G210" s="75"/>
      <c r="H210" s="73"/>
      <c r="I210" s="73"/>
      <c r="K210" s="104"/>
      <c r="L210" s="104"/>
      <c r="M210" s="104"/>
      <c r="N210" s="104"/>
      <c r="O210" s="74"/>
      <c r="P210" s="74"/>
      <c r="Q210" s="76"/>
      <c r="R210" s="74"/>
      <c r="S210" s="74"/>
    </row>
    <row r="211" spans="1:19" x14ac:dyDescent="0.45">
      <c r="A211" s="68" t="s">
        <v>140</v>
      </c>
      <c r="K211" s="68" t="s">
        <v>140</v>
      </c>
    </row>
    <row r="212" spans="1:19" x14ac:dyDescent="0.45">
      <c r="A212" s="164">
        <f>COUNTIFS(Calc!$P:$P,A199,Calc!$H:$H,A220,Calc!$K:$K,IF(E201="R","F","B"))</f>
        <v>0</v>
      </c>
      <c r="B212" s="164">
        <f>COUNTIFS(Calc!$P:$P,A199,Calc!$H:$H,A220,Calc!$K:$K,IF(E201="R","FM","BM"))</f>
        <v>0</v>
      </c>
      <c r="C212" s="164">
        <f>COUNTIFS(Calc!$P:$P,A199,Calc!$H:$H,A220,Calc!$K:$K,IF(E201="R","BM","FM"))</f>
        <v>0</v>
      </c>
      <c r="D212" s="164">
        <f>COUNTIFS(Calc!$P:$P,A199,Calc!$H:$H,A220,Calc!$K:$K,IF(E201="R","B","F"))</f>
        <v>0</v>
      </c>
      <c r="E212" s="74"/>
      <c r="F212" s="74"/>
      <c r="G212" s="76"/>
      <c r="H212" s="74"/>
      <c r="I212" s="74"/>
      <c r="K212" s="134">
        <f>COUNTIFS(Calc!$P:$P,K199,Calc!$H:$H,K220,Calc!$K:$K,IF(O201="R","F","B"))</f>
        <v>0</v>
      </c>
      <c r="L212" s="134">
        <f>COUNTIFS(Calc!$P:$P,K199,Calc!$H:$H,K220,Calc!$K:$K,IF(O201="R","FM","BM"))</f>
        <v>0</v>
      </c>
      <c r="M212" s="134">
        <f>COUNTIFS(Calc!$P:$P,K199,Calc!$H:$H,K220,Calc!$K:$K,IF(O201="R","BM","FM"))</f>
        <v>0</v>
      </c>
      <c r="N212" s="134">
        <f>COUNTIFS(Calc!$P:$P,K199,Calc!$H:$H,K220,Calc!$K:$K,IF(O201="R","B","F"))</f>
        <v>0</v>
      </c>
      <c r="O212" s="73"/>
      <c r="P212" s="73"/>
      <c r="Q212" s="75"/>
      <c r="R212" s="73"/>
      <c r="S212" s="73"/>
    </row>
    <row r="213" spans="1:19" x14ac:dyDescent="0.45">
      <c r="A213" s="164"/>
      <c r="B213" s="164"/>
      <c r="C213" s="164"/>
      <c r="D213" s="164"/>
      <c r="E213" s="74"/>
      <c r="F213" s="74"/>
      <c r="G213" s="76"/>
      <c r="H213" s="74"/>
      <c r="I213" s="74"/>
      <c r="K213" s="134"/>
      <c r="L213" s="134"/>
      <c r="M213" s="134"/>
      <c r="N213" s="134"/>
      <c r="O213" s="73"/>
      <c r="P213" s="73"/>
      <c r="Q213" s="75"/>
      <c r="R213" s="73"/>
      <c r="S213" s="73"/>
    </row>
    <row r="214" spans="1:19" ht="18.600000000000001" thickBot="1" x14ac:dyDescent="0.5">
      <c r="A214" s="157">
        <f>COUNTIFS(Calc!$P:$P,A199,Calc!$H:$H,A220,Calc!$K:$K,IF(E201="R","FS","BS"))</f>
        <v>0</v>
      </c>
      <c r="B214" s="157">
        <f>COUNTIFS(Calc!$P:$P,A199,Calc!$H:$H,A220,Calc!$K:$K,IF(E201="R","FMS","BMS"))</f>
        <v>0</v>
      </c>
      <c r="C214" s="157">
        <f>COUNTIFS(Calc!$P:$P,A199,Calc!$H:$H,A220,Calc!$K:$K,IF(E201="R","BMS","FMS"))</f>
        <v>0</v>
      </c>
      <c r="D214" s="157">
        <f>COUNTIFS(Calc!$P:$P,A199,Calc!$H:$H,A220,Calc!$K:$K,IF(E201="R","BS","FS"))</f>
        <v>0</v>
      </c>
      <c r="E214" s="74"/>
      <c r="F214" s="74"/>
      <c r="G214" s="76"/>
      <c r="H214" s="74"/>
      <c r="I214" s="74"/>
      <c r="K214" s="159">
        <f>COUNTIFS(Calc!$P:$P,K199,Calc!$H:$H,K220,Calc!$K:$K,IF(O201="R","FS","BS"))</f>
        <v>0</v>
      </c>
      <c r="L214" s="159">
        <f>COUNTIFS(Calc!$P:$P,K199,Calc!$H:$H,K220,Calc!$K:$K,IF(O201="R","FMS","BMS"))</f>
        <v>0</v>
      </c>
      <c r="M214" s="159">
        <f>COUNTIFS(Calc!$P:$P,K199,Calc!$H:$H,K220,Calc!$K:$K,IF(O201="R","BMS","FMS"))</f>
        <v>0</v>
      </c>
      <c r="N214" s="159">
        <f>COUNTIFS(Calc!$P:$P,K199,Calc!$H:$H,K220,Calc!$K:$K,IF(O201="R","BS","FS"))</f>
        <v>0</v>
      </c>
      <c r="O214" s="73"/>
      <c r="P214" s="73"/>
      <c r="Q214" s="75"/>
      <c r="R214" s="73"/>
      <c r="S214" s="73"/>
    </row>
    <row r="215" spans="1:19" ht="19.2" thickTop="1" thickBot="1" x14ac:dyDescent="0.5">
      <c r="A215" s="158"/>
      <c r="B215" s="158"/>
      <c r="C215" s="158"/>
      <c r="D215" s="158"/>
      <c r="E215" s="74"/>
      <c r="F215" s="74"/>
      <c r="G215" s="76"/>
      <c r="H215" s="74"/>
      <c r="I215" s="74"/>
      <c r="K215" s="160"/>
      <c r="L215" s="160"/>
      <c r="M215" s="160"/>
      <c r="N215" s="160"/>
      <c r="O215" s="73"/>
      <c r="P215" s="73"/>
      <c r="Q215" s="75"/>
      <c r="R215" s="73"/>
      <c r="S215" s="73"/>
    </row>
    <row r="216" spans="1:19" ht="19.2" thickTop="1" thickBot="1" x14ac:dyDescent="0.5">
      <c r="A216" s="158">
        <f>COUNTIFS(Calc!$P:$P,A199,Calc!$H:$H,A220,Calc!$J:$J,IF(E220="R","B","F"))</f>
        <v>0</v>
      </c>
      <c r="B216" s="158"/>
      <c r="C216" s="158">
        <f>COUNTIFS(Calc!$P:$P,A199,Calc!$H:$H,A220,Calc!$J:$J,IF(E220="R","F","B"))</f>
        <v>0</v>
      </c>
      <c r="D216" s="158"/>
      <c r="E216" s="74"/>
      <c r="F216" s="74"/>
      <c r="G216" s="76"/>
      <c r="H216" s="74" t="s">
        <v>109</v>
      </c>
      <c r="I216" s="74" t="s">
        <v>110</v>
      </c>
      <c r="K216" s="160">
        <f>COUNTIFS(Calc!$P:$P,K199,Calc!$H:$H,K220,Calc!$J:$J,IF(O220="R","B","F"))</f>
        <v>0</v>
      </c>
      <c r="L216" s="160"/>
      <c r="M216" s="160">
        <f>COUNTIFS(Calc!$P:$P,K199,Calc!$H:$H,K220,Calc!$J:$J,IF(O220="R","F","B"))</f>
        <v>0</v>
      </c>
      <c r="N216" s="160"/>
      <c r="O216" s="73"/>
      <c r="P216" s="73"/>
      <c r="Q216" s="75"/>
      <c r="R216" s="73" t="s">
        <v>177</v>
      </c>
      <c r="S216" s="73" t="s">
        <v>178</v>
      </c>
    </row>
    <row r="217" spans="1:19" ht="19.2" thickTop="1" thickBot="1" x14ac:dyDescent="0.5">
      <c r="A217" s="158"/>
      <c r="B217" s="158"/>
      <c r="C217" s="158"/>
      <c r="D217" s="158"/>
      <c r="E217" s="74" t="s">
        <v>111</v>
      </c>
      <c r="F217" s="74">
        <f>COUNTIFS(Calc!$P:$P,A199,Calc!$H:$H,A220,Calc!$I:$I,E217)</f>
        <v>0</v>
      </c>
      <c r="G217" s="76" t="e">
        <f>F217/SUM(F217:F219)</f>
        <v>#DIV/0!</v>
      </c>
      <c r="H217" s="74">
        <f>COUNTIFS(Calc!$P:$P,A199,Calc!$H:$H,A220,Calc!$I:$I,E217,Calc!$F:$F,A220)</f>
        <v>0</v>
      </c>
      <c r="I217" s="74">
        <f>COUNTIFS(Calc!$P:$P,A199,Calc!$H:$H,A220,Calc!$I:$I,E217,Calc!$F:$F,A201)</f>
        <v>0</v>
      </c>
      <c r="K217" s="160"/>
      <c r="L217" s="160"/>
      <c r="M217" s="160"/>
      <c r="N217" s="160"/>
      <c r="O217" s="73" t="s">
        <v>174</v>
      </c>
      <c r="P217" s="73">
        <f>COUNTIFS(Calc!$P:$P,K199,Calc!$H:$H,K220,Calc!$I:$I,O217)</f>
        <v>0</v>
      </c>
      <c r="Q217" s="75" t="e">
        <f>P217/SUM(P217:P219)</f>
        <v>#DIV/0!</v>
      </c>
      <c r="R217" s="73">
        <f>COUNTIFS(Calc!$P:$P,K199,Calc!$H:$H,K220,Calc!$I:$I,O217,Calc!$F:$F,K220)</f>
        <v>0</v>
      </c>
      <c r="S217" s="73">
        <f>COUNTIFS(Calc!$P:$P,K199,Calc!$H:$H,K220,Calc!$I:$I,O217,Calc!$F:$F,K201)</f>
        <v>0</v>
      </c>
    </row>
    <row r="218" spans="1:19" ht="19.2" thickTop="1" thickBot="1" x14ac:dyDescent="0.5">
      <c r="A218" s="158"/>
      <c r="B218" s="158"/>
      <c r="C218" s="158"/>
      <c r="D218" s="158"/>
      <c r="E218" s="74" t="s">
        <v>112</v>
      </c>
      <c r="F218" s="74">
        <f>COUNTIFS(Calc!$P:$P,A199,Calc!$H:$H,A220,Calc!$I:$I,E218)</f>
        <v>0</v>
      </c>
      <c r="G218" s="76" t="e">
        <f>F218/SUM(F217:F219)</f>
        <v>#DIV/0!</v>
      </c>
      <c r="H218" s="74">
        <f>COUNTIFS(Calc!$P:$P,A199,Calc!$H:$H,A220,Calc!$I:$I,E218,Calc!$F:$F,A220)</f>
        <v>0</v>
      </c>
      <c r="I218" s="74">
        <f>COUNTIFS(Calc!$P:$P,A199,Calc!$H:$H,A220,Calc!$I:$I,E218,Calc!$F:$F,A201)</f>
        <v>0</v>
      </c>
      <c r="K218" s="160"/>
      <c r="L218" s="160"/>
      <c r="M218" s="160"/>
      <c r="N218" s="160"/>
      <c r="O218" s="73" t="s">
        <v>63</v>
      </c>
      <c r="P218" s="73">
        <f>COUNTIFS(Calc!$P:$P,K199,Calc!$H:$H,K220,Calc!$I:$I,O218)</f>
        <v>0</v>
      </c>
      <c r="Q218" s="75" t="e">
        <f>P218/SUM(P217:P219)</f>
        <v>#DIV/0!</v>
      </c>
      <c r="R218" s="73">
        <f>COUNTIFS(Calc!$P:$P,K199,Calc!$H:$H,K220,Calc!$I:$I,O218,Calc!$F:$F,K220)</f>
        <v>0</v>
      </c>
      <c r="S218" s="73">
        <f>COUNTIFS(Calc!$P:$P,K199,Calc!$H:$H,K220,Calc!$I:$I,O218,Calc!$F:$F,K201)</f>
        <v>0</v>
      </c>
    </row>
    <row r="219" spans="1:19" ht="18.600000000000001" thickTop="1" x14ac:dyDescent="0.45">
      <c r="A219" s="161"/>
      <c r="B219" s="161"/>
      <c r="C219" s="161"/>
      <c r="D219" s="161"/>
      <c r="E219" s="74" t="s">
        <v>113</v>
      </c>
      <c r="F219" s="74">
        <f>COUNTIFS(Calc!$P:$P,A199,Calc!$H:$H,A220,Calc!$I:$I,E219)</f>
        <v>0</v>
      </c>
      <c r="G219" s="76" t="e">
        <f>F219/SUM(F217:F219)</f>
        <v>#DIV/0!</v>
      </c>
      <c r="H219" s="74">
        <f>COUNTIFS(Calc!$P:$P,A199,Calc!$H:$H,A220,Calc!$I:$I,E219,Calc!$F:$F,A220)</f>
        <v>0</v>
      </c>
      <c r="I219" s="74">
        <f>COUNTIFS(Calc!$P:$P,A199,Calc!$H:$H,A220,Calc!$I:$I,E219,Calc!$F:$F,A201)</f>
        <v>0</v>
      </c>
      <c r="K219" s="162"/>
      <c r="L219" s="162"/>
      <c r="M219" s="162"/>
      <c r="N219" s="162"/>
      <c r="O219" s="73" t="s">
        <v>61</v>
      </c>
      <c r="P219" s="73">
        <f>COUNTIFS(Calc!$P:$P,K199,Calc!$H:$H,K220,Calc!$I:$I,O219)</f>
        <v>0</v>
      </c>
      <c r="Q219" s="75" t="e">
        <f>P219/SUM(P217:P219)</f>
        <v>#DIV/0!</v>
      </c>
      <c r="R219" s="73">
        <f>COUNTIFS(Calc!$P:$P,K199,Calc!$H:$H,K220,Calc!$I:$I,O219,Calc!$F:$F,K220)</f>
        <v>0</v>
      </c>
      <c r="S219" s="73">
        <f>COUNTIFS(Calc!$P:$P,K199,Calc!$H:$H,K220,Calc!$I:$I,O219,Calc!$F:$F,K201)</f>
        <v>0</v>
      </c>
    </row>
    <row r="220" spans="1:19" x14ac:dyDescent="0.45">
      <c r="A220" s="155" t="str">
        <f>Main!$D$12</f>
        <v>NAMBA Yurika</v>
      </c>
      <c r="B220" s="156"/>
      <c r="C220" s="156"/>
      <c r="D220" s="156"/>
      <c r="E220" s="72" t="str">
        <f>Main!$F$12</f>
        <v>R</v>
      </c>
      <c r="F220" s="79"/>
      <c r="G220" s="80"/>
      <c r="K220" s="155" t="str">
        <f>Main!$D$8</f>
        <v>HIRANO Miu</v>
      </c>
      <c r="L220" s="156"/>
      <c r="M220" s="156"/>
      <c r="N220" s="156"/>
      <c r="O220" s="72" t="str">
        <f>Main!$F$8</f>
        <v>R</v>
      </c>
      <c r="P220" s="79"/>
      <c r="Q220" s="80"/>
    </row>
  </sheetData>
  <mergeCells count="406">
    <mergeCell ref="A220:D220"/>
    <mergeCell ref="K220:N220"/>
    <mergeCell ref="L214:L215"/>
    <mergeCell ref="M214:M215"/>
    <mergeCell ref="N214:N215"/>
    <mergeCell ref="A216:B219"/>
    <mergeCell ref="C216:D219"/>
    <mergeCell ref="K216:L219"/>
    <mergeCell ref="M216:N219"/>
    <mergeCell ref="A214:A215"/>
    <mergeCell ref="B214:B215"/>
    <mergeCell ref="C214:C215"/>
    <mergeCell ref="D214:D215"/>
    <mergeCell ref="K214:K215"/>
    <mergeCell ref="A208:D208"/>
    <mergeCell ref="K208:N208"/>
    <mergeCell ref="A209:D209"/>
    <mergeCell ref="K209:N209"/>
    <mergeCell ref="A212:A213"/>
    <mergeCell ref="B212:B213"/>
    <mergeCell ref="C212:C213"/>
    <mergeCell ref="D212:D213"/>
    <mergeCell ref="K212:K213"/>
    <mergeCell ref="L212:L213"/>
    <mergeCell ref="M212:M213"/>
    <mergeCell ref="N212:N213"/>
    <mergeCell ref="N204:N205"/>
    <mergeCell ref="A206:A207"/>
    <mergeCell ref="B206:B207"/>
    <mergeCell ref="C206:C207"/>
    <mergeCell ref="D206:D207"/>
    <mergeCell ref="K206:K207"/>
    <mergeCell ref="L206:L207"/>
    <mergeCell ref="M206:M207"/>
    <mergeCell ref="N206:N207"/>
    <mergeCell ref="A202:C202"/>
    <mergeCell ref="K202:M202"/>
    <mergeCell ref="A203:C203"/>
    <mergeCell ref="K203:M203"/>
    <mergeCell ref="A204:A205"/>
    <mergeCell ref="B204:B205"/>
    <mergeCell ref="C204:C205"/>
    <mergeCell ref="D204:D205"/>
    <mergeCell ref="K204:K205"/>
    <mergeCell ref="L204:L205"/>
    <mergeCell ref="M204:M205"/>
    <mergeCell ref="A194:D194"/>
    <mergeCell ref="K194:N194"/>
    <mergeCell ref="A198:S198"/>
    <mergeCell ref="A201:D201"/>
    <mergeCell ref="K201:N201"/>
    <mergeCell ref="L188:L189"/>
    <mergeCell ref="M188:M189"/>
    <mergeCell ref="N188:N189"/>
    <mergeCell ref="A190:B193"/>
    <mergeCell ref="C190:D193"/>
    <mergeCell ref="K190:L193"/>
    <mergeCell ref="M190:N193"/>
    <mergeCell ref="A188:A189"/>
    <mergeCell ref="B188:B189"/>
    <mergeCell ref="C188:C189"/>
    <mergeCell ref="D188:D189"/>
    <mergeCell ref="K188:K189"/>
    <mergeCell ref="A182:D182"/>
    <mergeCell ref="K182:N182"/>
    <mergeCell ref="A183:D183"/>
    <mergeCell ref="K183:N183"/>
    <mergeCell ref="A186:A187"/>
    <mergeCell ref="B186:B187"/>
    <mergeCell ref="C186:C187"/>
    <mergeCell ref="D186:D187"/>
    <mergeCell ref="K186:K187"/>
    <mergeCell ref="L186:L187"/>
    <mergeCell ref="M186:M187"/>
    <mergeCell ref="N186:N187"/>
    <mergeCell ref="N178:N179"/>
    <mergeCell ref="A180:A181"/>
    <mergeCell ref="B180:B181"/>
    <mergeCell ref="C180:C181"/>
    <mergeCell ref="D180:D181"/>
    <mergeCell ref="K180:K181"/>
    <mergeCell ref="L180:L181"/>
    <mergeCell ref="M180:M181"/>
    <mergeCell ref="N180:N181"/>
    <mergeCell ref="A176:C176"/>
    <mergeCell ref="K176:M176"/>
    <mergeCell ref="A177:C177"/>
    <mergeCell ref="K177:M177"/>
    <mergeCell ref="A178:A179"/>
    <mergeCell ref="B178:B179"/>
    <mergeCell ref="C178:C179"/>
    <mergeCell ref="D178:D179"/>
    <mergeCell ref="K178:K179"/>
    <mergeCell ref="L178:L179"/>
    <mergeCell ref="M178:M179"/>
    <mergeCell ref="A168:D168"/>
    <mergeCell ref="K168:N168"/>
    <mergeCell ref="A172:S172"/>
    <mergeCell ref="A175:D175"/>
    <mergeCell ref="K175:N175"/>
    <mergeCell ref="L162:L163"/>
    <mergeCell ref="M162:M163"/>
    <mergeCell ref="N162:N163"/>
    <mergeCell ref="A164:B167"/>
    <mergeCell ref="C164:D167"/>
    <mergeCell ref="K164:L167"/>
    <mergeCell ref="M164:N167"/>
    <mergeCell ref="A162:A163"/>
    <mergeCell ref="B162:B163"/>
    <mergeCell ref="C162:C163"/>
    <mergeCell ref="D162:D163"/>
    <mergeCell ref="K162:K163"/>
    <mergeCell ref="A156:D156"/>
    <mergeCell ref="K156:N156"/>
    <mergeCell ref="A157:D157"/>
    <mergeCell ref="K157:N157"/>
    <mergeCell ref="A160:A161"/>
    <mergeCell ref="B160:B161"/>
    <mergeCell ref="C160:C161"/>
    <mergeCell ref="D160:D161"/>
    <mergeCell ref="K160:K161"/>
    <mergeCell ref="L160:L161"/>
    <mergeCell ref="M160:M161"/>
    <mergeCell ref="N160:N161"/>
    <mergeCell ref="N152:N153"/>
    <mergeCell ref="A154:A155"/>
    <mergeCell ref="B154:B155"/>
    <mergeCell ref="C154:C155"/>
    <mergeCell ref="D154:D155"/>
    <mergeCell ref="K154:K155"/>
    <mergeCell ref="L154:L155"/>
    <mergeCell ref="M154:M155"/>
    <mergeCell ref="N154:N155"/>
    <mergeCell ref="A150:C150"/>
    <mergeCell ref="K150:M150"/>
    <mergeCell ref="A151:C151"/>
    <mergeCell ref="K151:M151"/>
    <mergeCell ref="A152:A153"/>
    <mergeCell ref="B152:B153"/>
    <mergeCell ref="C152:C153"/>
    <mergeCell ref="D152:D153"/>
    <mergeCell ref="K152:K153"/>
    <mergeCell ref="L152:L153"/>
    <mergeCell ref="M152:M153"/>
    <mergeCell ref="A142:D142"/>
    <mergeCell ref="K142:N142"/>
    <mergeCell ref="A146:S146"/>
    <mergeCell ref="A149:D149"/>
    <mergeCell ref="K149:N149"/>
    <mergeCell ref="L136:L137"/>
    <mergeCell ref="M136:M137"/>
    <mergeCell ref="N136:N137"/>
    <mergeCell ref="A138:B141"/>
    <mergeCell ref="C138:D141"/>
    <mergeCell ref="K138:L141"/>
    <mergeCell ref="M138:N141"/>
    <mergeCell ref="A136:A137"/>
    <mergeCell ref="B136:B137"/>
    <mergeCell ref="C136:C137"/>
    <mergeCell ref="D136:D137"/>
    <mergeCell ref="K136:K137"/>
    <mergeCell ref="A130:D130"/>
    <mergeCell ref="K130:N130"/>
    <mergeCell ref="A131:D131"/>
    <mergeCell ref="K131:N131"/>
    <mergeCell ref="A134:A135"/>
    <mergeCell ref="B134:B135"/>
    <mergeCell ref="C134:C135"/>
    <mergeCell ref="D134:D135"/>
    <mergeCell ref="K134:K135"/>
    <mergeCell ref="L134:L135"/>
    <mergeCell ref="M134:M135"/>
    <mergeCell ref="N134:N135"/>
    <mergeCell ref="N126:N127"/>
    <mergeCell ref="A128:A129"/>
    <mergeCell ref="B128:B129"/>
    <mergeCell ref="C128:C129"/>
    <mergeCell ref="D128:D129"/>
    <mergeCell ref="K128:K129"/>
    <mergeCell ref="L128:L129"/>
    <mergeCell ref="M128:M129"/>
    <mergeCell ref="N128:N129"/>
    <mergeCell ref="A124:C124"/>
    <mergeCell ref="K124:M124"/>
    <mergeCell ref="A125:C125"/>
    <mergeCell ref="K125:M125"/>
    <mergeCell ref="A126:A127"/>
    <mergeCell ref="B126:B127"/>
    <mergeCell ref="C126:C127"/>
    <mergeCell ref="D126:D127"/>
    <mergeCell ref="K126:K127"/>
    <mergeCell ref="L126:L127"/>
    <mergeCell ref="M126:M127"/>
    <mergeCell ref="A116:D116"/>
    <mergeCell ref="K116:N116"/>
    <mergeCell ref="A120:S120"/>
    <mergeCell ref="A123:D123"/>
    <mergeCell ref="K123:N123"/>
    <mergeCell ref="L110:L111"/>
    <mergeCell ref="M110:M111"/>
    <mergeCell ref="N110:N111"/>
    <mergeCell ref="A112:B115"/>
    <mergeCell ref="C112:D115"/>
    <mergeCell ref="K112:L115"/>
    <mergeCell ref="M112:N115"/>
    <mergeCell ref="A110:A111"/>
    <mergeCell ref="B110:B111"/>
    <mergeCell ref="C110:C111"/>
    <mergeCell ref="D110:D111"/>
    <mergeCell ref="K110:K111"/>
    <mergeCell ref="A104:D104"/>
    <mergeCell ref="K104:N104"/>
    <mergeCell ref="A105:D105"/>
    <mergeCell ref="K105:N105"/>
    <mergeCell ref="A108:A109"/>
    <mergeCell ref="B108:B109"/>
    <mergeCell ref="C108:C109"/>
    <mergeCell ref="D108:D109"/>
    <mergeCell ref="K108:K109"/>
    <mergeCell ref="L108:L109"/>
    <mergeCell ref="M108:M109"/>
    <mergeCell ref="N108:N109"/>
    <mergeCell ref="N100:N101"/>
    <mergeCell ref="A102:A103"/>
    <mergeCell ref="B102:B103"/>
    <mergeCell ref="C102:C103"/>
    <mergeCell ref="D102:D103"/>
    <mergeCell ref="K102:K103"/>
    <mergeCell ref="L102:L103"/>
    <mergeCell ref="M102:M103"/>
    <mergeCell ref="N102:N103"/>
    <mergeCell ref="A98:C98"/>
    <mergeCell ref="K98:M98"/>
    <mergeCell ref="A99:C99"/>
    <mergeCell ref="K99:M99"/>
    <mergeCell ref="A100:A101"/>
    <mergeCell ref="B100:B101"/>
    <mergeCell ref="C100:C101"/>
    <mergeCell ref="D100:D101"/>
    <mergeCell ref="K100:K101"/>
    <mergeCell ref="L100:L101"/>
    <mergeCell ref="M100:M101"/>
    <mergeCell ref="A90:D90"/>
    <mergeCell ref="K90:N90"/>
    <mergeCell ref="A94:S94"/>
    <mergeCell ref="A97:D97"/>
    <mergeCell ref="K97:N97"/>
    <mergeCell ref="L84:L85"/>
    <mergeCell ref="M84:M85"/>
    <mergeCell ref="N84:N85"/>
    <mergeCell ref="A86:B89"/>
    <mergeCell ref="C86:D89"/>
    <mergeCell ref="K86:L89"/>
    <mergeCell ref="M86:N89"/>
    <mergeCell ref="A84:A85"/>
    <mergeCell ref="B84:B85"/>
    <mergeCell ref="C84:C85"/>
    <mergeCell ref="D84:D85"/>
    <mergeCell ref="K84:K85"/>
    <mergeCell ref="A78:D78"/>
    <mergeCell ref="K78:N78"/>
    <mergeCell ref="A79:D79"/>
    <mergeCell ref="K79:N79"/>
    <mergeCell ref="A82:A83"/>
    <mergeCell ref="B82:B83"/>
    <mergeCell ref="C82:C83"/>
    <mergeCell ref="D82:D83"/>
    <mergeCell ref="K82:K83"/>
    <mergeCell ref="L82:L83"/>
    <mergeCell ref="M82:M83"/>
    <mergeCell ref="N82:N83"/>
    <mergeCell ref="N74:N75"/>
    <mergeCell ref="A76:A77"/>
    <mergeCell ref="B76:B77"/>
    <mergeCell ref="C76:C77"/>
    <mergeCell ref="D76:D77"/>
    <mergeCell ref="K76:K77"/>
    <mergeCell ref="L76:L77"/>
    <mergeCell ref="M76:M77"/>
    <mergeCell ref="N76:N77"/>
    <mergeCell ref="A73:C73"/>
    <mergeCell ref="K73:M73"/>
    <mergeCell ref="A74:A75"/>
    <mergeCell ref="B74:B75"/>
    <mergeCell ref="C74:C75"/>
    <mergeCell ref="D74:D75"/>
    <mergeCell ref="K74:K75"/>
    <mergeCell ref="L74:L75"/>
    <mergeCell ref="M74:M75"/>
    <mergeCell ref="A68:S68"/>
    <mergeCell ref="A71:D71"/>
    <mergeCell ref="K71:N71"/>
    <mergeCell ref="A72:C72"/>
    <mergeCell ref="K72:M72"/>
    <mergeCell ref="L50:L51"/>
    <mergeCell ref="M50:M51"/>
    <mergeCell ref="N50:N51"/>
    <mergeCell ref="A48:A49"/>
    <mergeCell ref="B48:B49"/>
    <mergeCell ref="C48:C49"/>
    <mergeCell ref="K50:K51"/>
    <mergeCell ref="A52:D52"/>
    <mergeCell ref="K52:N52"/>
    <mergeCell ref="A53:D53"/>
    <mergeCell ref="K53:N53"/>
    <mergeCell ref="K56:K57"/>
    <mergeCell ref="L56:L57"/>
    <mergeCell ref="A56:A57"/>
    <mergeCell ref="B56:B57"/>
    <mergeCell ref="C56:C57"/>
    <mergeCell ref="D56:D57"/>
    <mergeCell ref="A2:D2"/>
    <mergeCell ref="A3:D3"/>
    <mergeCell ref="K2:N2"/>
    <mergeCell ref="K3:N3"/>
    <mergeCell ref="A13:D13"/>
    <mergeCell ref="A4:D4"/>
    <mergeCell ref="K4:N4"/>
    <mergeCell ref="A5:D5"/>
    <mergeCell ref="K5:N5"/>
    <mergeCell ref="A6:D6"/>
    <mergeCell ref="A7:D7"/>
    <mergeCell ref="A8:D8"/>
    <mergeCell ref="A9:D9"/>
    <mergeCell ref="A10:D10"/>
    <mergeCell ref="K6:N6"/>
    <mergeCell ref="K7:N7"/>
    <mergeCell ref="K13:N13"/>
    <mergeCell ref="A14:D14"/>
    <mergeCell ref="A50:A51"/>
    <mergeCell ref="B50:B51"/>
    <mergeCell ref="C50:C51"/>
    <mergeCell ref="D50:D51"/>
    <mergeCell ref="A45:D45"/>
    <mergeCell ref="A42:S42"/>
    <mergeCell ref="A64:D64"/>
    <mergeCell ref="K64:N64"/>
    <mergeCell ref="M56:M57"/>
    <mergeCell ref="N56:N57"/>
    <mergeCell ref="A58:A59"/>
    <mergeCell ref="B58:B59"/>
    <mergeCell ref="C58:C59"/>
    <mergeCell ref="D58:D59"/>
    <mergeCell ref="K58:K59"/>
    <mergeCell ref="L58:L59"/>
    <mergeCell ref="M58:M59"/>
    <mergeCell ref="N58:N59"/>
    <mergeCell ref="A60:B63"/>
    <mergeCell ref="C60:D63"/>
    <mergeCell ref="K60:L63"/>
    <mergeCell ref="M60:N63"/>
    <mergeCell ref="K45:N45"/>
    <mergeCell ref="A46:C46"/>
    <mergeCell ref="D48:D49"/>
    <mergeCell ref="K48:K49"/>
    <mergeCell ref="L48:L49"/>
    <mergeCell ref="M48:M49"/>
    <mergeCell ref="N48:N49"/>
    <mergeCell ref="A47:C47"/>
    <mergeCell ref="K46:M46"/>
    <mergeCell ref="K47:M47"/>
    <mergeCell ref="K14:N14"/>
    <mergeCell ref="K19:N19"/>
    <mergeCell ref="K8:N8"/>
    <mergeCell ref="K9:N9"/>
    <mergeCell ref="K10:N10"/>
    <mergeCell ref="K15:N15"/>
    <mergeCell ref="K16:N16"/>
    <mergeCell ref="K20:N20"/>
    <mergeCell ref="K21:N21"/>
    <mergeCell ref="A15:D15"/>
    <mergeCell ref="A16:D16"/>
    <mergeCell ref="A17:D17"/>
    <mergeCell ref="A18:D18"/>
    <mergeCell ref="A19:D19"/>
    <mergeCell ref="A20:D20"/>
    <mergeCell ref="A21:D21"/>
    <mergeCell ref="K17:N17"/>
    <mergeCell ref="K18:N18"/>
    <mergeCell ref="A27:S27"/>
    <mergeCell ref="A30:D30"/>
    <mergeCell ref="K30:N30"/>
    <mergeCell ref="A31:C31"/>
    <mergeCell ref="K31:M31"/>
    <mergeCell ref="A32:C32"/>
    <mergeCell ref="K32:M32"/>
    <mergeCell ref="A33:A34"/>
    <mergeCell ref="B33:B34"/>
    <mergeCell ref="C33:C34"/>
    <mergeCell ref="D33:D34"/>
    <mergeCell ref="K33:K34"/>
    <mergeCell ref="L33:L34"/>
    <mergeCell ref="M33:M34"/>
    <mergeCell ref="N33:N34"/>
    <mergeCell ref="A38:D38"/>
    <mergeCell ref="K38:N38"/>
    <mergeCell ref="A35:A36"/>
    <mergeCell ref="B35:B36"/>
    <mergeCell ref="C35:C36"/>
    <mergeCell ref="D35:D36"/>
    <mergeCell ref="K35:K36"/>
    <mergeCell ref="L35:L36"/>
    <mergeCell ref="M35:M36"/>
    <mergeCell ref="N35:N36"/>
    <mergeCell ref="A37:D37"/>
    <mergeCell ref="K37:N37"/>
  </mergeCells>
  <phoneticPr fontId="5"/>
  <pageMargins left="0.39370078740157483" right="0.31496062992125984" top="0.39370078740157483" bottom="0.31496062992125984" header="0" footer="0"/>
  <pageSetup paperSize="9" scale="70" fitToHeight="0" orientation="portrait" horizontalDpi="0" verticalDpi="0" r:id="rId1"/>
  <rowBreaks count="4" manualBreakCount="4">
    <brk id="41" max="16383" man="1"/>
    <brk id="93" max="16383" man="1"/>
    <brk id="145" max="16383" man="1"/>
    <brk id="197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F4149-6415-4684-B9B2-A9DD2AB8DB72}">
  <sheetPr codeName="wsTpAnalysis1">
    <pageSetUpPr fitToPage="1"/>
  </sheetPr>
  <dimension ref="A1:M165"/>
  <sheetViews>
    <sheetView showGridLines="0" workbookViewId="0"/>
  </sheetViews>
  <sheetFormatPr defaultColWidth="9" defaultRowHeight="18" x14ac:dyDescent="0.45"/>
  <cols>
    <col min="1" max="1" width="15.69921875" style="28" customWidth="1"/>
    <col min="2" max="2" width="15.69921875" style="29" customWidth="1"/>
    <col min="3" max="3" width="6.09765625" style="34" customWidth="1"/>
    <col min="4" max="4" width="6.09765625" style="32" customWidth="1"/>
    <col min="5" max="6" width="6.09765625" style="93" customWidth="1"/>
    <col min="7" max="7" width="3.3984375" style="28" customWidth="1"/>
    <col min="8" max="8" width="15.69921875" style="28" customWidth="1"/>
    <col min="9" max="9" width="15.69921875" style="29" customWidth="1"/>
    <col min="10" max="10" width="6.09765625" style="34" customWidth="1"/>
    <col min="11" max="11" width="6.09765625" style="32" customWidth="1"/>
    <col min="12" max="13" width="6.09765625" style="93" customWidth="1"/>
    <col min="14" max="16384" width="9" style="28"/>
  </cols>
  <sheetData>
    <row r="1" spans="1:13" x14ac:dyDescent="0.45">
      <c r="A1" s="28" t="s">
        <v>162</v>
      </c>
    </row>
    <row r="2" spans="1:13" x14ac:dyDescent="0.45">
      <c r="A2" s="165" t="str">
        <f>Main!$B$8</f>
        <v>RedELF</v>
      </c>
      <c r="B2" s="166"/>
      <c r="C2" s="166"/>
      <c r="D2" s="166"/>
      <c r="E2" s="166"/>
      <c r="F2" s="99"/>
      <c r="G2" s="54"/>
      <c r="H2" s="165" t="str">
        <f>Main!$B$12</f>
        <v>Mallets</v>
      </c>
      <c r="I2" s="166"/>
      <c r="J2" s="166"/>
      <c r="K2" s="166"/>
      <c r="L2" s="166"/>
      <c r="M2" s="99"/>
    </row>
    <row r="3" spans="1:13" x14ac:dyDescent="0.45">
      <c r="A3" s="55" t="s">
        <v>141</v>
      </c>
      <c r="B3" s="56" t="s">
        <v>142</v>
      </c>
      <c r="C3" s="57" t="s">
        <v>85</v>
      </c>
      <c r="D3" s="58" t="s">
        <v>86</v>
      </c>
      <c r="E3" s="94" t="s">
        <v>87</v>
      </c>
      <c r="F3" s="100" t="s">
        <v>133</v>
      </c>
      <c r="G3" s="54"/>
      <c r="H3" s="55" t="s">
        <v>141</v>
      </c>
      <c r="I3" s="56" t="s">
        <v>142</v>
      </c>
      <c r="J3" s="57" t="s">
        <v>85</v>
      </c>
      <c r="K3" s="58" t="s">
        <v>86</v>
      </c>
      <c r="L3" s="94" t="s">
        <v>87</v>
      </c>
      <c r="M3" s="100" t="s">
        <v>133</v>
      </c>
    </row>
    <row r="4" spans="1:13" x14ac:dyDescent="0.45">
      <c r="A4" s="167" t="s">
        <v>88</v>
      </c>
      <c r="B4" s="59" t="s">
        <v>88</v>
      </c>
      <c r="C4" s="60">
        <f t="shared" ref="C4:C12" si="0">E4/D4</f>
        <v>0</v>
      </c>
      <c r="D4" s="61">
        <f>D5+D6</f>
        <v>1048550</v>
      </c>
      <c r="E4" s="95">
        <f>E5+E6</f>
        <v>0</v>
      </c>
      <c r="F4" s="96">
        <f>E4-D4</f>
        <v>-1048550</v>
      </c>
      <c r="G4" s="62"/>
      <c r="H4" s="167" t="s">
        <v>88</v>
      </c>
      <c r="I4" s="59" t="s">
        <v>88</v>
      </c>
      <c r="J4" s="60">
        <f t="shared" ref="J4:J12" si="1">L4/K4</f>
        <v>0</v>
      </c>
      <c r="K4" s="61">
        <f>K5+K6</f>
        <v>1048549</v>
      </c>
      <c r="L4" s="95">
        <f>L5+L6</f>
        <v>0</v>
      </c>
      <c r="M4" s="96">
        <f>L4-K4</f>
        <v>-1048549</v>
      </c>
    </row>
    <row r="5" spans="1:13" x14ac:dyDescent="0.45">
      <c r="A5" s="167"/>
      <c r="B5" s="63" t="str">
        <f>Main!$D$12</f>
        <v>NAMBA Yurika</v>
      </c>
      <c r="C5" s="60">
        <f t="shared" si="0"/>
        <v>0</v>
      </c>
      <c r="D5" s="61">
        <f>D8+D11</f>
        <v>26</v>
      </c>
      <c r="E5" s="96">
        <f>E8+E11</f>
        <v>0</v>
      </c>
      <c r="F5" s="96">
        <f>E5-D5</f>
        <v>-26</v>
      </c>
      <c r="G5" s="62"/>
      <c r="H5" s="167"/>
      <c r="I5" s="63" t="str">
        <f>Main!$D$8</f>
        <v>HIRANO Miu</v>
      </c>
      <c r="J5" s="60">
        <f t="shared" si="1"/>
        <v>0</v>
      </c>
      <c r="K5" s="61">
        <f>K8+K11</f>
        <v>25</v>
      </c>
      <c r="L5" s="96">
        <f>L8+L11</f>
        <v>0</v>
      </c>
      <c r="M5" s="96">
        <f>L5-K5</f>
        <v>-25</v>
      </c>
    </row>
    <row r="6" spans="1:13" x14ac:dyDescent="0.45">
      <c r="A6" s="167"/>
      <c r="B6" s="63" t="str">
        <f>Main!$D$14</f>
        <v/>
      </c>
      <c r="C6" s="60">
        <f t="shared" si="0"/>
        <v>0</v>
      </c>
      <c r="D6" s="61">
        <f>D9+D12</f>
        <v>1048524</v>
      </c>
      <c r="E6" s="96">
        <f>E9+E12</f>
        <v>0</v>
      </c>
      <c r="F6" s="96">
        <f t="shared" ref="F6:F12" si="2">E6-D6</f>
        <v>-1048524</v>
      </c>
      <c r="G6" s="62"/>
      <c r="H6" s="167"/>
      <c r="I6" s="63" t="str">
        <f>Main!$D$10</f>
        <v/>
      </c>
      <c r="J6" s="60">
        <f t="shared" si="1"/>
        <v>0</v>
      </c>
      <c r="K6" s="61">
        <f>K9+K12</f>
        <v>1048524</v>
      </c>
      <c r="L6" s="96">
        <f>L9+L12</f>
        <v>0</v>
      </c>
      <c r="M6" s="96">
        <f t="shared" ref="M6:M12" si="3">L6-K6</f>
        <v>-1048524</v>
      </c>
    </row>
    <row r="7" spans="1:13" x14ac:dyDescent="0.45">
      <c r="A7" s="168" t="str">
        <f>Main!$D$8</f>
        <v>HIRANO Miu</v>
      </c>
      <c r="B7" s="59" t="s">
        <v>88</v>
      </c>
      <c r="C7" s="60">
        <f t="shared" si="0"/>
        <v>0</v>
      </c>
      <c r="D7" s="61">
        <f>D8+D9</f>
        <v>26</v>
      </c>
      <c r="E7" s="95">
        <f>E8+E9</f>
        <v>0</v>
      </c>
      <c r="F7" s="96">
        <f t="shared" si="2"/>
        <v>-26</v>
      </c>
      <c r="G7" s="62"/>
      <c r="H7" s="168" t="str">
        <f>Main!$D$12</f>
        <v>NAMBA Yurika</v>
      </c>
      <c r="I7" s="59" t="s">
        <v>88</v>
      </c>
      <c r="J7" s="60">
        <f t="shared" si="1"/>
        <v>0</v>
      </c>
      <c r="K7" s="61">
        <f>K8+K9</f>
        <v>25</v>
      </c>
      <c r="L7" s="95">
        <f>L8+L9</f>
        <v>0</v>
      </c>
      <c r="M7" s="96">
        <f t="shared" si="3"/>
        <v>-25</v>
      </c>
    </row>
    <row r="8" spans="1:13" x14ac:dyDescent="0.45">
      <c r="A8" s="167"/>
      <c r="B8" s="63" t="str">
        <f>Main!$D$12</f>
        <v>NAMBA Yurika</v>
      </c>
      <c r="C8" s="60">
        <f t="shared" si="0"/>
        <v>0</v>
      </c>
      <c r="D8" s="61">
        <f>COUNTIFS(Calc!$H:$H,A7,Calc!$L:$L,B8)</f>
        <v>26</v>
      </c>
      <c r="E8" s="96">
        <f>COUNTIFS(Calc!$H:$H,A7,Calc!$L:$L,B8,Calc!$F:$F,A$2)</f>
        <v>0</v>
      </c>
      <c r="F8" s="96">
        <f t="shared" si="2"/>
        <v>-26</v>
      </c>
      <c r="G8" s="62"/>
      <c r="H8" s="167"/>
      <c r="I8" s="63" t="str">
        <f>Main!$D$8</f>
        <v>HIRANO Miu</v>
      </c>
      <c r="J8" s="60">
        <f t="shared" si="1"/>
        <v>0</v>
      </c>
      <c r="K8" s="61">
        <f>COUNTIFS(Calc!$H:$H,H7,Calc!$L:$L,I8)</f>
        <v>25</v>
      </c>
      <c r="L8" s="96">
        <f>COUNTIFS(Calc!$H:$H,H7,Calc!$L:$L,I8,Calc!$F:$F,H$2)</f>
        <v>0</v>
      </c>
      <c r="M8" s="96">
        <f t="shared" si="3"/>
        <v>-25</v>
      </c>
    </row>
    <row r="9" spans="1:13" x14ac:dyDescent="0.45">
      <c r="A9" s="167"/>
      <c r="B9" s="63" t="str">
        <f>Main!$D$14</f>
        <v/>
      </c>
      <c r="C9" s="60" t="e">
        <f t="shared" si="0"/>
        <v>#DIV/0!</v>
      </c>
      <c r="D9" s="61">
        <f>COUNTIFS(Calc!$H:$H,A7,Calc!$L:$L,B9)</f>
        <v>0</v>
      </c>
      <c r="E9" s="96">
        <f>COUNTIFS(Calc!$H:$H,A7,Calc!$L:$L,B9,Calc!$F:$F,A$2)</f>
        <v>0</v>
      </c>
      <c r="F9" s="96">
        <f t="shared" si="2"/>
        <v>0</v>
      </c>
      <c r="G9" s="62"/>
      <c r="H9" s="167"/>
      <c r="I9" s="63" t="str">
        <f>Main!$D$10</f>
        <v/>
      </c>
      <c r="J9" s="60" t="e">
        <f t="shared" si="1"/>
        <v>#DIV/0!</v>
      </c>
      <c r="K9" s="61">
        <f>COUNTIFS(Calc!$H:$H,H7,Calc!$L:$L,I9)</f>
        <v>0</v>
      </c>
      <c r="L9" s="96">
        <f>COUNTIFS(Calc!$H:$H,H7,Calc!$L:$L,I9,Calc!$F:$F,H$2)</f>
        <v>0</v>
      </c>
      <c r="M9" s="96">
        <f t="shared" si="3"/>
        <v>0</v>
      </c>
    </row>
    <row r="10" spans="1:13" x14ac:dyDescent="0.45">
      <c r="A10" s="168" t="str">
        <f>Main!$D$10</f>
        <v/>
      </c>
      <c r="B10" s="59" t="s">
        <v>88</v>
      </c>
      <c r="C10" s="60">
        <f t="shared" si="0"/>
        <v>0</v>
      </c>
      <c r="D10" s="61">
        <f>D11+D12</f>
        <v>1048524</v>
      </c>
      <c r="E10" s="95">
        <f>E11+E12</f>
        <v>0</v>
      </c>
      <c r="F10" s="96">
        <f t="shared" si="2"/>
        <v>-1048524</v>
      </c>
      <c r="G10" s="62"/>
      <c r="H10" s="168" t="str">
        <f>Main!$D$14</f>
        <v/>
      </c>
      <c r="I10" s="59" t="s">
        <v>88</v>
      </c>
      <c r="J10" s="60">
        <f t="shared" si="1"/>
        <v>0</v>
      </c>
      <c r="K10" s="61">
        <f>K11+K12</f>
        <v>1048524</v>
      </c>
      <c r="L10" s="95">
        <f>L11+L12</f>
        <v>0</v>
      </c>
      <c r="M10" s="96">
        <f t="shared" si="3"/>
        <v>-1048524</v>
      </c>
    </row>
    <row r="11" spans="1:13" x14ac:dyDescent="0.45">
      <c r="A11" s="167"/>
      <c r="B11" s="63" t="str">
        <f>Main!$D$12</f>
        <v>NAMBA Yurika</v>
      </c>
      <c r="C11" s="60" t="e">
        <f t="shared" si="0"/>
        <v>#DIV/0!</v>
      </c>
      <c r="D11" s="61">
        <f>COUNTIFS(Calc!$H:$H,A10,Calc!$L:$L,B11)</f>
        <v>0</v>
      </c>
      <c r="E11" s="96">
        <f>COUNTIFS(Calc!$H:$H,A10,Calc!$L:$L,B11,Calc!$F:$F,A$2)</f>
        <v>0</v>
      </c>
      <c r="F11" s="96">
        <f t="shared" si="2"/>
        <v>0</v>
      </c>
      <c r="G11" s="62"/>
      <c r="H11" s="167"/>
      <c r="I11" s="63" t="str">
        <f>Main!$D$8</f>
        <v>HIRANO Miu</v>
      </c>
      <c r="J11" s="60" t="e">
        <f t="shared" si="1"/>
        <v>#DIV/0!</v>
      </c>
      <c r="K11" s="61">
        <f>COUNTIFS(Calc!$H:$H,H10,Calc!$L:$L,I11)</f>
        <v>0</v>
      </c>
      <c r="L11" s="96">
        <f>COUNTIFS(Calc!$H:$H,H10,Calc!$L:$L,I11,Calc!$F:$F,H$2)</f>
        <v>0</v>
      </c>
      <c r="M11" s="96">
        <f t="shared" si="3"/>
        <v>0</v>
      </c>
    </row>
    <row r="12" spans="1:13" x14ac:dyDescent="0.45">
      <c r="A12" s="167"/>
      <c r="B12" s="63" t="str">
        <f>Main!$D$14</f>
        <v/>
      </c>
      <c r="C12" s="60">
        <f t="shared" si="0"/>
        <v>0</v>
      </c>
      <c r="D12" s="61">
        <f>COUNTIFS(Calc!$H:$H,A10,Calc!$L:$L,B12)</f>
        <v>1048524</v>
      </c>
      <c r="E12" s="96">
        <f>COUNTIFS(Calc!$H:$H,A10,Calc!$L:$L,B12,Calc!$F:$F,A$2)</f>
        <v>0</v>
      </c>
      <c r="F12" s="96">
        <f t="shared" si="2"/>
        <v>-1048524</v>
      </c>
      <c r="G12" s="62"/>
      <c r="H12" s="167"/>
      <c r="I12" s="63" t="str">
        <f>Main!$D$10</f>
        <v/>
      </c>
      <c r="J12" s="60">
        <f t="shared" si="1"/>
        <v>0</v>
      </c>
      <c r="K12" s="61">
        <f>COUNTIFS(Calc!$H:$H,H10,Calc!$L:$L,I12)</f>
        <v>1048524</v>
      </c>
      <c r="L12" s="96">
        <f>COUNTIFS(Calc!$H:$H,H10,Calc!$L:$L,I12,Calc!$F:$F,H$2)</f>
        <v>0</v>
      </c>
      <c r="M12" s="96">
        <f t="shared" si="3"/>
        <v>-1048524</v>
      </c>
    </row>
    <row r="13" spans="1:13" x14ac:dyDescent="0.45">
      <c r="A13" s="62"/>
      <c r="B13" s="62"/>
      <c r="C13" s="64"/>
      <c r="D13" s="65"/>
      <c r="E13" s="97"/>
      <c r="F13" s="97"/>
      <c r="G13" s="62"/>
      <c r="H13" s="62"/>
      <c r="I13" s="62"/>
      <c r="J13" s="64"/>
      <c r="K13" s="65"/>
      <c r="L13" s="97"/>
      <c r="M13" s="97"/>
    </row>
    <row r="14" spans="1:13" x14ac:dyDescent="0.45">
      <c r="A14" s="54" t="s">
        <v>163</v>
      </c>
      <c r="B14" s="62"/>
      <c r="C14" s="64"/>
      <c r="D14" s="65"/>
      <c r="E14" s="97"/>
      <c r="F14" s="97"/>
      <c r="G14" s="62"/>
      <c r="H14" s="62"/>
      <c r="I14" s="62"/>
      <c r="J14" s="64"/>
      <c r="K14" s="65"/>
      <c r="L14" s="97"/>
      <c r="M14" s="97"/>
    </row>
    <row r="15" spans="1:13" x14ac:dyDescent="0.45">
      <c r="A15" s="169" t="str">
        <f>Main!$B$8</f>
        <v>RedELF</v>
      </c>
      <c r="B15" s="170"/>
      <c r="C15" s="170"/>
      <c r="D15" s="170"/>
      <c r="E15" s="170"/>
      <c r="F15" s="101"/>
      <c r="G15" s="62"/>
      <c r="H15" s="169" t="str">
        <f>Main!$B$12</f>
        <v>Mallets</v>
      </c>
      <c r="I15" s="170"/>
      <c r="J15" s="170"/>
      <c r="K15" s="170"/>
      <c r="L15" s="170"/>
      <c r="M15" s="101"/>
    </row>
    <row r="16" spans="1:13" x14ac:dyDescent="0.45">
      <c r="A16" s="56" t="s">
        <v>142</v>
      </c>
      <c r="B16" s="56" t="s">
        <v>141</v>
      </c>
      <c r="C16" s="57" t="s">
        <v>85</v>
      </c>
      <c r="D16" s="58" t="s">
        <v>86</v>
      </c>
      <c r="E16" s="94" t="s">
        <v>87</v>
      </c>
      <c r="F16" s="100" t="s">
        <v>133</v>
      </c>
      <c r="G16" s="62"/>
      <c r="H16" s="56" t="s">
        <v>142</v>
      </c>
      <c r="I16" s="56" t="s">
        <v>141</v>
      </c>
      <c r="J16" s="57" t="s">
        <v>85</v>
      </c>
      <c r="K16" s="58" t="s">
        <v>86</v>
      </c>
      <c r="L16" s="94" t="s">
        <v>87</v>
      </c>
      <c r="M16" s="100" t="s">
        <v>133</v>
      </c>
    </row>
    <row r="17" spans="1:13" x14ac:dyDescent="0.45">
      <c r="A17" s="167" t="s">
        <v>88</v>
      </c>
      <c r="B17" s="59" t="s">
        <v>88</v>
      </c>
      <c r="C17" s="60">
        <f t="shared" ref="C17:C25" si="4">E17/D17</f>
        <v>0</v>
      </c>
      <c r="D17" s="61">
        <f>D18+D19</f>
        <v>1048549</v>
      </c>
      <c r="E17" s="95">
        <f>E18+E19</f>
        <v>0</v>
      </c>
      <c r="F17" s="96">
        <f>E17-D17</f>
        <v>-1048549</v>
      </c>
      <c r="G17" s="62"/>
      <c r="H17" s="167" t="s">
        <v>88</v>
      </c>
      <c r="I17" s="59" t="s">
        <v>88</v>
      </c>
      <c r="J17" s="60">
        <f t="shared" ref="J17:J25" si="5">L17/K17</f>
        <v>0</v>
      </c>
      <c r="K17" s="61">
        <f>K18+K19</f>
        <v>1048550</v>
      </c>
      <c r="L17" s="95">
        <f>L18+L19</f>
        <v>0</v>
      </c>
      <c r="M17" s="96">
        <f>L17-K17</f>
        <v>-1048550</v>
      </c>
    </row>
    <row r="18" spans="1:13" x14ac:dyDescent="0.45">
      <c r="A18" s="167"/>
      <c r="B18" s="63" t="str">
        <f>Main!$D$12</f>
        <v>NAMBA Yurika</v>
      </c>
      <c r="C18" s="60">
        <f t="shared" si="4"/>
        <v>0</v>
      </c>
      <c r="D18" s="61">
        <f>D21+D24</f>
        <v>25</v>
      </c>
      <c r="E18" s="95">
        <f>E21+E24</f>
        <v>0</v>
      </c>
      <c r="F18" s="96">
        <f>E18-D18</f>
        <v>-25</v>
      </c>
      <c r="G18" s="62"/>
      <c r="H18" s="167"/>
      <c r="I18" s="63" t="str">
        <f>Main!$D$8</f>
        <v>HIRANO Miu</v>
      </c>
      <c r="J18" s="60">
        <f t="shared" si="5"/>
        <v>0</v>
      </c>
      <c r="K18" s="61">
        <f>K21+K24</f>
        <v>26</v>
      </c>
      <c r="L18" s="95">
        <f>L21+L24</f>
        <v>0</v>
      </c>
      <c r="M18" s="96">
        <f>L18-K18</f>
        <v>-26</v>
      </c>
    </row>
    <row r="19" spans="1:13" x14ac:dyDescent="0.45">
      <c r="A19" s="167"/>
      <c r="B19" s="63" t="str">
        <f>Main!$D$14</f>
        <v/>
      </c>
      <c r="C19" s="60">
        <f t="shared" si="4"/>
        <v>0</v>
      </c>
      <c r="D19" s="61">
        <f>D22+D25</f>
        <v>1048524</v>
      </c>
      <c r="E19" s="95">
        <f>E22+E25</f>
        <v>0</v>
      </c>
      <c r="F19" s="96">
        <f t="shared" ref="F19:F25" si="6">E19-D19</f>
        <v>-1048524</v>
      </c>
      <c r="G19" s="62"/>
      <c r="H19" s="167"/>
      <c r="I19" s="63" t="str">
        <f>Main!$D$10</f>
        <v/>
      </c>
      <c r="J19" s="60">
        <f t="shared" si="5"/>
        <v>0</v>
      </c>
      <c r="K19" s="61">
        <f>K22+K25</f>
        <v>1048524</v>
      </c>
      <c r="L19" s="95">
        <f>L22+L25</f>
        <v>0</v>
      </c>
      <c r="M19" s="96">
        <f t="shared" ref="M19:M25" si="7">L19-K19</f>
        <v>-1048524</v>
      </c>
    </row>
    <row r="20" spans="1:13" x14ac:dyDescent="0.45">
      <c r="A20" s="168" t="str">
        <f>Main!$D$8</f>
        <v>HIRANO Miu</v>
      </c>
      <c r="B20" s="59" t="s">
        <v>88</v>
      </c>
      <c r="C20" s="60">
        <f t="shared" si="4"/>
        <v>0</v>
      </c>
      <c r="D20" s="61">
        <f>D21+D22</f>
        <v>25</v>
      </c>
      <c r="E20" s="95">
        <f>E21+E22</f>
        <v>0</v>
      </c>
      <c r="F20" s="96">
        <f t="shared" si="6"/>
        <v>-25</v>
      </c>
      <c r="G20" s="62"/>
      <c r="H20" s="168" t="str">
        <f>Main!$D$12</f>
        <v>NAMBA Yurika</v>
      </c>
      <c r="I20" s="59" t="s">
        <v>88</v>
      </c>
      <c r="J20" s="60">
        <f t="shared" si="5"/>
        <v>0</v>
      </c>
      <c r="K20" s="61">
        <f>K21+K22</f>
        <v>26</v>
      </c>
      <c r="L20" s="95">
        <f>L21+L22</f>
        <v>0</v>
      </c>
      <c r="M20" s="96">
        <f t="shared" si="7"/>
        <v>-26</v>
      </c>
    </row>
    <row r="21" spans="1:13" x14ac:dyDescent="0.45">
      <c r="A21" s="167"/>
      <c r="B21" s="63" t="str">
        <f>Main!$D$12</f>
        <v>NAMBA Yurika</v>
      </c>
      <c r="C21" s="60">
        <f t="shared" si="4"/>
        <v>0</v>
      </c>
      <c r="D21" s="61">
        <f>COUNTIFS(Calc!$L:$L,A20,Calc!$H:$H,B21)</f>
        <v>25</v>
      </c>
      <c r="E21" s="96">
        <f>COUNTIFS(Calc!$L:$L,A20,Calc!$H:$H,B21,Calc!$F:$F,A$15)</f>
        <v>0</v>
      </c>
      <c r="F21" s="96">
        <f t="shared" si="6"/>
        <v>-25</v>
      </c>
      <c r="G21" s="62"/>
      <c r="H21" s="167"/>
      <c r="I21" s="63" t="str">
        <f>Main!$D$8</f>
        <v>HIRANO Miu</v>
      </c>
      <c r="J21" s="60">
        <f t="shared" si="5"/>
        <v>0</v>
      </c>
      <c r="K21" s="61">
        <f>COUNTIFS(Calc!$L:$L,H20,Calc!$H:$H,I21)</f>
        <v>26</v>
      </c>
      <c r="L21" s="96">
        <f>COUNTIFS(Calc!$L:$L,H20,Calc!$H:$H,I21,Calc!$F:$F,H$15)</f>
        <v>0</v>
      </c>
      <c r="M21" s="96">
        <f t="shared" si="7"/>
        <v>-26</v>
      </c>
    </row>
    <row r="22" spans="1:13" x14ac:dyDescent="0.45">
      <c r="A22" s="167"/>
      <c r="B22" s="63" t="str">
        <f>Main!$D$14</f>
        <v/>
      </c>
      <c r="C22" s="60" t="e">
        <f t="shared" si="4"/>
        <v>#DIV/0!</v>
      </c>
      <c r="D22" s="61">
        <f>COUNTIFS(Calc!$L:$L,A20,Calc!$H:$H,B22)</f>
        <v>0</v>
      </c>
      <c r="E22" s="96">
        <f>COUNTIFS(Calc!$L:$L,A20,Calc!$H:$H,B22,Calc!$F:$F,A$15)</f>
        <v>0</v>
      </c>
      <c r="F22" s="96">
        <f t="shared" si="6"/>
        <v>0</v>
      </c>
      <c r="G22" s="62"/>
      <c r="H22" s="167"/>
      <c r="I22" s="63" t="str">
        <f>Main!$D$10</f>
        <v/>
      </c>
      <c r="J22" s="60" t="e">
        <f t="shared" si="5"/>
        <v>#DIV/0!</v>
      </c>
      <c r="K22" s="61">
        <f>COUNTIFS(Calc!$L:$L,H20,Calc!$H:$H,I22)</f>
        <v>0</v>
      </c>
      <c r="L22" s="96">
        <f>COUNTIFS(Calc!$L:$L,H20,Calc!$H:$H,I22,Calc!$F:$F,H$15)</f>
        <v>0</v>
      </c>
      <c r="M22" s="96">
        <f t="shared" si="7"/>
        <v>0</v>
      </c>
    </row>
    <row r="23" spans="1:13" x14ac:dyDescent="0.45">
      <c r="A23" s="168" t="str">
        <f>Main!$D$10</f>
        <v/>
      </c>
      <c r="B23" s="59" t="s">
        <v>88</v>
      </c>
      <c r="C23" s="60">
        <f t="shared" si="4"/>
        <v>0</v>
      </c>
      <c r="D23" s="61">
        <f>D24+D25</f>
        <v>1048524</v>
      </c>
      <c r="E23" s="95">
        <f>E24+E25</f>
        <v>0</v>
      </c>
      <c r="F23" s="96">
        <f t="shared" si="6"/>
        <v>-1048524</v>
      </c>
      <c r="G23" s="62"/>
      <c r="H23" s="168" t="str">
        <f>Main!$D$14</f>
        <v/>
      </c>
      <c r="I23" s="59" t="s">
        <v>88</v>
      </c>
      <c r="J23" s="60">
        <f t="shared" si="5"/>
        <v>0</v>
      </c>
      <c r="K23" s="61">
        <f>K24+K25</f>
        <v>1048524</v>
      </c>
      <c r="L23" s="95">
        <f>L24+L25</f>
        <v>0</v>
      </c>
      <c r="M23" s="96">
        <f t="shared" si="7"/>
        <v>-1048524</v>
      </c>
    </row>
    <row r="24" spans="1:13" x14ac:dyDescent="0.45">
      <c r="A24" s="167"/>
      <c r="B24" s="63" t="str">
        <f>Main!$D$12</f>
        <v>NAMBA Yurika</v>
      </c>
      <c r="C24" s="60" t="e">
        <f t="shared" si="4"/>
        <v>#DIV/0!</v>
      </c>
      <c r="D24" s="61">
        <f>COUNTIFS(Calc!$L:$L,A23,Calc!$H:$H,B24)</f>
        <v>0</v>
      </c>
      <c r="E24" s="96">
        <f>COUNTIFS(Calc!$L:$L,A23,Calc!$H:$H,B24,Calc!$F:$F,A$15)</f>
        <v>0</v>
      </c>
      <c r="F24" s="96">
        <f t="shared" si="6"/>
        <v>0</v>
      </c>
      <c r="G24" s="62"/>
      <c r="H24" s="167"/>
      <c r="I24" s="63" t="str">
        <f>Main!$D$8</f>
        <v>HIRANO Miu</v>
      </c>
      <c r="J24" s="60" t="e">
        <f t="shared" si="5"/>
        <v>#DIV/0!</v>
      </c>
      <c r="K24" s="61">
        <f>COUNTIFS(Calc!$L:$L,H23,Calc!$H:$H,I24)</f>
        <v>0</v>
      </c>
      <c r="L24" s="96">
        <f>COUNTIFS(Calc!$L:$L,H23,Calc!$H:$H,I24,Calc!$F:$F,H$15)</f>
        <v>0</v>
      </c>
      <c r="M24" s="96">
        <f t="shared" si="7"/>
        <v>0</v>
      </c>
    </row>
    <row r="25" spans="1:13" x14ac:dyDescent="0.45">
      <c r="A25" s="167"/>
      <c r="B25" s="63" t="str">
        <f>Main!$D$14</f>
        <v/>
      </c>
      <c r="C25" s="60">
        <f t="shared" si="4"/>
        <v>0</v>
      </c>
      <c r="D25" s="61">
        <f>COUNTIFS(Calc!$L:$L,A23,Calc!$H:$H,B25)</f>
        <v>1048524</v>
      </c>
      <c r="E25" s="96">
        <f>COUNTIFS(Calc!$L:$L,A23,Calc!$H:$H,B25,Calc!$F:$F,A$15)</f>
        <v>0</v>
      </c>
      <c r="F25" s="96">
        <f t="shared" si="6"/>
        <v>-1048524</v>
      </c>
      <c r="G25" s="62"/>
      <c r="H25" s="167"/>
      <c r="I25" s="63" t="str">
        <f>Main!$D$10</f>
        <v/>
      </c>
      <c r="J25" s="60">
        <f t="shared" si="5"/>
        <v>0</v>
      </c>
      <c r="K25" s="61">
        <f>COUNTIFS(Calc!$L:$L,H23,Calc!$H:$H,I25)</f>
        <v>1048524</v>
      </c>
      <c r="L25" s="96">
        <f>COUNTIFS(Calc!$L:$L,H23,Calc!$H:$H,I25,Calc!$F:$F,H$15)</f>
        <v>0</v>
      </c>
      <c r="M25" s="96">
        <f t="shared" si="7"/>
        <v>-1048524</v>
      </c>
    </row>
    <row r="26" spans="1:13" x14ac:dyDescent="0.45">
      <c r="A26" s="31"/>
      <c r="D26" s="33"/>
      <c r="E26" s="98"/>
      <c r="F26" s="98"/>
      <c r="G26" s="30"/>
      <c r="H26" s="31"/>
    </row>
    <row r="27" spans="1:13" x14ac:dyDescent="0.45">
      <c r="A27" s="31"/>
      <c r="D27" s="33"/>
      <c r="E27" s="98"/>
      <c r="F27" s="98"/>
      <c r="G27" s="30"/>
      <c r="H27" s="31"/>
    </row>
    <row r="28" spans="1:13" x14ac:dyDescent="0.45">
      <c r="A28" s="31"/>
      <c r="D28" s="33"/>
      <c r="E28" s="98"/>
      <c r="F28" s="98"/>
      <c r="G28" s="30"/>
      <c r="H28" s="31"/>
    </row>
    <row r="29" spans="1:13" x14ac:dyDescent="0.45">
      <c r="A29" s="28" t="s">
        <v>165</v>
      </c>
    </row>
    <row r="30" spans="1:13" x14ac:dyDescent="0.45">
      <c r="A30" s="165" t="str">
        <f>Main!$B$8</f>
        <v>RedELF</v>
      </c>
      <c r="B30" s="166"/>
      <c r="C30" s="166"/>
      <c r="D30" s="166"/>
      <c r="E30" s="166"/>
      <c r="F30" s="99"/>
      <c r="G30" s="54"/>
      <c r="H30" s="165" t="str">
        <f>Main!$B$12</f>
        <v>Mallets</v>
      </c>
      <c r="I30" s="166"/>
      <c r="J30" s="166"/>
      <c r="K30" s="166"/>
      <c r="L30" s="166"/>
      <c r="M30" s="99"/>
    </row>
    <row r="31" spans="1:13" x14ac:dyDescent="0.45">
      <c r="A31" s="55" t="s">
        <v>141</v>
      </c>
      <c r="B31" s="56" t="s">
        <v>142</v>
      </c>
      <c r="C31" s="57" t="s">
        <v>85</v>
      </c>
      <c r="D31" s="58" t="s">
        <v>86</v>
      </c>
      <c r="E31" s="94" t="s">
        <v>87</v>
      </c>
      <c r="F31" s="100" t="s">
        <v>133</v>
      </c>
      <c r="G31" s="54"/>
      <c r="H31" s="55" t="s">
        <v>141</v>
      </c>
      <c r="I31" s="56" t="s">
        <v>142</v>
      </c>
      <c r="J31" s="57" t="s">
        <v>85</v>
      </c>
      <c r="K31" s="58" t="s">
        <v>86</v>
      </c>
      <c r="L31" s="94" t="s">
        <v>87</v>
      </c>
      <c r="M31" s="100" t="s">
        <v>133</v>
      </c>
    </row>
    <row r="32" spans="1:13" x14ac:dyDescent="0.45">
      <c r="A32" s="167" t="s">
        <v>88</v>
      </c>
      <c r="B32" s="59" t="s">
        <v>88</v>
      </c>
      <c r="C32" s="60">
        <f>IFERROR(E32/D32,0)</f>
        <v>0</v>
      </c>
      <c r="D32" s="61">
        <f>D33+D34</f>
        <v>8</v>
      </c>
      <c r="E32" s="95">
        <f>E33+E34</f>
        <v>0</v>
      </c>
      <c r="F32" s="96">
        <f>E32-D32</f>
        <v>-8</v>
      </c>
      <c r="G32" s="62"/>
      <c r="H32" s="167" t="s">
        <v>88</v>
      </c>
      <c r="I32" s="59" t="s">
        <v>88</v>
      </c>
      <c r="J32" s="60">
        <f>IFERROR(L32/K32,0)</f>
        <v>0</v>
      </c>
      <c r="K32" s="61">
        <f>K33+K34</f>
        <v>9</v>
      </c>
      <c r="L32" s="95">
        <f>L33+L34</f>
        <v>0</v>
      </c>
      <c r="M32" s="96">
        <f>L32-K32</f>
        <v>-9</v>
      </c>
    </row>
    <row r="33" spans="1:13" x14ac:dyDescent="0.45">
      <c r="A33" s="167"/>
      <c r="B33" s="63" t="str">
        <f>Main!$D$12</f>
        <v>NAMBA Yurika</v>
      </c>
      <c r="C33" s="60">
        <f>IFERROR(E33/D33,0)</f>
        <v>0</v>
      </c>
      <c r="D33" s="61">
        <f>D36+D39</f>
        <v>8</v>
      </c>
      <c r="E33" s="96">
        <f>E36+E39</f>
        <v>0</v>
      </c>
      <c r="F33" s="96">
        <f>E33-D33</f>
        <v>-8</v>
      </c>
      <c r="G33" s="62"/>
      <c r="H33" s="167"/>
      <c r="I33" s="63" t="str">
        <f>Main!$D$8</f>
        <v>HIRANO Miu</v>
      </c>
      <c r="J33" s="60">
        <f>IFERROR(L33/K33,0)</f>
        <v>0</v>
      </c>
      <c r="K33" s="61">
        <f>K36+K39</f>
        <v>9</v>
      </c>
      <c r="L33" s="96">
        <f>L36+L39</f>
        <v>0</v>
      </c>
      <c r="M33" s="96">
        <f>L33-K33</f>
        <v>-9</v>
      </c>
    </row>
    <row r="34" spans="1:13" x14ac:dyDescent="0.45">
      <c r="A34" s="167"/>
      <c r="B34" s="63" t="str">
        <f>Main!$D$14</f>
        <v/>
      </c>
      <c r="C34" s="60">
        <f t="shared" ref="C34:C40" si="8">IFERROR(E34/D34,0)</f>
        <v>0</v>
      </c>
      <c r="D34" s="61">
        <f>D37+D40</f>
        <v>0</v>
      </c>
      <c r="E34" s="96">
        <f>E37+E40</f>
        <v>0</v>
      </c>
      <c r="F34" s="96">
        <f t="shared" ref="F34:F40" si="9">E34-D34</f>
        <v>0</v>
      </c>
      <c r="G34" s="62"/>
      <c r="H34" s="167"/>
      <c r="I34" s="63" t="str">
        <f>Main!$D$10</f>
        <v/>
      </c>
      <c r="J34" s="60">
        <f t="shared" ref="J34:J40" si="10">IFERROR(L34/K34,0)</f>
        <v>0</v>
      </c>
      <c r="K34" s="61">
        <f>K37+K40</f>
        <v>0</v>
      </c>
      <c r="L34" s="96">
        <f>L37+L40</f>
        <v>0</v>
      </c>
      <c r="M34" s="96">
        <f t="shared" ref="M34:M40" si="11">L34-K34</f>
        <v>0</v>
      </c>
    </row>
    <row r="35" spans="1:13" x14ac:dyDescent="0.45">
      <c r="A35" s="168" t="str">
        <f>Main!$D$8</f>
        <v>HIRANO Miu</v>
      </c>
      <c r="B35" s="59" t="s">
        <v>88</v>
      </c>
      <c r="C35" s="60">
        <f t="shared" si="8"/>
        <v>0</v>
      </c>
      <c r="D35" s="61">
        <f>D36+D37</f>
        <v>8</v>
      </c>
      <c r="E35" s="95">
        <f>E36+E37</f>
        <v>0</v>
      </c>
      <c r="F35" s="96">
        <f t="shared" si="9"/>
        <v>-8</v>
      </c>
      <c r="G35" s="62"/>
      <c r="H35" s="168" t="str">
        <f>Main!$D$12</f>
        <v>NAMBA Yurika</v>
      </c>
      <c r="I35" s="59" t="s">
        <v>88</v>
      </c>
      <c r="J35" s="60">
        <f t="shared" si="10"/>
        <v>0</v>
      </c>
      <c r="K35" s="61">
        <f>K36+K37</f>
        <v>9</v>
      </c>
      <c r="L35" s="95">
        <f>L36+L37</f>
        <v>0</v>
      </c>
      <c r="M35" s="96">
        <f t="shared" si="11"/>
        <v>-9</v>
      </c>
    </row>
    <row r="36" spans="1:13" x14ac:dyDescent="0.45">
      <c r="A36" s="167"/>
      <c r="B36" s="63" t="str">
        <f>Main!$D$12</f>
        <v>NAMBA Yurika</v>
      </c>
      <c r="C36" s="60">
        <f t="shared" si="8"/>
        <v>0</v>
      </c>
      <c r="D36" s="61">
        <f>COUNTIFS(Calc!$P:$P,1,Calc!$H:$H,A35,Calc!$L:$L,B36)</f>
        <v>8</v>
      </c>
      <c r="E36" s="96">
        <f>COUNTIFS(Calc!$P:$P,1,Calc!$H:$H,A35,Calc!$L:$L,B36,Calc!$F:$F,A$2)</f>
        <v>0</v>
      </c>
      <c r="F36" s="96">
        <f t="shared" si="9"/>
        <v>-8</v>
      </c>
      <c r="G36" s="62"/>
      <c r="H36" s="167"/>
      <c r="I36" s="63" t="str">
        <f>Main!$D$8</f>
        <v>HIRANO Miu</v>
      </c>
      <c r="J36" s="60">
        <f t="shared" si="10"/>
        <v>0</v>
      </c>
      <c r="K36" s="61">
        <f>COUNTIFS(Calc!$P:$P,1,Calc!$H:$H,H35,Calc!$L:$L,I36)</f>
        <v>9</v>
      </c>
      <c r="L36" s="96">
        <f>COUNTIFS(Calc!$P:$P,1,Calc!$H:$H,H35,Calc!$L:$L,I36,Calc!$F:$F,H$2)</f>
        <v>0</v>
      </c>
      <c r="M36" s="96">
        <f t="shared" si="11"/>
        <v>-9</v>
      </c>
    </row>
    <row r="37" spans="1:13" x14ac:dyDescent="0.45">
      <c r="A37" s="167"/>
      <c r="B37" s="63" t="str">
        <f>Main!$D$14</f>
        <v/>
      </c>
      <c r="C37" s="60">
        <f t="shared" si="8"/>
        <v>0</v>
      </c>
      <c r="D37" s="61">
        <f>COUNTIFS(Calc!$P:$P,1,Calc!$H:$H,A35,Calc!$L:$L,B37)</f>
        <v>0</v>
      </c>
      <c r="E37" s="96">
        <f>COUNTIFS(Calc!$P:$P,1,Calc!$H:$H,A35,Calc!$L:$L,B37,Calc!$F:$F,A$2)</f>
        <v>0</v>
      </c>
      <c r="F37" s="96">
        <f t="shared" si="9"/>
        <v>0</v>
      </c>
      <c r="G37" s="62"/>
      <c r="H37" s="167"/>
      <c r="I37" s="63" t="str">
        <f>Main!$D$10</f>
        <v/>
      </c>
      <c r="J37" s="60">
        <f t="shared" si="10"/>
        <v>0</v>
      </c>
      <c r="K37" s="61">
        <f>COUNTIFS(Calc!$P:$P,1,Calc!$H:$H,H35,Calc!$L:$L,I37)</f>
        <v>0</v>
      </c>
      <c r="L37" s="96">
        <f>COUNTIFS(Calc!$P:$P,1,Calc!$H:$H,H35,Calc!$L:$L,I37,Calc!$F:$F,H$2)</f>
        <v>0</v>
      </c>
      <c r="M37" s="96">
        <f t="shared" si="11"/>
        <v>0</v>
      </c>
    </row>
    <row r="38" spans="1:13" x14ac:dyDescent="0.45">
      <c r="A38" s="168" t="str">
        <f>Main!$D$10</f>
        <v/>
      </c>
      <c r="B38" s="59" t="s">
        <v>88</v>
      </c>
      <c r="C38" s="60">
        <f t="shared" si="8"/>
        <v>0</v>
      </c>
      <c r="D38" s="61">
        <f>D39+D40</f>
        <v>0</v>
      </c>
      <c r="E38" s="95">
        <f>E39+E40</f>
        <v>0</v>
      </c>
      <c r="F38" s="96">
        <f t="shared" si="9"/>
        <v>0</v>
      </c>
      <c r="G38" s="62"/>
      <c r="H38" s="168" t="str">
        <f>Main!$D$14</f>
        <v/>
      </c>
      <c r="I38" s="59" t="s">
        <v>88</v>
      </c>
      <c r="J38" s="60">
        <f t="shared" si="10"/>
        <v>0</v>
      </c>
      <c r="K38" s="61">
        <f>K39+K40</f>
        <v>0</v>
      </c>
      <c r="L38" s="95">
        <f>L39+L40</f>
        <v>0</v>
      </c>
      <c r="M38" s="96">
        <f t="shared" si="11"/>
        <v>0</v>
      </c>
    </row>
    <row r="39" spans="1:13" x14ac:dyDescent="0.45">
      <c r="A39" s="167"/>
      <c r="B39" s="63" t="str">
        <f>Main!$D$12</f>
        <v>NAMBA Yurika</v>
      </c>
      <c r="C39" s="60">
        <f t="shared" si="8"/>
        <v>0</v>
      </c>
      <c r="D39" s="61">
        <f>COUNTIFS(Calc!$P:$P,1,Calc!$H:$H,A38,Calc!$L:$L,B39)</f>
        <v>0</v>
      </c>
      <c r="E39" s="96">
        <f>COUNTIFS(Calc!$P:$P,1,Calc!$H:$H,A38,Calc!$L:$L,B39,Calc!$F:$F,A$2)</f>
        <v>0</v>
      </c>
      <c r="F39" s="96">
        <f t="shared" si="9"/>
        <v>0</v>
      </c>
      <c r="G39" s="62"/>
      <c r="H39" s="167"/>
      <c r="I39" s="63" t="str">
        <f>Main!$D$8</f>
        <v>HIRANO Miu</v>
      </c>
      <c r="J39" s="60">
        <f t="shared" si="10"/>
        <v>0</v>
      </c>
      <c r="K39" s="61">
        <f>COUNTIFS(Calc!$P:$P,1,Calc!$H:$H,H38,Calc!$L:$L,I39)</f>
        <v>0</v>
      </c>
      <c r="L39" s="96">
        <f>COUNTIFS(Calc!$P:$P,1,Calc!$H:$H,H38,Calc!$L:$L,I39,Calc!$F:$F,H$2)</f>
        <v>0</v>
      </c>
      <c r="M39" s="96">
        <f t="shared" si="11"/>
        <v>0</v>
      </c>
    </row>
    <row r="40" spans="1:13" x14ac:dyDescent="0.45">
      <c r="A40" s="167"/>
      <c r="B40" s="63" t="str">
        <f>Main!$D$14</f>
        <v/>
      </c>
      <c r="C40" s="60">
        <f t="shared" si="8"/>
        <v>0</v>
      </c>
      <c r="D40" s="61">
        <f>COUNTIFS(Calc!$P:$P,1,Calc!$H:$H,A38,Calc!$L:$L,B40)</f>
        <v>0</v>
      </c>
      <c r="E40" s="96">
        <f>COUNTIFS(Calc!$P:$P,1,Calc!$H:$H,A38,Calc!$L:$L,B40,Calc!$F:$F,A$2)</f>
        <v>0</v>
      </c>
      <c r="F40" s="96">
        <f t="shared" si="9"/>
        <v>0</v>
      </c>
      <c r="G40" s="62"/>
      <c r="H40" s="167"/>
      <c r="I40" s="63" t="str">
        <f>Main!$D$10</f>
        <v/>
      </c>
      <c r="J40" s="60">
        <f t="shared" si="10"/>
        <v>0</v>
      </c>
      <c r="K40" s="61">
        <f>COUNTIFS(Calc!$P:$P,1,Calc!$H:$H,H38,Calc!$L:$L,I40)</f>
        <v>0</v>
      </c>
      <c r="L40" s="96">
        <f>COUNTIFS(Calc!$P:$P,1,Calc!$H:$H,H38,Calc!$L:$L,I40,Calc!$F:$F,H$2)</f>
        <v>0</v>
      </c>
      <c r="M40" s="96">
        <f t="shared" si="11"/>
        <v>0</v>
      </c>
    </row>
    <row r="41" spans="1:13" x14ac:dyDescent="0.45">
      <c r="A41" s="62"/>
      <c r="B41" s="62"/>
      <c r="C41" s="64"/>
      <c r="D41" s="65"/>
      <c r="E41" s="97"/>
      <c r="F41" s="97"/>
      <c r="G41" s="62"/>
      <c r="H41" s="62"/>
      <c r="I41" s="62"/>
      <c r="J41" s="64"/>
      <c r="K41" s="65"/>
      <c r="L41" s="97"/>
      <c r="M41" s="97"/>
    </row>
    <row r="42" spans="1:13" x14ac:dyDescent="0.45">
      <c r="A42" s="54" t="s">
        <v>166</v>
      </c>
      <c r="B42" s="62"/>
      <c r="C42" s="64"/>
      <c r="D42" s="65"/>
      <c r="E42" s="97"/>
      <c r="F42" s="97"/>
      <c r="G42" s="62"/>
      <c r="H42" s="62"/>
      <c r="I42" s="62"/>
      <c r="J42" s="64"/>
      <c r="K42" s="65"/>
      <c r="L42" s="97"/>
      <c r="M42" s="97"/>
    </row>
    <row r="43" spans="1:13" x14ac:dyDescent="0.45">
      <c r="A43" s="169" t="str">
        <f>Main!$B$8</f>
        <v>RedELF</v>
      </c>
      <c r="B43" s="170"/>
      <c r="C43" s="170"/>
      <c r="D43" s="170"/>
      <c r="E43" s="170"/>
      <c r="F43" s="101"/>
      <c r="G43" s="62"/>
      <c r="H43" s="165" t="str">
        <f>Main!$B$12</f>
        <v>Mallets</v>
      </c>
      <c r="I43" s="166"/>
      <c r="J43" s="166"/>
      <c r="K43" s="166"/>
      <c r="L43" s="166"/>
      <c r="M43" s="99"/>
    </row>
    <row r="44" spans="1:13" x14ac:dyDescent="0.45">
      <c r="A44" s="56" t="s">
        <v>142</v>
      </c>
      <c r="B44" s="56" t="s">
        <v>141</v>
      </c>
      <c r="C44" s="57" t="s">
        <v>85</v>
      </c>
      <c r="D44" s="58" t="s">
        <v>86</v>
      </c>
      <c r="E44" s="94" t="s">
        <v>87</v>
      </c>
      <c r="F44" s="100" t="s">
        <v>133</v>
      </c>
      <c r="G44" s="62"/>
      <c r="H44" s="56" t="s">
        <v>142</v>
      </c>
      <c r="I44" s="56" t="s">
        <v>141</v>
      </c>
      <c r="J44" s="57" t="s">
        <v>85</v>
      </c>
      <c r="K44" s="58" t="s">
        <v>86</v>
      </c>
      <c r="L44" s="94" t="s">
        <v>87</v>
      </c>
      <c r="M44" s="100" t="s">
        <v>133</v>
      </c>
    </row>
    <row r="45" spans="1:13" x14ac:dyDescent="0.45">
      <c r="A45" s="167" t="s">
        <v>88</v>
      </c>
      <c r="B45" s="59" t="s">
        <v>88</v>
      </c>
      <c r="C45" s="60">
        <f>IFERROR(E45/D45,0)</f>
        <v>0</v>
      </c>
      <c r="D45" s="61">
        <f>D46+D47</f>
        <v>9</v>
      </c>
      <c r="E45" s="95">
        <f>E46+E47</f>
        <v>0</v>
      </c>
      <c r="F45" s="96">
        <f>E45-D45</f>
        <v>-9</v>
      </c>
      <c r="G45" s="62"/>
      <c r="H45" s="167" t="s">
        <v>88</v>
      </c>
      <c r="I45" s="59" t="s">
        <v>88</v>
      </c>
      <c r="J45" s="60">
        <f>IFERROR(L45/K45,0)</f>
        <v>0</v>
      </c>
      <c r="K45" s="61">
        <f>K46+K47</f>
        <v>8</v>
      </c>
      <c r="L45" s="95">
        <f>L46+L47</f>
        <v>0</v>
      </c>
      <c r="M45" s="96">
        <f>L45-K45</f>
        <v>-8</v>
      </c>
    </row>
    <row r="46" spans="1:13" x14ac:dyDescent="0.45">
      <c r="A46" s="167"/>
      <c r="B46" s="63" t="str">
        <f>Main!$D$12</f>
        <v>NAMBA Yurika</v>
      </c>
      <c r="C46" s="60">
        <f>IFERROR(E46/D46,0)</f>
        <v>0</v>
      </c>
      <c r="D46" s="61">
        <f>D49+D52</f>
        <v>9</v>
      </c>
      <c r="E46" s="95">
        <f>E49+E52</f>
        <v>0</v>
      </c>
      <c r="F46" s="96">
        <f>E46-D46</f>
        <v>-9</v>
      </c>
      <c r="G46" s="62"/>
      <c r="H46" s="167"/>
      <c r="I46" s="63" t="str">
        <f>Main!$D$8</f>
        <v>HIRANO Miu</v>
      </c>
      <c r="J46" s="60">
        <f>IFERROR(L46/K46,0)</f>
        <v>0</v>
      </c>
      <c r="K46" s="61">
        <f>K49+K52</f>
        <v>8</v>
      </c>
      <c r="L46" s="95">
        <f>L49+L52</f>
        <v>0</v>
      </c>
      <c r="M46" s="96">
        <f>L46-K46</f>
        <v>-8</v>
      </c>
    </row>
    <row r="47" spans="1:13" x14ac:dyDescent="0.45">
      <c r="A47" s="167"/>
      <c r="B47" s="63" t="str">
        <f>Main!$D$14</f>
        <v/>
      </c>
      <c r="C47" s="60">
        <f t="shared" ref="C47:C53" si="12">IFERROR(E47/D47,0)</f>
        <v>0</v>
      </c>
      <c r="D47" s="61">
        <f>D50+D53</f>
        <v>0</v>
      </c>
      <c r="E47" s="95">
        <f>E50+E53</f>
        <v>0</v>
      </c>
      <c r="F47" s="96">
        <f t="shared" ref="F47:F53" si="13">E47-D47</f>
        <v>0</v>
      </c>
      <c r="G47" s="62"/>
      <c r="H47" s="167"/>
      <c r="I47" s="63" t="str">
        <f>Main!$D$10</f>
        <v/>
      </c>
      <c r="J47" s="60">
        <f t="shared" ref="J47:J53" si="14">IFERROR(L47/K47,0)</f>
        <v>0</v>
      </c>
      <c r="K47" s="61">
        <f>K50+K53</f>
        <v>0</v>
      </c>
      <c r="L47" s="95">
        <f>L50+L53</f>
        <v>0</v>
      </c>
      <c r="M47" s="96">
        <f t="shared" ref="M47:M53" si="15">L47-K47</f>
        <v>0</v>
      </c>
    </row>
    <row r="48" spans="1:13" x14ac:dyDescent="0.45">
      <c r="A48" s="168" t="str">
        <f>Main!$D$8</f>
        <v>HIRANO Miu</v>
      </c>
      <c r="B48" s="59" t="s">
        <v>88</v>
      </c>
      <c r="C48" s="60">
        <f t="shared" si="12"/>
        <v>0</v>
      </c>
      <c r="D48" s="61">
        <f>D49+D50</f>
        <v>9</v>
      </c>
      <c r="E48" s="95">
        <f>E49+E50</f>
        <v>0</v>
      </c>
      <c r="F48" s="96">
        <f t="shared" si="13"/>
        <v>-9</v>
      </c>
      <c r="G48" s="62"/>
      <c r="H48" s="168" t="str">
        <f>Main!$D$12</f>
        <v>NAMBA Yurika</v>
      </c>
      <c r="I48" s="59" t="s">
        <v>88</v>
      </c>
      <c r="J48" s="60">
        <f t="shared" si="14"/>
        <v>0</v>
      </c>
      <c r="K48" s="61">
        <f>K49+K50</f>
        <v>8</v>
      </c>
      <c r="L48" s="95">
        <f>L49+L50</f>
        <v>0</v>
      </c>
      <c r="M48" s="96">
        <f t="shared" si="15"/>
        <v>-8</v>
      </c>
    </row>
    <row r="49" spans="1:13" x14ac:dyDescent="0.45">
      <c r="A49" s="167"/>
      <c r="B49" s="63" t="str">
        <f>Main!$D$12</f>
        <v>NAMBA Yurika</v>
      </c>
      <c r="C49" s="60">
        <f t="shared" si="12"/>
        <v>0</v>
      </c>
      <c r="D49" s="61">
        <f>COUNTIFS(Calc!$P:$P,1,Calc!$L:$L,A48,Calc!$H:$H,B49)</f>
        <v>9</v>
      </c>
      <c r="E49" s="96">
        <f>COUNTIFS(Calc!$P:$P,1,Calc!$L:$L,A48,Calc!$H:$H,B49,Calc!$F:$F,A$15)</f>
        <v>0</v>
      </c>
      <c r="F49" s="96">
        <f t="shared" si="13"/>
        <v>-9</v>
      </c>
      <c r="G49" s="62"/>
      <c r="H49" s="167"/>
      <c r="I49" s="63" t="str">
        <f>Main!$D$8</f>
        <v>HIRANO Miu</v>
      </c>
      <c r="J49" s="60">
        <f t="shared" si="14"/>
        <v>0</v>
      </c>
      <c r="K49" s="61">
        <f>COUNTIFS(Calc!$P:$P,1,Calc!$L:$L,H48,Calc!$H:$H,I49)</f>
        <v>8</v>
      </c>
      <c r="L49" s="96">
        <f>COUNTIFS(Calc!$P:$P,1,Calc!$L:$L,H48,Calc!$H:$H,I49,Calc!$F:$F,H$15)</f>
        <v>0</v>
      </c>
      <c r="M49" s="96">
        <f t="shared" si="15"/>
        <v>-8</v>
      </c>
    </row>
    <row r="50" spans="1:13" x14ac:dyDescent="0.45">
      <c r="A50" s="167"/>
      <c r="B50" s="63" t="str">
        <f>Main!$D$14</f>
        <v/>
      </c>
      <c r="C50" s="60">
        <f t="shared" si="12"/>
        <v>0</v>
      </c>
      <c r="D50" s="61">
        <f>COUNTIFS(Calc!$P:$P,1,Calc!$L:$L,A48,Calc!$H:$H,B50)</f>
        <v>0</v>
      </c>
      <c r="E50" s="96">
        <f>COUNTIFS(Calc!$P:$P,1,Calc!$L:$L,A48,Calc!$H:$H,B50,Calc!$F:$F,A$15)</f>
        <v>0</v>
      </c>
      <c r="F50" s="96">
        <f t="shared" si="13"/>
        <v>0</v>
      </c>
      <c r="G50" s="62"/>
      <c r="H50" s="167"/>
      <c r="I50" s="63" t="str">
        <f>Main!$D$10</f>
        <v/>
      </c>
      <c r="J50" s="60">
        <f t="shared" si="14"/>
        <v>0</v>
      </c>
      <c r="K50" s="61">
        <f>COUNTIFS(Calc!$P:$P,1,Calc!$L:$L,H48,Calc!$H:$H,I50)</f>
        <v>0</v>
      </c>
      <c r="L50" s="96">
        <f>COUNTIFS(Calc!$P:$P,1,Calc!$L:$L,H48,Calc!$H:$H,I50,Calc!$F:$F,H$15)</f>
        <v>0</v>
      </c>
      <c r="M50" s="96">
        <f t="shared" si="15"/>
        <v>0</v>
      </c>
    </row>
    <row r="51" spans="1:13" x14ac:dyDescent="0.45">
      <c r="A51" s="168" t="str">
        <f>Main!$D$10</f>
        <v/>
      </c>
      <c r="B51" s="59" t="s">
        <v>88</v>
      </c>
      <c r="C51" s="60">
        <f t="shared" si="12"/>
        <v>0</v>
      </c>
      <c r="D51" s="61">
        <f>D52+D53</f>
        <v>0</v>
      </c>
      <c r="E51" s="95">
        <f>E52+E53</f>
        <v>0</v>
      </c>
      <c r="F51" s="96">
        <f t="shared" si="13"/>
        <v>0</v>
      </c>
      <c r="G51" s="62"/>
      <c r="H51" s="168" t="str">
        <f>Main!$D$14</f>
        <v/>
      </c>
      <c r="I51" s="59" t="s">
        <v>88</v>
      </c>
      <c r="J51" s="60">
        <f t="shared" si="14"/>
        <v>0</v>
      </c>
      <c r="K51" s="61">
        <f>K52+K53</f>
        <v>0</v>
      </c>
      <c r="L51" s="95">
        <f>L52+L53</f>
        <v>0</v>
      </c>
      <c r="M51" s="96">
        <f t="shared" si="15"/>
        <v>0</v>
      </c>
    </row>
    <row r="52" spans="1:13" x14ac:dyDescent="0.45">
      <c r="A52" s="167"/>
      <c r="B52" s="63" t="str">
        <f>Main!$D$12</f>
        <v>NAMBA Yurika</v>
      </c>
      <c r="C52" s="60">
        <f t="shared" si="12"/>
        <v>0</v>
      </c>
      <c r="D52" s="61">
        <f>COUNTIFS(Calc!$P:$P,1,Calc!$L:$L,A51,Calc!$H:$H,B52)</f>
        <v>0</v>
      </c>
      <c r="E52" s="96">
        <f>COUNTIFS(Calc!$P:$P,1,Calc!$L:$L,A51,Calc!$H:$H,B52,Calc!$F:$F,A$15)</f>
        <v>0</v>
      </c>
      <c r="F52" s="96">
        <f t="shared" si="13"/>
        <v>0</v>
      </c>
      <c r="G52" s="62"/>
      <c r="H52" s="167"/>
      <c r="I52" s="63" t="str">
        <f>Main!$D$8</f>
        <v>HIRANO Miu</v>
      </c>
      <c r="J52" s="60">
        <f t="shared" si="14"/>
        <v>0</v>
      </c>
      <c r="K52" s="61">
        <f>COUNTIFS(Calc!$P:$P,1,Calc!$L:$L,H51,Calc!$H:$H,I52)</f>
        <v>0</v>
      </c>
      <c r="L52" s="96">
        <f>COUNTIFS(Calc!$P:$P,1,Calc!$L:$L,H51,Calc!$H:$H,I52,Calc!$F:$F,H$15)</f>
        <v>0</v>
      </c>
      <c r="M52" s="96">
        <f t="shared" si="15"/>
        <v>0</v>
      </c>
    </row>
    <row r="53" spans="1:13" x14ac:dyDescent="0.45">
      <c r="A53" s="167"/>
      <c r="B53" s="63" t="str">
        <f>Main!$D$14</f>
        <v/>
      </c>
      <c r="C53" s="60">
        <f t="shared" si="12"/>
        <v>0</v>
      </c>
      <c r="D53" s="61">
        <f>COUNTIFS(Calc!$P:$P,1,Calc!$L:$L,A51,Calc!$H:$H,B53)</f>
        <v>0</v>
      </c>
      <c r="E53" s="96">
        <f>COUNTIFS(Calc!$P:$P,1,Calc!$L:$L,A51,Calc!$H:$H,B53,Calc!$F:$F,A$15)</f>
        <v>0</v>
      </c>
      <c r="F53" s="96">
        <f t="shared" si="13"/>
        <v>0</v>
      </c>
      <c r="G53" s="62"/>
      <c r="H53" s="167"/>
      <c r="I53" s="63" t="str">
        <f>Main!$D$10</f>
        <v/>
      </c>
      <c r="J53" s="60">
        <f t="shared" si="14"/>
        <v>0</v>
      </c>
      <c r="K53" s="61">
        <f>COUNTIFS(Calc!$P:$P,1,Calc!$L:$L,H51,Calc!$H:$H,I53)</f>
        <v>0</v>
      </c>
      <c r="L53" s="96">
        <f>COUNTIFS(Calc!$P:$P,1,Calc!$L:$L,H51,Calc!$H:$H,I53,Calc!$F:$F,H$15)</f>
        <v>0</v>
      </c>
      <c r="M53" s="96">
        <f t="shared" si="15"/>
        <v>0</v>
      </c>
    </row>
    <row r="54" spans="1:13" x14ac:dyDescent="0.45">
      <c r="A54" s="31"/>
      <c r="D54" s="33"/>
      <c r="E54" s="98"/>
      <c r="F54" s="98"/>
      <c r="G54" s="30"/>
      <c r="H54" s="31"/>
    </row>
    <row r="55" spans="1:13" x14ac:dyDescent="0.45">
      <c r="A55" s="31"/>
      <c r="D55" s="33"/>
      <c r="E55" s="98"/>
      <c r="F55" s="98"/>
      <c r="G55" s="30"/>
      <c r="H55" s="31"/>
    </row>
    <row r="56" spans="1:13" x14ac:dyDescent="0.45">
      <c r="A56" s="31"/>
      <c r="D56" s="33"/>
      <c r="E56" s="98"/>
      <c r="F56" s="98"/>
      <c r="G56" s="30"/>
      <c r="H56" s="31"/>
    </row>
    <row r="57" spans="1:13" x14ac:dyDescent="0.45">
      <c r="A57" s="28" t="s">
        <v>164</v>
      </c>
    </row>
    <row r="58" spans="1:13" x14ac:dyDescent="0.45">
      <c r="A58" s="165" t="str">
        <f>Main!$B$8</f>
        <v>RedELF</v>
      </c>
      <c r="B58" s="166"/>
      <c r="C58" s="166"/>
      <c r="D58" s="166"/>
      <c r="E58" s="166"/>
      <c r="F58" s="99"/>
      <c r="G58" s="54"/>
      <c r="H58" s="165" t="str">
        <f>Main!$B$12</f>
        <v>Mallets</v>
      </c>
      <c r="I58" s="166"/>
      <c r="J58" s="166"/>
      <c r="K58" s="166"/>
      <c r="L58" s="166"/>
      <c r="M58" s="99"/>
    </row>
    <row r="59" spans="1:13" x14ac:dyDescent="0.45">
      <c r="A59" s="55" t="s">
        <v>141</v>
      </c>
      <c r="B59" s="56" t="s">
        <v>142</v>
      </c>
      <c r="C59" s="57" t="s">
        <v>85</v>
      </c>
      <c r="D59" s="58" t="s">
        <v>86</v>
      </c>
      <c r="E59" s="94" t="s">
        <v>87</v>
      </c>
      <c r="F59" s="100" t="s">
        <v>133</v>
      </c>
      <c r="G59" s="54"/>
      <c r="H59" s="55" t="s">
        <v>141</v>
      </c>
      <c r="I59" s="56" t="s">
        <v>142</v>
      </c>
      <c r="J59" s="57" t="s">
        <v>85</v>
      </c>
      <c r="K59" s="58" t="s">
        <v>86</v>
      </c>
      <c r="L59" s="94" t="s">
        <v>87</v>
      </c>
      <c r="M59" s="100" t="s">
        <v>133</v>
      </c>
    </row>
    <row r="60" spans="1:13" x14ac:dyDescent="0.45">
      <c r="A60" s="167" t="s">
        <v>88</v>
      </c>
      <c r="B60" s="59" t="s">
        <v>88</v>
      </c>
      <c r="C60" s="60">
        <f>IFERROR(E60/D60,0)</f>
        <v>0</v>
      </c>
      <c r="D60" s="61">
        <f>D61+D62</f>
        <v>10</v>
      </c>
      <c r="E60" s="95">
        <f>E61+E62</f>
        <v>0</v>
      </c>
      <c r="F60" s="96">
        <f>E60-D60</f>
        <v>-10</v>
      </c>
      <c r="G60" s="62"/>
      <c r="H60" s="167" t="s">
        <v>88</v>
      </c>
      <c r="I60" s="59" t="s">
        <v>88</v>
      </c>
      <c r="J60" s="60">
        <f>IFERROR(L60/K60,0)</f>
        <v>0</v>
      </c>
      <c r="K60" s="61">
        <f>K61+K62</f>
        <v>8</v>
      </c>
      <c r="L60" s="95">
        <f>L61+L62</f>
        <v>0</v>
      </c>
      <c r="M60" s="96">
        <f>L60-K60</f>
        <v>-8</v>
      </c>
    </row>
    <row r="61" spans="1:13" x14ac:dyDescent="0.45">
      <c r="A61" s="167"/>
      <c r="B61" s="63" t="str">
        <f>Main!$D$12</f>
        <v>NAMBA Yurika</v>
      </c>
      <c r="C61" s="60">
        <f>IFERROR(E61/D61,0)</f>
        <v>0</v>
      </c>
      <c r="D61" s="61">
        <f>D64+D67</f>
        <v>10</v>
      </c>
      <c r="E61" s="96">
        <f>E64+E67</f>
        <v>0</v>
      </c>
      <c r="F61" s="96">
        <f>E61-D61</f>
        <v>-10</v>
      </c>
      <c r="G61" s="62"/>
      <c r="H61" s="167"/>
      <c r="I61" s="63" t="str">
        <f>Main!$D$8</f>
        <v>HIRANO Miu</v>
      </c>
      <c r="J61" s="60">
        <f>IFERROR(L61/K61,0)</f>
        <v>0</v>
      </c>
      <c r="K61" s="61">
        <f>K64+K67</f>
        <v>8</v>
      </c>
      <c r="L61" s="96">
        <f>L64+L67</f>
        <v>0</v>
      </c>
      <c r="M61" s="96">
        <f>L61-K61</f>
        <v>-8</v>
      </c>
    </row>
    <row r="62" spans="1:13" x14ac:dyDescent="0.45">
      <c r="A62" s="167"/>
      <c r="B62" s="63" t="str">
        <f>Main!$D$14</f>
        <v/>
      </c>
      <c r="C62" s="60">
        <f t="shared" ref="C62:C68" si="16">IFERROR(E62/D62,0)</f>
        <v>0</v>
      </c>
      <c r="D62" s="61">
        <f>D65+D68</f>
        <v>0</v>
      </c>
      <c r="E62" s="96">
        <f>E65+E68</f>
        <v>0</v>
      </c>
      <c r="F62" s="96">
        <f t="shared" ref="F62:F68" si="17">E62-D62</f>
        <v>0</v>
      </c>
      <c r="G62" s="62"/>
      <c r="H62" s="167"/>
      <c r="I62" s="63" t="str">
        <f>Main!$D$10</f>
        <v/>
      </c>
      <c r="J62" s="60">
        <f t="shared" ref="J62:J68" si="18">IFERROR(L62/K62,0)</f>
        <v>0</v>
      </c>
      <c r="K62" s="61">
        <f>K65+K68</f>
        <v>0</v>
      </c>
      <c r="L62" s="96">
        <f>L65+L68</f>
        <v>0</v>
      </c>
      <c r="M62" s="96">
        <f t="shared" ref="M62:M68" si="19">L62-K62</f>
        <v>0</v>
      </c>
    </row>
    <row r="63" spans="1:13" x14ac:dyDescent="0.45">
      <c r="A63" s="168" t="str">
        <f>Main!$D$8</f>
        <v>HIRANO Miu</v>
      </c>
      <c r="B63" s="59" t="s">
        <v>88</v>
      </c>
      <c r="C63" s="60">
        <f t="shared" si="16"/>
        <v>0</v>
      </c>
      <c r="D63" s="61">
        <f>D64+D65</f>
        <v>10</v>
      </c>
      <c r="E63" s="95">
        <f>E64+E65</f>
        <v>0</v>
      </c>
      <c r="F63" s="96">
        <f t="shared" si="17"/>
        <v>-10</v>
      </c>
      <c r="G63" s="62"/>
      <c r="H63" s="168" t="str">
        <f>Main!$D$12</f>
        <v>NAMBA Yurika</v>
      </c>
      <c r="I63" s="59" t="s">
        <v>88</v>
      </c>
      <c r="J63" s="60">
        <f t="shared" si="18"/>
        <v>0</v>
      </c>
      <c r="K63" s="61">
        <f>K64+K65</f>
        <v>8</v>
      </c>
      <c r="L63" s="95">
        <f>L64+L65</f>
        <v>0</v>
      </c>
      <c r="M63" s="96">
        <f t="shared" si="19"/>
        <v>-8</v>
      </c>
    </row>
    <row r="64" spans="1:13" x14ac:dyDescent="0.45">
      <c r="A64" s="167"/>
      <c r="B64" s="63" t="str">
        <f>Main!$D$12</f>
        <v>NAMBA Yurika</v>
      </c>
      <c r="C64" s="60">
        <f t="shared" si="16"/>
        <v>0</v>
      </c>
      <c r="D64" s="61">
        <f>COUNTIFS(Calc!$P:$P,2,Calc!$H:$H,A63,Calc!$L:$L,B64)</f>
        <v>10</v>
      </c>
      <c r="E64" s="96">
        <f>COUNTIFS(Calc!$P:$P,2,Calc!$H:$H,A63,Calc!$L:$L,B64,Calc!$F:$F,A$2)</f>
        <v>0</v>
      </c>
      <c r="F64" s="96">
        <f t="shared" si="17"/>
        <v>-10</v>
      </c>
      <c r="G64" s="62"/>
      <c r="H64" s="167"/>
      <c r="I64" s="63" t="str">
        <f>Main!$D$8</f>
        <v>HIRANO Miu</v>
      </c>
      <c r="J64" s="60">
        <f t="shared" si="18"/>
        <v>0</v>
      </c>
      <c r="K64" s="61">
        <f>COUNTIFS(Calc!$P:$P,2,Calc!$H:$H,H63,Calc!$L:$L,I64)</f>
        <v>8</v>
      </c>
      <c r="L64" s="96">
        <f>COUNTIFS(Calc!$P:$P,2,Calc!$H:$H,H63,Calc!$L:$L,I64,Calc!$F:$F,H$2)</f>
        <v>0</v>
      </c>
      <c r="M64" s="96">
        <f t="shared" si="19"/>
        <v>-8</v>
      </c>
    </row>
    <row r="65" spans="1:13" x14ac:dyDescent="0.45">
      <c r="A65" s="167"/>
      <c r="B65" s="63" t="str">
        <f>Main!$D$14</f>
        <v/>
      </c>
      <c r="C65" s="60">
        <f t="shared" si="16"/>
        <v>0</v>
      </c>
      <c r="D65" s="61">
        <f>COUNTIFS(Calc!$P:$P,2,Calc!$H:$H,A63,Calc!$L:$L,B65)</f>
        <v>0</v>
      </c>
      <c r="E65" s="96">
        <f>COUNTIFS(Calc!$P:$P,2,Calc!$H:$H,A63,Calc!$L:$L,B65,Calc!$F:$F,A$2)</f>
        <v>0</v>
      </c>
      <c r="F65" s="96">
        <f t="shared" si="17"/>
        <v>0</v>
      </c>
      <c r="G65" s="62"/>
      <c r="H65" s="167"/>
      <c r="I65" s="63" t="str">
        <f>Main!$D$10</f>
        <v/>
      </c>
      <c r="J65" s="60">
        <f t="shared" si="18"/>
        <v>0</v>
      </c>
      <c r="K65" s="61">
        <f>COUNTIFS(Calc!$P:$P,2,Calc!$H:$H,H63,Calc!$L:$L,I65)</f>
        <v>0</v>
      </c>
      <c r="L65" s="96">
        <f>COUNTIFS(Calc!$P:$P,2,Calc!$H:$H,H63,Calc!$L:$L,I65,Calc!$F:$F,H$2)</f>
        <v>0</v>
      </c>
      <c r="M65" s="96">
        <f t="shared" si="19"/>
        <v>0</v>
      </c>
    </row>
    <row r="66" spans="1:13" x14ac:dyDescent="0.45">
      <c r="A66" s="168" t="str">
        <f>Main!$D$10</f>
        <v/>
      </c>
      <c r="B66" s="59" t="s">
        <v>88</v>
      </c>
      <c r="C66" s="60">
        <f t="shared" si="16"/>
        <v>0</v>
      </c>
      <c r="D66" s="61">
        <f>D67+D68</f>
        <v>0</v>
      </c>
      <c r="E66" s="95">
        <f>E67+E68</f>
        <v>0</v>
      </c>
      <c r="F66" s="96">
        <f t="shared" si="17"/>
        <v>0</v>
      </c>
      <c r="G66" s="62"/>
      <c r="H66" s="168" t="str">
        <f>Main!$D$14</f>
        <v/>
      </c>
      <c r="I66" s="59" t="s">
        <v>88</v>
      </c>
      <c r="J66" s="60">
        <f t="shared" si="18"/>
        <v>0</v>
      </c>
      <c r="K66" s="61">
        <f>K67+K68</f>
        <v>0</v>
      </c>
      <c r="L66" s="95">
        <f>L67+L68</f>
        <v>0</v>
      </c>
      <c r="M66" s="96">
        <f t="shared" si="19"/>
        <v>0</v>
      </c>
    </row>
    <row r="67" spans="1:13" x14ac:dyDescent="0.45">
      <c r="A67" s="167"/>
      <c r="B67" s="63" t="str">
        <f>Main!$D$12</f>
        <v>NAMBA Yurika</v>
      </c>
      <c r="C67" s="60">
        <f t="shared" si="16"/>
        <v>0</v>
      </c>
      <c r="D67" s="61">
        <f>COUNTIFS(Calc!$P:$P,2,Calc!$H:$H,A66,Calc!$L:$L,B67)</f>
        <v>0</v>
      </c>
      <c r="E67" s="96">
        <f>COUNTIFS(Calc!$P:$P,2,Calc!$H:$H,A66,Calc!$L:$L,B67,Calc!$F:$F,A$2)</f>
        <v>0</v>
      </c>
      <c r="F67" s="96">
        <f t="shared" si="17"/>
        <v>0</v>
      </c>
      <c r="G67" s="62"/>
      <c r="H67" s="167"/>
      <c r="I67" s="63" t="str">
        <f>Main!$D$8</f>
        <v>HIRANO Miu</v>
      </c>
      <c r="J67" s="60">
        <f t="shared" si="18"/>
        <v>0</v>
      </c>
      <c r="K67" s="61">
        <f>COUNTIFS(Calc!$P:$P,2,Calc!$H:$H,H66,Calc!$L:$L,I67)</f>
        <v>0</v>
      </c>
      <c r="L67" s="96">
        <f>COUNTIFS(Calc!$P:$P,2,Calc!$H:$H,H66,Calc!$L:$L,I67,Calc!$F:$F,H$2)</f>
        <v>0</v>
      </c>
      <c r="M67" s="96">
        <f t="shared" si="19"/>
        <v>0</v>
      </c>
    </row>
    <row r="68" spans="1:13" x14ac:dyDescent="0.45">
      <c r="A68" s="167"/>
      <c r="B68" s="63" t="str">
        <f>Main!$D$14</f>
        <v/>
      </c>
      <c r="C68" s="60">
        <f t="shared" si="16"/>
        <v>0</v>
      </c>
      <c r="D68" s="61">
        <f>COUNTIFS(Calc!$P:$P,2,Calc!$H:$H,A66,Calc!$L:$L,B68)</f>
        <v>0</v>
      </c>
      <c r="E68" s="96">
        <f>COUNTIFS(Calc!$P:$P,2,Calc!$H:$H,A66,Calc!$L:$L,B68,Calc!$F:$F,A$2)</f>
        <v>0</v>
      </c>
      <c r="F68" s="96">
        <f t="shared" si="17"/>
        <v>0</v>
      </c>
      <c r="G68" s="62"/>
      <c r="H68" s="167"/>
      <c r="I68" s="63" t="str">
        <f>Main!$D$10</f>
        <v/>
      </c>
      <c r="J68" s="60">
        <f t="shared" si="18"/>
        <v>0</v>
      </c>
      <c r="K68" s="61">
        <f>COUNTIFS(Calc!$P:$P,2,Calc!$H:$H,H66,Calc!$L:$L,I68)</f>
        <v>0</v>
      </c>
      <c r="L68" s="96">
        <f>COUNTIFS(Calc!$P:$P,2,Calc!$H:$H,H66,Calc!$L:$L,I68,Calc!$F:$F,H$2)</f>
        <v>0</v>
      </c>
      <c r="M68" s="96">
        <f t="shared" si="19"/>
        <v>0</v>
      </c>
    </row>
    <row r="69" spans="1:13" x14ac:dyDescent="0.45">
      <c r="A69" s="62"/>
      <c r="B69" s="62"/>
      <c r="C69" s="64"/>
      <c r="D69" s="65"/>
      <c r="E69" s="97"/>
      <c r="F69" s="97"/>
      <c r="G69" s="62"/>
      <c r="H69" s="62"/>
      <c r="I69" s="62"/>
      <c r="J69" s="64"/>
      <c r="K69" s="65"/>
      <c r="L69" s="97"/>
      <c r="M69" s="97"/>
    </row>
    <row r="70" spans="1:13" x14ac:dyDescent="0.45">
      <c r="A70" s="54" t="s">
        <v>167</v>
      </c>
      <c r="B70" s="62"/>
      <c r="C70" s="64"/>
      <c r="D70" s="65"/>
      <c r="E70" s="97"/>
      <c r="F70" s="97"/>
      <c r="G70" s="62"/>
      <c r="H70" s="62"/>
      <c r="I70" s="62"/>
      <c r="J70" s="64"/>
      <c r="K70" s="65"/>
      <c r="L70" s="97"/>
      <c r="M70" s="97"/>
    </row>
    <row r="71" spans="1:13" x14ac:dyDescent="0.45">
      <c r="A71" s="169" t="str">
        <f>Main!$B$8</f>
        <v>RedELF</v>
      </c>
      <c r="B71" s="170"/>
      <c r="C71" s="170"/>
      <c r="D71" s="170"/>
      <c r="E71" s="170"/>
      <c r="F71" s="101"/>
      <c r="G71" s="62"/>
      <c r="H71" s="165" t="str">
        <f>Main!$B$12</f>
        <v>Mallets</v>
      </c>
      <c r="I71" s="166"/>
      <c r="J71" s="166"/>
      <c r="K71" s="166"/>
      <c r="L71" s="166"/>
      <c r="M71" s="99"/>
    </row>
    <row r="72" spans="1:13" x14ac:dyDescent="0.45">
      <c r="A72" s="56" t="s">
        <v>142</v>
      </c>
      <c r="B72" s="56" t="s">
        <v>141</v>
      </c>
      <c r="C72" s="57" t="s">
        <v>85</v>
      </c>
      <c r="D72" s="58" t="s">
        <v>86</v>
      </c>
      <c r="E72" s="94" t="s">
        <v>87</v>
      </c>
      <c r="F72" s="100" t="s">
        <v>133</v>
      </c>
      <c r="G72" s="62"/>
      <c r="H72" s="56" t="s">
        <v>142</v>
      </c>
      <c r="I72" s="56" t="s">
        <v>141</v>
      </c>
      <c r="J72" s="57" t="s">
        <v>85</v>
      </c>
      <c r="K72" s="58" t="s">
        <v>86</v>
      </c>
      <c r="L72" s="94" t="s">
        <v>87</v>
      </c>
      <c r="M72" s="100" t="s">
        <v>133</v>
      </c>
    </row>
    <row r="73" spans="1:13" x14ac:dyDescent="0.45">
      <c r="A73" s="167" t="s">
        <v>88</v>
      </c>
      <c r="B73" s="59" t="s">
        <v>88</v>
      </c>
      <c r="C73" s="60">
        <f>IFERROR(E73/D73,0)</f>
        <v>0</v>
      </c>
      <c r="D73" s="61">
        <f>D74+D75</f>
        <v>8</v>
      </c>
      <c r="E73" s="95">
        <f>E74+E75</f>
        <v>0</v>
      </c>
      <c r="F73" s="96">
        <f>E73-D73</f>
        <v>-8</v>
      </c>
      <c r="G73" s="62"/>
      <c r="H73" s="167" t="s">
        <v>88</v>
      </c>
      <c r="I73" s="59" t="s">
        <v>88</v>
      </c>
      <c r="J73" s="60">
        <f>IFERROR(L73/K73,0)</f>
        <v>0</v>
      </c>
      <c r="K73" s="61">
        <f>K74+K75</f>
        <v>10</v>
      </c>
      <c r="L73" s="95">
        <f>L74+L75</f>
        <v>0</v>
      </c>
      <c r="M73" s="96">
        <f>L73-K73</f>
        <v>-10</v>
      </c>
    </row>
    <row r="74" spans="1:13" x14ac:dyDescent="0.45">
      <c r="A74" s="167"/>
      <c r="B74" s="63" t="str">
        <f>Main!$D$12</f>
        <v>NAMBA Yurika</v>
      </c>
      <c r="C74" s="60">
        <f>IFERROR(E74/D74,0)</f>
        <v>0</v>
      </c>
      <c r="D74" s="61">
        <f>D77+D80</f>
        <v>8</v>
      </c>
      <c r="E74" s="95">
        <f>E77+E80</f>
        <v>0</v>
      </c>
      <c r="F74" s="96">
        <f>E74-D74</f>
        <v>-8</v>
      </c>
      <c r="G74" s="62"/>
      <c r="H74" s="167"/>
      <c r="I74" s="63" t="str">
        <f>Main!$D$8</f>
        <v>HIRANO Miu</v>
      </c>
      <c r="J74" s="60">
        <f>IFERROR(L74/K74,0)</f>
        <v>0</v>
      </c>
      <c r="K74" s="61">
        <f>K77+K80</f>
        <v>10</v>
      </c>
      <c r="L74" s="95">
        <f>L77+L80</f>
        <v>0</v>
      </c>
      <c r="M74" s="96">
        <f>L74-K74</f>
        <v>-10</v>
      </c>
    </row>
    <row r="75" spans="1:13" x14ac:dyDescent="0.45">
      <c r="A75" s="167"/>
      <c r="B75" s="63" t="str">
        <f>Main!$D$14</f>
        <v/>
      </c>
      <c r="C75" s="60">
        <f t="shared" ref="C75:C81" si="20">IFERROR(E75/D75,0)</f>
        <v>0</v>
      </c>
      <c r="D75" s="61">
        <f>D78+D81</f>
        <v>0</v>
      </c>
      <c r="E75" s="95">
        <f>E78+E81</f>
        <v>0</v>
      </c>
      <c r="F75" s="96">
        <f t="shared" ref="F75:F81" si="21">E75-D75</f>
        <v>0</v>
      </c>
      <c r="G75" s="62"/>
      <c r="H75" s="167"/>
      <c r="I75" s="63" t="str">
        <f>Main!$D$10</f>
        <v/>
      </c>
      <c r="J75" s="60">
        <f t="shared" ref="J75:J81" si="22">IFERROR(L75/K75,0)</f>
        <v>0</v>
      </c>
      <c r="K75" s="61">
        <f>K78+K81</f>
        <v>0</v>
      </c>
      <c r="L75" s="95">
        <f>L78+L81</f>
        <v>0</v>
      </c>
      <c r="M75" s="96">
        <f t="shared" ref="M75:M81" si="23">L75-K75</f>
        <v>0</v>
      </c>
    </row>
    <row r="76" spans="1:13" x14ac:dyDescent="0.45">
      <c r="A76" s="168" t="str">
        <f>Main!$D$8</f>
        <v>HIRANO Miu</v>
      </c>
      <c r="B76" s="59" t="s">
        <v>88</v>
      </c>
      <c r="C76" s="60">
        <f t="shared" si="20"/>
        <v>0</v>
      </c>
      <c r="D76" s="61">
        <f>D77+D78</f>
        <v>8</v>
      </c>
      <c r="E76" s="95">
        <f>E77+E78</f>
        <v>0</v>
      </c>
      <c r="F76" s="96">
        <f t="shared" si="21"/>
        <v>-8</v>
      </c>
      <c r="G76" s="62"/>
      <c r="H76" s="168" t="str">
        <f>Main!$D$12</f>
        <v>NAMBA Yurika</v>
      </c>
      <c r="I76" s="59" t="s">
        <v>88</v>
      </c>
      <c r="J76" s="60">
        <f t="shared" si="22"/>
        <v>0</v>
      </c>
      <c r="K76" s="61">
        <f>K77+K78</f>
        <v>10</v>
      </c>
      <c r="L76" s="95">
        <f>L77+L78</f>
        <v>0</v>
      </c>
      <c r="M76" s="96">
        <f t="shared" si="23"/>
        <v>-10</v>
      </c>
    </row>
    <row r="77" spans="1:13" x14ac:dyDescent="0.45">
      <c r="A77" s="167"/>
      <c r="B77" s="63" t="str">
        <f>Main!$D$12</f>
        <v>NAMBA Yurika</v>
      </c>
      <c r="C77" s="60">
        <f t="shared" si="20"/>
        <v>0</v>
      </c>
      <c r="D77" s="61">
        <f>COUNTIFS(Calc!$P:$P,2,Calc!$L:$L,A76,Calc!$H:$H,B77)</f>
        <v>8</v>
      </c>
      <c r="E77" s="96">
        <f>COUNTIFS(Calc!$P:$P,2,Calc!$L:$L,A76,Calc!$H:$H,B77,Calc!$F:$F,A$15)</f>
        <v>0</v>
      </c>
      <c r="F77" s="96">
        <f t="shared" si="21"/>
        <v>-8</v>
      </c>
      <c r="G77" s="62"/>
      <c r="H77" s="167"/>
      <c r="I77" s="63" t="str">
        <f>Main!$D$8</f>
        <v>HIRANO Miu</v>
      </c>
      <c r="J77" s="60">
        <f t="shared" si="22"/>
        <v>0</v>
      </c>
      <c r="K77" s="61">
        <f>COUNTIFS(Calc!$P:$P,2,Calc!$L:$L,H76,Calc!$H:$H,I77)</f>
        <v>10</v>
      </c>
      <c r="L77" s="96">
        <f>COUNTIFS(Calc!$P:$P,2,Calc!$L:$L,H76,Calc!$H:$H,I77,Calc!$F:$F,H$15)</f>
        <v>0</v>
      </c>
      <c r="M77" s="96">
        <f t="shared" si="23"/>
        <v>-10</v>
      </c>
    </row>
    <row r="78" spans="1:13" x14ac:dyDescent="0.45">
      <c r="A78" s="167"/>
      <c r="B78" s="63" t="str">
        <f>Main!$D$14</f>
        <v/>
      </c>
      <c r="C78" s="60">
        <f t="shared" si="20"/>
        <v>0</v>
      </c>
      <c r="D78" s="61">
        <f>COUNTIFS(Calc!$P:$P,2,Calc!$L:$L,A76,Calc!$H:$H,B78)</f>
        <v>0</v>
      </c>
      <c r="E78" s="96">
        <f>COUNTIFS(Calc!$P:$P,2,Calc!$L:$L,A76,Calc!$H:$H,B78,Calc!$F:$F,A$15)</f>
        <v>0</v>
      </c>
      <c r="F78" s="96">
        <f t="shared" si="21"/>
        <v>0</v>
      </c>
      <c r="G78" s="62"/>
      <c r="H78" s="167"/>
      <c r="I78" s="63" t="str">
        <f>Main!$D$10</f>
        <v/>
      </c>
      <c r="J78" s="60">
        <f t="shared" si="22"/>
        <v>0</v>
      </c>
      <c r="K78" s="61">
        <f>COUNTIFS(Calc!$P:$P,2,Calc!$L:$L,H76,Calc!$H:$H,I78)</f>
        <v>0</v>
      </c>
      <c r="L78" s="96">
        <f>COUNTIFS(Calc!$P:$P,2,Calc!$L:$L,H76,Calc!$H:$H,I78,Calc!$F:$F,H$15)</f>
        <v>0</v>
      </c>
      <c r="M78" s="96">
        <f t="shared" si="23"/>
        <v>0</v>
      </c>
    </row>
    <row r="79" spans="1:13" x14ac:dyDescent="0.45">
      <c r="A79" s="168" t="str">
        <f>Main!$D$10</f>
        <v/>
      </c>
      <c r="B79" s="59" t="s">
        <v>88</v>
      </c>
      <c r="C79" s="60">
        <f t="shared" si="20"/>
        <v>0</v>
      </c>
      <c r="D79" s="61">
        <f>D80+D81</f>
        <v>0</v>
      </c>
      <c r="E79" s="95">
        <f>E80+E81</f>
        <v>0</v>
      </c>
      <c r="F79" s="96">
        <f t="shared" si="21"/>
        <v>0</v>
      </c>
      <c r="G79" s="62"/>
      <c r="H79" s="168" t="str">
        <f>Main!$D$14</f>
        <v/>
      </c>
      <c r="I79" s="59" t="s">
        <v>88</v>
      </c>
      <c r="J79" s="60">
        <f t="shared" si="22"/>
        <v>0</v>
      </c>
      <c r="K79" s="61">
        <f>K80+K81</f>
        <v>0</v>
      </c>
      <c r="L79" s="95">
        <f>L80+L81</f>
        <v>0</v>
      </c>
      <c r="M79" s="96">
        <f t="shared" si="23"/>
        <v>0</v>
      </c>
    </row>
    <row r="80" spans="1:13" x14ac:dyDescent="0.45">
      <c r="A80" s="167"/>
      <c r="B80" s="63" t="str">
        <f>Main!$D$12</f>
        <v>NAMBA Yurika</v>
      </c>
      <c r="C80" s="60">
        <f t="shared" si="20"/>
        <v>0</v>
      </c>
      <c r="D80" s="61">
        <f>COUNTIFS(Calc!$P:$P,2,Calc!$L:$L,A79,Calc!$H:$H,B80)</f>
        <v>0</v>
      </c>
      <c r="E80" s="96">
        <f>COUNTIFS(Calc!$P:$P,2,Calc!$L:$L,A79,Calc!$H:$H,B80,Calc!$F:$F,A$15)</f>
        <v>0</v>
      </c>
      <c r="F80" s="96">
        <f t="shared" si="21"/>
        <v>0</v>
      </c>
      <c r="G80" s="62"/>
      <c r="H80" s="167"/>
      <c r="I80" s="63" t="str">
        <f>Main!$D$8</f>
        <v>HIRANO Miu</v>
      </c>
      <c r="J80" s="60">
        <f t="shared" si="22"/>
        <v>0</v>
      </c>
      <c r="K80" s="61">
        <f>COUNTIFS(Calc!$P:$P,2,Calc!$L:$L,H79,Calc!$H:$H,I80)</f>
        <v>0</v>
      </c>
      <c r="L80" s="96">
        <f>COUNTIFS(Calc!$P:$P,2,Calc!$L:$L,H79,Calc!$H:$H,I80,Calc!$F:$F,H$15)</f>
        <v>0</v>
      </c>
      <c r="M80" s="96">
        <f t="shared" si="23"/>
        <v>0</v>
      </c>
    </row>
    <row r="81" spans="1:13" x14ac:dyDescent="0.45">
      <c r="A81" s="167"/>
      <c r="B81" s="63" t="str">
        <f>Main!$D$14</f>
        <v/>
      </c>
      <c r="C81" s="60">
        <f t="shared" si="20"/>
        <v>0</v>
      </c>
      <c r="D81" s="61">
        <f>COUNTIFS(Calc!$P:$P,2,Calc!$L:$L,A79,Calc!$H:$H,B81)</f>
        <v>0</v>
      </c>
      <c r="E81" s="96">
        <f>COUNTIFS(Calc!$P:$P,2,Calc!$L:$L,A79,Calc!$H:$H,B81,Calc!$F:$F,A$15)</f>
        <v>0</v>
      </c>
      <c r="F81" s="96">
        <f t="shared" si="21"/>
        <v>0</v>
      </c>
      <c r="G81" s="62"/>
      <c r="H81" s="167"/>
      <c r="I81" s="63" t="str">
        <f>Main!$D$10</f>
        <v/>
      </c>
      <c r="J81" s="60">
        <f t="shared" si="22"/>
        <v>0</v>
      </c>
      <c r="K81" s="61">
        <f>COUNTIFS(Calc!$P:$P,2,Calc!$L:$L,H79,Calc!$H:$H,I81)</f>
        <v>0</v>
      </c>
      <c r="L81" s="96">
        <f>COUNTIFS(Calc!$P:$P,2,Calc!$L:$L,H79,Calc!$H:$H,I81,Calc!$F:$F,H$15)</f>
        <v>0</v>
      </c>
      <c r="M81" s="96">
        <f t="shared" si="23"/>
        <v>0</v>
      </c>
    </row>
    <row r="82" spans="1:13" x14ac:dyDescent="0.45">
      <c r="A82" s="31"/>
      <c r="D82" s="33"/>
      <c r="E82" s="98"/>
      <c r="F82" s="98"/>
      <c r="G82" s="30"/>
      <c r="H82" s="31"/>
    </row>
    <row r="83" spans="1:13" x14ac:dyDescent="0.45">
      <c r="A83" s="31"/>
      <c r="D83" s="33"/>
      <c r="E83" s="98"/>
      <c r="F83" s="98"/>
      <c r="G83" s="30"/>
      <c r="H83" s="31"/>
    </row>
    <row r="84" spans="1:13" x14ac:dyDescent="0.45">
      <c r="A84" s="31"/>
      <c r="D84" s="33"/>
      <c r="E84" s="98"/>
      <c r="F84" s="98"/>
      <c r="G84" s="30"/>
      <c r="H84" s="31"/>
    </row>
    <row r="85" spans="1:13" x14ac:dyDescent="0.45">
      <c r="A85" s="28" t="s">
        <v>168</v>
      </c>
    </row>
    <row r="86" spans="1:13" x14ac:dyDescent="0.45">
      <c r="A86" s="165" t="str">
        <f>Main!$B$8</f>
        <v>RedELF</v>
      </c>
      <c r="B86" s="166"/>
      <c r="C86" s="166"/>
      <c r="D86" s="166"/>
      <c r="E86" s="166"/>
      <c r="F86" s="99"/>
      <c r="G86" s="54"/>
      <c r="H86" s="165" t="str">
        <f>Main!$B$12</f>
        <v>Mallets</v>
      </c>
      <c r="I86" s="166"/>
      <c r="J86" s="166"/>
      <c r="K86" s="166"/>
      <c r="L86" s="166"/>
      <c r="M86" s="99"/>
    </row>
    <row r="87" spans="1:13" x14ac:dyDescent="0.45">
      <c r="A87" s="55" t="s">
        <v>141</v>
      </c>
      <c r="B87" s="56" t="s">
        <v>142</v>
      </c>
      <c r="C87" s="57" t="s">
        <v>85</v>
      </c>
      <c r="D87" s="58" t="s">
        <v>86</v>
      </c>
      <c r="E87" s="94" t="s">
        <v>87</v>
      </c>
      <c r="F87" s="100" t="s">
        <v>133</v>
      </c>
      <c r="G87" s="54"/>
      <c r="H87" s="55" t="s">
        <v>141</v>
      </c>
      <c r="I87" s="56" t="s">
        <v>142</v>
      </c>
      <c r="J87" s="57" t="s">
        <v>85</v>
      </c>
      <c r="K87" s="58" t="s">
        <v>86</v>
      </c>
      <c r="L87" s="94" t="s">
        <v>87</v>
      </c>
      <c r="M87" s="100" t="s">
        <v>133</v>
      </c>
    </row>
    <row r="88" spans="1:13" x14ac:dyDescent="0.45">
      <c r="A88" s="167" t="s">
        <v>88</v>
      </c>
      <c r="B88" s="59" t="s">
        <v>88</v>
      </c>
      <c r="C88" s="60">
        <f>IFERROR(E88/D88,0)</f>
        <v>0</v>
      </c>
      <c r="D88" s="61">
        <f>D89+D90</f>
        <v>8</v>
      </c>
      <c r="E88" s="95">
        <f>E89+E90</f>
        <v>0</v>
      </c>
      <c r="F88" s="96">
        <f>E88-D88</f>
        <v>-8</v>
      </c>
      <c r="G88" s="62"/>
      <c r="H88" s="167" t="s">
        <v>88</v>
      </c>
      <c r="I88" s="59" t="s">
        <v>88</v>
      </c>
      <c r="J88" s="60">
        <f>IFERROR(L88/K88,0)</f>
        <v>0</v>
      </c>
      <c r="K88" s="61">
        <f>K89+K90</f>
        <v>8</v>
      </c>
      <c r="L88" s="95">
        <f>L89+L90</f>
        <v>0</v>
      </c>
      <c r="M88" s="96">
        <f>L88-K88</f>
        <v>-8</v>
      </c>
    </row>
    <row r="89" spans="1:13" x14ac:dyDescent="0.45">
      <c r="A89" s="167"/>
      <c r="B89" s="63" t="str">
        <f>Main!$D$12</f>
        <v>NAMBA Yurika</v>
      </c>
      <c r="C89" s="60">
        <f>IFERROR(E89/D89,0)</f>
        <v>0</v>
      </c>
      <c r="D89" s="61">
        <f>D92+D95</f>
        <v>8</v>
      </c>
      <c r="E89" s="96">
        <f>E92+E95</f>
        <v>0</v>
      </c>
      <c r="F89" s="96">
        <f>E89-D89</f>
        <v>-8</v>
      </c>
      <c r="G89" s="62"/>
      <c r="H89" s="167"/>
      <c r="I89" s="63" t="str">
        <f>Main!$D$8</f>
        <v>HIRANO Miu</v>
      </c>
      <c r="J89" s="60">
        <f>IFERROR(L89/K89,0)</f>
        <v>0</v>
      </c>
      <c r="K89" s="61">
        <f>K92+K95</f>
        <v>8</v>
      </c>
      <c r="L89" s="96">
        <f>L92+L95</f>
        <v>0</v>
      </c>
      <c r="M89" s="96">
        <f>L89-K89</f>
        <v>-8</v>
      </c>
    </row>
    <row r="90" spans="1:13" x14ac:dyDescent="0.45">
      <c r="A90" s="167"/>
      <c r="B90" s="63" t="str">
        <f>Main!$D$14</f>
        <v/>
      </c>
      <c r="C90" s="60">
        <f t="shared" ref="C90:C96" si="24">IFERROR(E90/D90,0)</f>
        <v>0</v>
      </c>
      <c r="D90" s="61">
        <f>D93+D96</f>
        <v>0</v>
      </c>
      <c r="E90" s="96">
        <f>E93+E96</f>
        <v>0</v>
      </c>
      <c r="F90" s="96">
        <f t="shared" ref="F90:F96" si="25">E90-D90</f>
        <v>0</v>
      </c>
      <c r="G90" s="62"/>
      <c r="H90" s="167"/>
      <c r="I90" s="63" t="str">
        <f>Main!$D$10</f>
        <v/>
      </c>
      <c r="J90" s="60">
        <f t="shared" ref="J90:J96" si="26">IFERROR(L90/K90,0)</f>
        <v>0</v>
      </c>
      <c r="K90" s="61">
        <f>K93+K96</f>
        <v>0</v>
      </c>
      <c r="L90" s="96">
        <f>L93+L96</f>
        <v>0</v>
      </c>
      <c r="M90" s="96">
        <f t="shared" ref="M90:M96" si="27">L90-K90</f>
        <v>0</v>
      </c>
    </row>
    <row r="91" spans="1:13" x14ac:dyDescent="0.45">
      <c r="A91" s="168" t="str">
        <f>Main!$D$8</f>
        <v>HIRANO Miu</v>
      </c>
      <c r="B91" s="59" t="s">
        <v>88</v>
      </c>
      <c r="C91" s="60">
        <f t="shared" si="24"/>
        <v>0</v>
      </c>
      <c r="D91" s="61">
        <f>D92+D93</f>
        <v>8</v>
      </c>
      <c r="E91" s="95">
        <f>E92+E93</f>
        <v>0</v>
      </c>
      <c r="F91" s="96">
        <f t="shared" si="25"/>
        <v>-8</v>
      </c>
      <c r="G91" s="62"/>
      <c r="H91" s="168" t="str">
        <f>Main!$D$12</f>
        <v>NAMBA Yurika</v>
      </c>
      <c r="I91" s="59" t="s">
        <v>88</v>
      </c>
      <c r="J91" s="60">
        <f t="shared" si="26"/>
        <v>0</v>
      </c>
      <c r="K91" s="61">
        <f>K92+K93</f>
        <v>8</v>
      </c>
      <c r="L91" s="95">
        <f>L92+L93</f>
        <v>0</v>
      </c>
      <c r="M91" s="96">
        <f t="shared" si="27"/>
        <v>-8</v>
      </c>
    </row>
    <row r="92" spans="1:13" x14ac:dyDescent="0.45">
      <c r="A92" s="167"/>
      <c r="B92" s="63" t="str">
        <f>Main!$D$12</f>
        <v>NAMBA Yurika</v>
      </c>
      <c r="C92" s="60">
        <f t="shared" si="24"/>
        <v>0</v>
      </c>
      <c r="D92" s="61">
        <f>COUNTIFS(Calc!$P:$P,3,Calc!$H:$H,A91,Calc!$L:$L,B92)</f>
        <v>8</v>
      </c>
      <c r="E92" s="96">
        <f>COUNTIFS(Calc!$P:$P,3,Calc!$H:$H,A91,Calc!$L:$L,B92,Calc!$F:$F,A$2)</f>
        <v>0</v>
      </c>
      <c r="F92" s="96">
        <f t="shared" si="25"/>
        <v>-8</v>
      </c>
      <c r="G92" s="62"/>
      <c r="H92" s="167"/>
      <c r="I92" s="63" t="str">
        <f>Main!$D$8</f>
        <v>HIRANO Miu</v>
      </c>
      <c r="J92" s="60">
        <f t="shared" si="26"/>
        <v>0</v>
      </c>
      <c r="K92" s="61">
        <f>COUNTIFS(Calc!$P:$P,3,Calc!$H:$H,H91,Calc!$L:$L,I92)</f>
        <v>8</v>
      </c>
      <c r="L92" s="96">
        <f>COUNTIFS(Calc!$P:$P,3,Calc!$H:$H,H91,Calc!$L:$L,I92,Calc!$F:$F,H$2)</f>
        <v>0</v>
      </c>
      <c r="M92" s="96">
        <f t="shared" si="27"/>
        <v>-8</v>
      </c>
    </row>
    <row r="93" spans="1:13" x14ac:dyDescent="0.45">
      <c r="A93" s="167"/>
      <c r="B93" s="63" t="str">
        <f>Main!$D$14</f>
        <v/>
      </c>
      <c r="C93" s="60">
        <f t="shared" si="24"/>
        <v>0</v>
      </c>
      <c r="D93" s="61">
        <f>COUNTIFS(Calc!$P:$P,3,Calc!$H:$H,A91,Calc!$L:$L,B93)</f>
        <v>0</v>
      </c>
      <c r="E93" s="96">
        <f>COUNTIFS(Calc!$P:$P,3,Calc!$H:$H,A91,Calc!$L:$L,B93,Calc!$F:$F,A$2)</f>
        <v>0</v>
      </c>
      <c r="F93" s="96">
        <f t="shared" si="25"/>
        <v>0</v>
      </c>
      <c r="G93" s="62"/>
      <c r="H93" s="167"/>
      <c r="I93" s="63" t="str">
        <f>Main!$D$10</f>
        <v/>
      </c>
      <c r="J93" s="60">
        <f t="shared" si="26"/>
        <v>0</v>
      </c>
      <c r="K93" s="61">
        <f>COUNTIFS(Calc!$P:$P,3,Calc!$H:$H,H91,Calc!$L:$L,I93)</f>
        <v>0</v>
      </c>
      <c r="L93" s="96">
        <f>COUNTIFS(Calc!$P:$P,3,Calc!$H:$H,H91,Calc!$L:$L,I93,Calc!$F:$F,H$2)</f>
        <v>0</v>
      </c>
      <c r="M93" s="96">
        <f t="shared" si="27"/>
        <v>0</v>
      </c>
    </row>
    <row r="94" spans="1:13" x14ac:dyDescent="0.45">
      <c r="A94" s="168" t="str">
        <f>Main!$D$10</f>
        <v/>
      </c>
      <c r="B94" s="59" t="s">
        <v>88</v>
      </c>
      <c r="C94" s="60">
        <f t="shared" si="24"/>
        <v>0</v>
      </c>
      <c r="D94" s="61">
        <f>D95+D96</f>
        <v>0</v>
      </c>
      <c r="E94" s="95">
        <f>E95+E96</f>
        <v>0</v>
      </c>
      <c r="F94" s="96">
        <f t="shared" si="25"/>
        <v>0</v>
      </c>
      <c r="G94" s="62"/>
      <c r="H94" s="168" t="str">
        <f>Main!$D$14</f>
        <v/>
      </c>
      <c r="I94" s="59" t="s">
        <v>88</v>
      </c>
      <c r="J94" s="60">
        <f t="shared" si="26"/>
        <v>0</v>
      </c>
      <c r="K94" s="61">
        <f>K95+K96</f>
        <v>0</v>
      </c>
      <c r="L94" s="95">
        <f>L95+L96</f>
        <v>0</v>
      </c>
      <c r="M94" s="96">
        <f t="shared" si="27"/>
        <v>0</v>
      </c>
    </row>
    <row r="95" spans="1:13" x14ac:dyDescent="0.45">
      <c r="A95" s="167"/>
      <c r="B95" s="63" t="str">
        <f>Main!$D$12</f>
        <v>NAMBA Yurika</v>
      </c>
      <c r="C95" s="60">
        <f t="shared" si="24"/>
        <v>0</v>
      </c>
      <c r="D95" s="61">
        <f>COUNTIFS(Calc!$P:$P,3,Calc!$H:$H,A94,Calc!$L:$L,B95)</f>
        <v>0</v>
      </c>
      <c r="E95" s="96">
        <f>COUNTIFS(Calc!$P:$P,3,Calc!$H:$H,A94,Calc!$L:$L,B95,Calc!$F:$F,A$2)</f>
        <v>0</v>
      </c>
      <c r="F95" s="96">
        <f t="shared" si="25"/>
        <v>0</v>
      </c>
      <c r="G95" s="62"/>
      <c r="H95" s="167"/>
      <c r="I95" s="63" t="str">
        <f>Main!$D$8</f>
        <v>HIRANO Miu</v>
      </c>
      <c r="J95" s="60">
        <f t="shared" si="26"/>
        <v>0</v>
      </c>
      <c r="K95" s="61">
        <f>COUNTIFS(Calc!$P:$P,3,Calc!$H:$H,H94,Calc!$L:$L,I95)</f>
        <v>0</v>
      </c>
      <c r="L95" s="96">
        <f>COUNTIFS(Calc!$P:$P,3,Calc!$H:$H,H94,Calc!$L:$L,I95,Calc!$F:$F,H$2)</f>
        <v>0</v>
      </c>
      <c r="M95" s="96">
        <f t="shared" si="27"/>
        <v>0</v>
      </c>
    </row>
    <row r="96" spans="1:13" x14ac:dyDescent="0.45">
      <c r="A96" s="167"/>
      <c r="B96" s="63" t="str">
        <f>Main!$D$14</f>
        <v/>
      </c>
      <c r="C96" s="60">
        <f t="shared" si="24"/>
        <v>0</v>
      </c>
      <c r="D96" s="61">
        <f>COUNTIFS(Calc!$P:$P,3,Calc!$H:$H,A94,Calc!$L:$L,B96)</f>
        <v>0</v>
      </c>
      <c r="E96" s="96">
        <f>COUNTIFS(Calc!$P:$P,3,Calc!$H:$H,A94,Calc!$L:$L,B96,Calc!$F:$F,A$2)</f>
        <v>0</v>
      </c>
      <c r="F96" s="96">
        <f t="shared" si="25"/>
        <v>0</v>
      </c>
      <c r="G96" s="62"/>
      <c r="H96" s="167"/>
      <c r="I96" s="63" t="str">
        <f>Main!$D$10</f>
        <v/>
      </c>
      <c r="J96" s="60">
        <f t="shared" si="26"/>
        <v>0</v>
      </c>
      <c r="K96" s="61">
        <f>COUNTIFS(Calc!$P:$P,3,Calc!$H:$H,H94,Calc!$L:$L,I96)</f>
        <v>0</v>
      </c>
      <c r="L96" s="96">
        <f>COUNTIFS(Calc!$P:$P,3,Calc!$H:$H,H94,Calc!$L:$L,I96,Calc!$F:$F,H$2)</f>
        <v>0</v>
      </c>
      <c r="M96" s="96">
        <f t="shared" si="27"/>
        <v>0</v>
      </c>
    </row>
    <row r="97" spans="1:13" x14ac:dyDescent="0.45">
      <c r="A97" s="62"/>
      <c r="B97" s="62"/>
      <c r="C97" s="64"/>
      <c r="D97" s="65"/>
      <c r="E97" s="97"/>
      <c r="F97" s="97"/>
      <c r="G97" s="62"/>
      <c r="H97" s="62"/>
      <c r="I97" s="62"/>
      <c r="J97" s="64"/>
      <c r="K97" s="65"/>
      <c r="L97" s="97"/>
      <c r="M97" s="97"/>
    </row>
    <row r="98" spans="1:13" x14ac:dyDescent="0.45">
      <c r="A98" s="54" t="s">
        <v>169</v>
      </c>
      <c r="B98" s="62"/>
      <c r="C98" s="64"/>
      <c r="D98" s="65"/>
      <c r="E98" s="97"/>
      <c r="F98" s="97"/>
      <c r="G98" s="62"/>
      <c r="H98" s="62"/>
      <c r="I98" s="62"/>
      <c r="J98" s="64"/>
      <c r="K98" s="65"/>
      <c r="L98" s="97"/>
      <c r="M98" s="97"/>
    </row>
    <row r="99" spans="1:13" x14ac:dyDescent="0.45">
      <c r="A99" s="169" t="str">
        <f>Main!$B$8</f>
        <v>RedELF</v>
      </c>
      <c r="B99" s="170"/>
      <c r="C99" s="170"/>
      <c r="D99" s="170"/>
      <c r="E99" s="170"/>
      <c r="F99" s="101"/>
      <c r="G99" s="62"/>
      <c r="H99" s="165" t="str">
        <f>Main!$B$12</f>
        <v>Mallets</v>
      </c>
      <c r="I99" s="166"/>
      <c r="J99" s="166"/>
      <c r="K99" s="166"/>
      <c r="L99" s="166"/>
      <c r="M99" s="99"/>
    </row>
    <row r="100" spans="1:13" x14ac:dyDescent="0.45">
      <c r="A100" s="56" t="s">
        <v>142</v>
      </c>
      <c r="B100" s="56" t="s">
        <v>141</v>
      </c>
      <c r="C100" s="57" t="s">
        <v>85</v>
      </c>
      <c r="D100" s="58" t="s">
        <v>86</v>
      </c>
      <c r="E100" s="94" t="s">
        <v>87</v>
      </c>
      <c r="F100" s="100" t="s">
        <v>133</v>
      </c>
      <c r="G100" s="62"/>
      <c r="H100" s="56" t="s">
        <v>142</v>
      </c>
      <c r="I100" s="56" t="s">
        <v>141</v>
      </c>
      <c r="J100" s="57" t="s">
        <v>85</v>
      </c>
      <c r="K100" s="58" t="s">
        <v>86</v>
      </c>
      <c r="L100" s="94" t="s">
        <v>87</v>
      </c>
      <c r="M100" s="100" t="s">
        <v>133</v>
      </c>
    </row>
    <row r="101" spans="1:13" x14ac:dyDescent="0.45">
      <c r="A101" s="167" t="s">
        <v>88</v>
      </c>
      <c r="B101" s="59" t="s">
        <v>88</v>
      </c>
      <c r="C101" s="60">
        <f>IFERROR(E101/D101,0)</f>
        <v>0</v>
      </c>
      <c r="D101" s="61">
        <f>D102+D103</f>
        <v>8</v>
      </c>
      <c r="E101" s="95">
        <f>E102+E103</f>
        <v>0</v>
      </c>
      <c r="F101" s="96">
        <f>E101-D101</f>
        <v>-8</v>
      </c>
      <c r="G101" s="62"/>
      <c r="H101" s="167" t="s">
        <v>88</v>
      </c>
      <c r="I101" s="59" t="s">
        <v>88</v>
      </c>
      <c r="J101" s="60">
        <f>IFERROR(L101/K101,0)</f>
        <v>0</v>
      </c>
      <c r="K101" s="61">
        <f>K102+K103</f>
        <v>8</v>
      </c>
      <c r="L101" s="95">
        <f>L102+L103</f>
        <v>0</v>
      </c>
      <c r="M101" s="96">
        <f>L101-K101</f>
        <v>-8</v>
      </c>
    </row>
    <row r="102" spans="1:13" x14ac:dyDescent="0.45">
      <c r="A102" s="167"/>
      <c r="B102" s="63" t="str">
        <f>Main!$D$12</f>
        <v>NAMBA Yurika</v>
      </c>
      <c r="C102" s="60">
        <f>IFERROR(E102/D102,0)</f>
        <v>0</v>
      </c>
      <c r="D102" s="61">
        <f>D105+D108</f>
        <v>8</v>
      </c>
      <c r="E102" s="95">
        <f>E105+E108</f>
        <v>0</v>
      </c>
      <c r="F102" s="96">
        <f>E102-D102</f>
        <v>-8</v>
      </c>
      <c r="G102" s="62"/>
      <c r="H102" s="167"/>
      <c r="I102" s="63" t="str">
        <f>Main!$D$8</f>
        <v>HIRANO Miu</v>
      </c>
      <c r="J102" s="60">
        <f>IFERROR(L102/K102,0)</f>
        <v>0</v>
      </c>
      <c r="K102" s="61">
        <f>K105+K108</f>
        <v>8</v>
      </c>
      <c r="L102" s="95">
        <f>L105+L108</f>
        <v>0</v>
      </c>
      <c r="M102" s="96">
        <f>L102-K102</f>
        <v>-8</v>
      </c>
    </row>
    <row r="103" spans="1:13" x14ac:dyDescent="0.45">
      <c r="A103" s="167"/>
      <c r="B103" s="63" t="str">
        <f>Main!$D$14</f>
        <v/>
      </c>
      <c r="C103" s="60">
        <f t="shared" ref="C103:C109" si="28">IFERROR(E103/D103,0)</f>
        <v>0</v>
      </c>
      <c r="D103" s="61">
        <f>D106+D109</f>
        <v>0</v>
      </c>
      <c r="E103" s="95">
        <f>E106+E109</f>
        <v>0</v>
      </c>
      <c r="F103" s="96">
        <f t="shared" ref="F103:F109" si="29">E103-D103</f>
        <v>0</v>
      </c>
      <c r="G103" s="62"/>
      <c r="H103" s="167"/>
      <c r="I103" s="63" t="str">
        <f>Main!$D$10</f>
        <v/>
      </c>
      <c r="J103" s="60">
        <f t="shared" ref="J103:J109" si="30">IFERROR(L103/K103,0)</f>
        <v>0</v>
      </c>
      <c r="K103" s="61">
        <f>K106+K109</f>
        <v>0</v>
      </c>
      <c r="L103" s="95">
        <f>L106+L109</f>
        <v>0</v>
      </c>
      <c r="M103" s="96">
        <f t="shared" ref="M103:M109" si="31">L103-K103</f>
        <v>0</v>
      </c>
    </row>
    <row r="104" spans="1:13" x14ac:dyDescent="0.45">
      <c r="A104" s="168" t="str">
        <f>Main!$D$8</f>
        <v>HIRANO Miu</v>
      </c>
      <c r="B104" s="59" t="s">
        <v>88</v>
      </c>
      <c r="C104" s="60">
        <f t="shared" si="28"/>
        <v>0</v>
      </c>
      <c r="D104" s="61">
        <f>D105+D106</f>
        <v>8</v>
      </c>
      <c r="E104" s="95">
        <f>E105+E106</f>
        <v>0</v>
      </c>
      <c r="F104" s="96">
        <f t="shared" si="29"/>
        <v>-8</v>
      </c>
      <c r="G104" s="62"/>
      <c r="H104" s="168" t="str">
        <f>Main!$D$12</f>
        <v>NAMBA Yurika</v>
      </c>
      <c r="I104" s="59" t="s">
        <v>88</v>
      </c>
      <c r="J104" s="60">
        <f t="shared" si="30"/>
        <v>0</v>
      </c>
      <c r="K104" s="61">
        <f>K105+K106</f>
        <v>8</v>
      </c>
      <c r="L104" s="95">
        <f>L105+L106</f>
        <v>0</v>
      </c>
      <c r="M104" s="96">
        <f t="shared" si="31"/>
        <v>-8</v>
      </c>
    </row>
    <row r="105" spans="1:13" x14ac:dyDescent="0.45">
      <c r="A105" s="167"/>
      <c r="B105" s="63" t="str">
        <f>Main!$D$12</f>
        <v>NAMBA Yurika</v>
      </c>
      <c r="C105" s="60">
        <f t="shared" si="28"/>
        <v>0</v>
      </c>
      <c r="D105" s="61">
        <f>COUNTIFS(Calc!$P:$P,3,Calc!$L:$L,A104,Calc!$H:$H,B105)</f>
        <v>8</v>
      </c>
      <c r="E105" s="96">
        <f>COUNTIFS(Calc!$P:$P,3,Calc!$L:$L,A104,Calc!$H:$H,B105,Calc!$F:$F,A$15)</f>
        <v>0</v>
      </c>
      <c r="F105" s="96">
        <f t="shared" si="29"/>
        <v>-8</v>
      </c>
      <c r="G105" s="62"/>
      <c r="H105" s="167"/>
      <c r="I105" s="63" t="str">
        <f>Main!$D$8</f>
        <v>HIRANO Miu</v>
      </c>
      <c r="J105" s="60">
        <f t="shared" si="30"/>
        <v>0</v>
      </c>
      <c r="K105" s="61">
        <f>COUNTIFS(Calc!$P:$P,3,Calc!$L:$L,H104,Calc!$H:$H,I105)</f>
        <v>8</v>
      </c>
      <c r="L105" s="96">
        <f>COUNTIFS(Calc!$P:$P,3,Calc!$L:$L,H104,Calc!$H:$H,I105,Calc!$F:$F,H$15)</f>
        <v>0</v>
      </c>
      <c r="M105" s="96">
        <f t="shared" si="31"/>
        <v>-8</v>
      </c>
    </row>
    <row r="106" spans="1:13" x14ac:dyDescent="0.45">
      <c r="A106" s="167"/>
      <c r="B106" s="63" t="str">
        <f>Main!$D$14</f>
        <v/>
      </c>
      <c r="C106" s="60">
        <f t="shared" si="28"/>
        <v>0</v>
      </c>
      <c r="D106" s="61">
        <f>COUNTIFS(Calc!$P:$P,3,Calc!$L:$L,A104,Calc!$H:$H,B106)</f>
        <v>0</v>
      </c>
      <c r="E106" s="96">
        <f>COUNTIFS(Calc!$P:$P,3,Calc!$L:$L,A104,Calc!$H:$H,B106,Calc!$F:$F,A$15)</f>
        <v>0</v>
      </c>
      <c r="F106" s="96">
        <f t="shared" si="29"/>
        <v>0</v>
      </c>
      <c r="G106" s="62"/>
      <c r="H106" s="167"/>
      <c r="I106" s="63" t="str">
        <f>Main!$D$10</f>
        <v/>
      </c>
      <c r="J106" s="60">
        <f t="shared" si="30"/>
        <v>0</v>
      </c>
      <c r="K106" s="61">
        <f>COUNTIFS(Calc!$P:$P,3,Calc!$L:$L,H104,Calc!$H:$H,I106)</f>
        <v>0</v>
      </c>
      <c r="L106" s="96">
        <f>COUNTIFS(Calc!$P:$P,3,Calc!$L:$L,H104,Calc!$H:$H,I106,Calc!$F:$F,H$15)</f>
        <v>0</v>
      </c>
      <c r="M106" s="96">
        <f t="shared" si="31"/>
        <v>0</v>
      </c>
    </row>
    <row r="107" spans="1:13" x14ac:dyDescent="0.45">
      <c r="A107" s="168" t="str">
        <f>Main!$D$10</f>
        <v/>
      </c>
      <c r="B107" s="59" t="s">
        <v>88</v>
      </c>
      <c r="C107" s="60">
        <f t="shared" si="28"/>
        <v>0</v>
      </c>
      <c r="D107" s="61">
        <f>D108+D109</f>
        <v>0</v>
      </c>
      <c r="E107" s="95">
        <f>E108+E109</f>
        <v>0</v>
      </c>
      <c r="F107" s="96">
        <f t="shared" si="29"/>
        <v>0</v>
      </c>
      <c r="G107" s="62"/>
      <c r="H107" s="168" t="str">
        <f>Main!$D$14</f>
        <v/>
      </c>
      <c r="I107" s="59" t="s">
        <v>88</v>
      </c>
      <c r="J107" s="60">
        <f t="shared" si="30"/>
        <v>0</v>
      </c>
      <c r="K107" s="61">
        <f>K108+K109</f>
        <v>0</v>
      </c>
      <c r="L107" s="95">
        <f>L108+L109</f>
        <v>0</v>
      </c>
      <c r="M107" s="96">
        <f t="shared" si="31"/>
        <v>0</v>
      </c>
    </row>
    <row r="108" spans="1:13" x14ac:dyDescent="0.45">
      <c r="A108" s="167"/>
      <c r="B108" s="63" t="str">
        <f>Main!$D$12</f>
        <v>NAMBA Yurika</v>
      </c>
      <c r="C108" s="60">
        <f t="shared" si="28"/>
        <v>0</v>
      </c>
      <c r="D108" s="61">
        <f>COUNTIFS(Calc!$P:$P,3,Calc!$L:$L,A107,Calc!$H:$H,B108)</f>
        <v>0</v>
      </c>
      <c r="E108" s="96">
        <f>COUNTIFS(Calc!$P:$P,3,Calc!$L:$L,A107,Calc!$H:$H,B108,Calc!$F:$F,A$15)</f>
        <v>0</v>
      </c>
      <c r="F108" s="96">
        <f t="shared" si="29"/>
        <v>0</v>
      </c>
      <c r="G108" s="62"/>
      <c r="H108" s="167"/>
      <c r="I108" s="63" t="str">
        <f>Main!$D$8</f>
        <v>HIRANO Miu</v>
      </c>
      <c r="J108" s="60">
        <f t="shared" si="30"/>
        <v>0</v>
      </c>
      <c r="K108" s="61">
        <f>COUNTIFS(Calc!$P:$P,3,Calc!$L:$L,H107,Calc!$H:$H,I108)</f>
        <v>0</v>
      </c>
      <c r="L108" s="96">
        <f>COUNTIFS(Calc!$P:$P,3,Calc!$L:$L,H107,Calc!$H:$H,I108,Calc!$F:$F,H$15)</f>
        <v>0</v>
      </c>
      <c r="M108" s="96">
        <f t="shared" si="31"/>
        <v>0</v>
      </c>
    </row>
    <row r="109" spans="1:13" x14ac:dyDescent="0.45">
      <c r="A109" s="167"/>
      <c r="B109" s="63" t="str">
        <f>Main!$D$14</f>
        <v/>
      </c>
      <c r="C109" s="60">
        <f t="shared" si="28"/>
        <v>0</v>
      </c>
      <c r="D109" s="61">
        <f>COUNTIFS(Calc!$P:$P,3,Calc!$L:$L,A107,Calc!$H:$H,B109)</f>
        <v>0</v>
      </c>
      <c r="E109" s="96">
        <f>COUNTIFS(Calc!$P:$P,3,Calc!$L:$L,A107,Calc!$H:$H,B109,Calc!$F:$F,A$15)</f>
        <v>0</v>
      </c>
      <c r="F109" s="96">
        <f t="shared" si="29"/>
        <v>0</v>
      </c>
      <c r="G109" s="62"/>
      <c r="H109" s="167"/>
      <c r="I109" s="63" t="str">
        <f>Main!$D$10</f>
        <v/>
      </c>
      <c r="J109" s="60">
        <f t="shared" si="30"/>
        <v>0</v>
      </c>
      <c r="K109" s="61">
        <f>COUNTIFS(Calc!$P:$P,3,Calc!$L:$L,H107,Calc!$H:$H,I109)</f>
        <v>0</v>
      </c>
      <c r="L109" s="96">
        <f>COUNTIFS(Calc!$P:$P,3,Calc!$L:$L,H107,Calc!$H:$H,I109,Calc!$F:$F,H$15)</f>
        <v>0</v>
      </c>
      <c r="M109" s="96">
        <f t="shared" si="31"/>
        <v>0</v>
      </c>
    </row>
    <row r="110" spans="1:13" x14ac:dyDescent="0.45">
      <c r="A110" s="31"/>
      <c r="D110" s="33"/>
      <c r="E110" s="98"/>
      <c r="F110" s="98"/>
      <c r="G110" s="30"/>
      <c r="H110" s="31"/>
    </row>
    <row r="111" spans="1:13" x14ac:dyDescent="0.45">
      <c r="A111" s="31"/>
      <c r="D111" s="33"/>
      <c r="E111" s="98"/>
      <c r="F111" s="98"/>
      <c r="G111" s="30"/>
      <c r="H111" s="31"/>
    </row>
    <row r="112" spans="1:13" x14ac:dyDescent="0.45">
      <c r="A112" s="31"/>
      <c r="D112" s="33"/>
      <c r="E112" s="98"/>
      <c r="F112" s="98"/>
      <c r="G112" s="30"/>
      <c r="H112" s="31"/>
    </row>
    <row r="113" spans="1:13" x14ac:dyDescent="0.45">
      <c r="A113" s="28" t="s">
        <v>170</v>
      </c>
    </row>
    <row r="114" spans="1:13" x14ac:dyDescent="0.45">
      <c r="A114" s="165" t="str">
        <f>Main!$B$8</f>
        <v>RedELF</v>
      </c>
      <c r="B114" s="166"/>
      <c r="C114" s="166"/>
      <c r="D114" s="166"/>
      <c r="E114" s="166"/>
      <c r="F114" s="99"/>
      <c r="G114" s="54"/>
      <c r="H114" s="165" t="str">
        <f>Main!$B$12</f>
        <v>Mallets</v>
      </c>
      <c r="I114" s="166"/>
      <c r="J114" s="166"/>
      <c r="K114" s="166"/>
      <c r="L114" s="166"/>
      <c r="M114" s="99"/>
    </row>
    <row r="115" spans="1:13" x14ac:dyDescent="0.45">
      <c r="A115" s="55" t="s">
        <v>141</v>
      </c>
      <c r="B115" s="56" t="s">
        <v>142</v>
      </c>
      <c r="C115" s="57" t="s">
        <v>85</v>
      </c>
      <c r="D115" s="58" t="s">
        <v>86</v>
      </c>
      <c r="E115" s="94" t="s">
        <v>87</v>
      </c>
      <c r="F115" s="100" t="s">
        <v>133</v>
      </c>
      <c r="G115" s="54"/>
      <c r="H115" s="55" t="s">
        <v>141</v>
      </c>
      <c r="I115" s="56" t="s">
        <v>142</v>
      </c>
      <c r="J115" s="57" t="s">
        <v>85</v>
      </c>
      <c r="K115" s="58" t="s">
        <v>86</v>
      </c>
      <c r="L115" s="94" t="s">
        <v>87</v>
      </c>
      <c r="M115" s="100" t="s">
        <v>133</v>
      </c>
    </row>
    <row r="116" spans="1:13" x14ac:dyDescent="0.45">
      <c r="A116" s="167" t="s">
        <v>88</v>
      </c>
      <c r="B116" s="59" t="s">
        <v>88</v>
      </c>
      <c r="C116" s="60">
        <f>IFERROR(E116/D116,0)</f>
        <v>0</v>
      </c>
      <c r="D116" s="61">
        <f>D117+D118</f>
        <v>0</v>
      </c>
      <c r="E116" s="95">
        <f>E117+E118</f>
        <v>0</v>
      </c>
      <c r="F116" s="96">
        <f>E116-D116</f>
        <v>0</v>
      </c>
      <c r="G116" s="62"/>
      <c r="H116" s="167" t="s">
        <v>88</v>
      </c>
      <c r="I116" s="59" t="s">
        <v>88</v>
      </c>
      <c r="J116" s="60">
        <f>IFERROR(L116/K116,0)</f>
        <v>0</v>
      </c>
      <c r="K116" s="61">
        <f>K117+K118</f>
        <v>0</v>
      </c>
      <c r="L116" s="95">
        <f>L117+L118</f>
        <v>0</v>
      </c>
      <c r="M116" s="96">
        <f>L116-K116</f>
        <v>0</v>
      </c>
    </row>
    <row r="117" spans="1:13" x14ac:dyDescent="0.45">
      <c r="A117" s="167"/>
      <c r="B117" s="63" t="str">
        <f>Main!$D$12</f>
        <v>NAMBA Yurika</v>
      </c>
      <c r="C117" s="60">
        <f>IFERROR(E117/D117,0)</f>
        <v>0</v>
      </c>
      <c r="D117" s="61">
        <f>D120+D123</f>
        <v>0</v>
      </c>
      <c r="E117" s="96">
        <f>E120+E123</f>
        <v>0</v>
      </c>
      <c r="F117" s="96">
        <f>E117-D117</f>
        <v>0</v>
      </c>
      <c r="G117" s="62"/>
      <c r="H117" s="167"/>
      <c r="I117" s="63" t="str">
        <f>Main!$D$8</f>
        <v>HIRANO Miu</v>
      </c>
      <c r="J117" s="60">
        <f>IFERROR(L117/K117,0)</f>
        <v>0</v>
      </c>
      <c r="K117" s="61">
        <f>K120+K123</f>
        <v>0</v>
      </c>
      <c r="L117" s="96">
        <f>L120+L123</f>
        <v>0</v>
      </c>
      <c r="M117" s="96">
        <f>L117-K117</f>
        <v>0</v>
      </c>
    </row>
    <row r="118" spans="1:13" x14ac:dyDescent="0.45">
      <c r="A118" s="167"/>
      <c r="B118" s="63" t="str">
        <f>Main!$D$14</f>
        <v/>
      </c>
      <c r="C118" s="60">
        <f t="shared" ref="C118:C124" si="32">IFERROR(E118/D118,0)</f>
        <v>0</v>
      </c>
      <c r="D118" s="61">
        <f>D121+D124</f>
        <v>0</v>
      </c>
      <c r="E118" s="96">
        <f>E121+E124</f>
        <v>0</v>
      </c>
      <c r="F118" s="96">
        <f t="shared" ref="F118:F124" si="33">E118-D118</f>
        <v>0</v>
      </c>
      <c r="G118" s="62"/>
      <c r="H118" s="167"/>
      <c r="I118" s="63" t="str">
        <f>Main!$D$10</f>
        <v/>
      </c>
      <c r="J118" s="60">
        <f t="shared" ref="J118:J124" si="34">IFERROR(L118/K118,0)</f>
        <v>0</v>
      </c>
      <c r="K118" s="61">
        <f>K121+K124</f>
        <v>0</v>
      </c>
      <c r="L118" s="96">
        <f>L121+L124</f>
        <v>0</v>
      </c>
      <c r="M118" s="96">
        <f t="shared" ref="M118:M124" si="35">L118-K118</f>
        <v>0</v>
      </c>
    </row>
    <row r="119" spans="1:13" x14ac:dyDescent="0.45">
      <c r="A119" s="168" t="str">
        <f>Main!$D$8</f>
        <v>HIRANO Miu</v>
      </c>
      <c r="B119" s="59" t="s">
        <v>88</v>
      </c>
      <c r="C119" s="60">
        <f t="shared" si="32"/>
        <v>0</v>
      </c>
      <c r="D119" s="61">
        <f>D120+D121</f>
        <v>0</v>
      </c>
      <c r="E119" s="95">
        <f>E120+E121</f>
        <v>0</v>
      </c>
      <c r="F119" s="96">
        <f t="shared" si="33"/>
        <v>0</v>
      </c>
      <c r="G119" s="62"/>
      <c r="H119" s="168" t="str">
        <f>Main!$D$12</f>
        <v>NAMBA Yurika</v>
      </c>
      <c r="I119" s="59" t="s">
        <v>88</v>
      </c>
      <c r="J119" s="60">
        <f t="shared" si="34"/>
        <v>0</v>
      </c>
      <c r="K119" s="61">
        <f>K120+K121</f>
        <v>0</v>
      </c>
      <c r="L119" s="95">
        <f>L120+L121</f>
        <v>0</v>
      </c>
      <c r="M119" s="96">
        <f t="shared" si="35"/>
        <v>0</v>
      </c>
    </row>
    <row r="120" spans="1:13" x14ac:dyDescent="0.45">
      <c r="A120" s="167"/>
      <c r="B120" s="63" t="str">
        <f>Main!$D$12</f>
        <v>NAMBA Yurika</v>
      </c>
      <c r="C120" s="60">
        <f t="shared" si="32"/>
        <v>0</v>
      </c>
      <c r="D120" s="61">
        <f>COUNTIFS(Calc!$P:$P,4,Calc!$H:$H,A119,Calc!$L:$L,B120)</f>
        <v>0</v>
      </c>
      <c r="E120" s="96">
        <f>COUNTIFS(Calc!$P:$P,4,Calc!$H:$H,A119,Calc!$L:$L,B120,Calc!$F:$F,A$2)</f>
        <v>0</v>
      </c>
      <c r="F120" s="96">
        <f t="shared" si="33"/>
        <v>0</v>
      </c>
      <c r="G120" s="62"/>
      <c r="H120" s="167"/>
      <c r="I120" s="63" t="str">
        <f>Main!$D$8</f>
        <v>HIRANO Miu</v>
      </c>
      <c r="J120" s="60">
        <f t="shared" si="34"/>
        <v>0</v>
      </c>
      <c r="K120" s="61">
        <f>COUNTIFS(Calc!$P:$P,4,Calc!$H:$H,H119,Calc!$L:$L,I120)</f>
        <v>0</v>
      </c>
      <c r="L120" s="96">
        <f>COUNTIFS(Calc!$P:$P,4,Calc!$H:$H,H119,Calc!$L:$L,I120,Calc!$F:$F,H$2)</f>
        <v>0</v>
      </c>
      <c r="M120" s="96">
        <f t="shared" si="35"/>
        <v>0</v>
      </c>
    </row>
    <row r="121" spans="1:13" x14ac:dyDescent="0.45">
      <c r="A121" s="167"/>
      <c r="B121" s="63" t="str">
        <f>Main!$D$14</f>
        <v/>
      </c>
      <c r="C121" s="60">
        <f t="shared" si="32"/>
        <v>0</v>
      </c>
      <c r="D121" s="61">
        <f>COUNTIFS(Calc!$P:$P,4,Calc!$H:$H,A119,Calc!$L:$L,B121)</f>
        <v>0</v>
      </c>
      <c r="E121" s="96">
        <f>COUNTIFS(Calc!$P:$P,4,Calc!$H:$H,A119,Calc!$L:$L,B121,Calc!$F:$F,A$2)</f>
        <v>0</v>
      </c>
      <c r="F121" s="96">
        <f t="shared" si="33"/>
        <v>0</v>
      </c>
      <c r="G121" s="62"/>
      <c r="H121" s="167"/>
      <c r="I121" s="63" t="str">
        <f>Main!$D$10</f>
        <v/>
      </c>
      <c r="J121" s="60">
        <f t="shared" si="34"/>
        <v>0</v>
      </c>
      <c r="K121" s="61">
        <f>COUNTIFS(Calc!$P:$P,4,Calc!$H:$H,H119,Calc!$L:$L,I121)</f>
        <v>0</v>
      </c>
      <c r="L121" s="96">
        <f>COUNTIFS(Calc!$P:$P,4,Calc!$H:$H,H119,Calc!$L:$L,I121,Calc!$F:$F,H$2)</f>
        <v>0</v>
      </c>
      <c r="M121" s="96">
        <f t="shared" si="35"/>
        <v>0</v>
      </c>
    </row>
    <row r="122" spans="1:13" x14ac:dyDescent="0.45">
      <c r="A122" s="168" t="str">
        <f>Main!$D$10</f>
        <v/>
      </c>
      <c r="B122" s="59" t="s">
        <v>88</v>
      </c>
      <c r="C122" s="60">
        <f t="shared" si="32"/>
        <v>0</v>
      </c>
      <c r="D122" s="61">
        <f>D123+D124</f>
        <v>0</v>
      </c>
      <c r="E122" s="95">
        <f>E123+E124</f>
        <v>0</v>
      </c>
      <c r="F122" s="96">
        <f t="shared" si="33"/>
        <v>0</v>
      </c>
      <c r="G122" s="62"/>
      <c r="H122" s="168" t="str">
        <f>Main!$D$14</f>
        <v/>
      </c>
      <c r="I122" s="59" t="s">
        <v>88</v>
      </c>
      <c r="J122" s="60">
        <f t="shared" si="34"/>
        <v>0</v>
      </c>
      <c r="K122" s="61">
        <f>K123+K124</f>
        <v>0</v>
      </c>
      <c r="L122" s="95">
        <f>L123+L124</f>
        <v>0</v>
      </c>
      <c r="M122" s="96">
        <f t="shared" si="35"/>
        <v>0</v>
      </c>
    </row>
    <row r="123" spans="1:13" x14ac:dyDescent="0.45">
      <c r="A123" s="167"/>
      <c r="B123" s="63" t="str">
        <f>Main!$D$12</f>
        <v>NAMBA Yurika</v>
      </c>
      <c r="C123" s="60">
        <f t="shared" si="32"/>
        <v>0</v>
      </c>
      <c r="D123" s="61">
        <f>COUNTIFS(Calc!$P:$P,4,Calc!$H:$H,A122,Calc!$L:$L,B123)</f>
        <v>0</v>
      </c>
      <c r="E123" s="96">
        <f>COUNTIFS(Calc!$P:$P,4,Calc!$H:$H,A122,Calc!$L:$L,B123,Calc!$F:$F,A$2)</f>
        <v>0</v>
      </c>
      <c r="F123" s="96">
        <f t="shared" si="33"/>
        <v>0</v>
      </c>
      <c r="G123" s="62"/>
      <c r="H123" s="167"/>
      <c r="I123" s="63" t="str">
        <f>Main!$D$8</f>
        <v>HIRANO Miu</v>
      </c>
      <c r="J123" s="60">
        <f t="shared" si="34"/>
        <v>0</v>
      </c>
      <c r="K123" s="61">
        <f>COUNTIFS(Calc!$P:$P,4,Calc!$H:$H,H122,Calc!$L:$L,I123)</f>
        <v>0</v>
      </c>
      <c r="L123" s="96">
        <f>COUNTIFS(Calc!$P:$P,4,Calc!$H:$H,H122,Calc!$L:$L,I123,Calc!$F:$F,H$2)</f>
        <v>0</v>
      </c>
      <c r="M123" s="96">
        <f t="shared" si="35"/>
        <v>0</v>
      </c>
    </row>
    <row r="124" spans="1:13" x14ac:dyDescent="0.45">
      <c r="A124" s="167"/>
      <c r="B124" s="63" t="str">
        <f>Main!$D$14</f>
        <v/>
      </c>
      <c r="C124" s="60">
        <f t="shared" si="32"/>
        <v>0</v>
      </c>
      <c r="D124" s="61">
        <f>COUNTIFS(Calc!$P:$P,4,Calc!$H:$H,A122,Calc!$L:$L,B124)</f>
        <v>0</v>
      </c>
      <c r="E124" s="96">
        <f>COUNTIFS(Calc!$P:$P,4,Calc!$H:$H,A122,Calc!$L:$L,B124,Calc!$F:$F,A$2)</f>
        <v>0</v>
      </c>
      <c r="F124" s="96">
        <f t="shared" si="33"/>
        <v>0</v>
      </c>
      <c r="G124" s="62"/>
      <c r="H124" s="167"/>
      <c r="I124" s="63" t="str">
        <f>Main!$D$10</f>
        <v/>
      </c>
      <c r="J124" s="60">
        <f t="shared" si="34"/>
        <v>0</v>
      </c>
      <c r="K124" s="61">
        <f>COUNTIFS(Calc!$P:$P,4,Calc!$H:$H,H122,Calc!$L:$L,I124)</f>
        <v>0</v>
      </c>
      <c r="L124" s="96">
        <f>COUNTIFS(Calc!$P:$P,4,Calc!$H:$H,H122,Calc!$L:$L,I124,Calc!$F:$F,H$2)</f>
        <v>0</v>
      </c>
      <c r="M124" s="96">
        <f t="shared" si="35"/>
        <v>0</v>
      </c>
    </row>
    <row r="125" spans="1:13" x14ac:dyDescent="0.45">
      <c r="A125" s="62"/>
      <c r="B125" s="62"/>
      <c r="C125" s="64"/>
      <c r="D125" s="65"/>
      <c r="E125" s="97"/>
      <c r="F125" s="97"/>
      <c r="G125" s="62"/>
      <c r="H125" s="62"/>
      <c r="I125" s="62"/>
      <c r="J125" s="64"/>
      <c r="K125" s="65"/>
      <c r="L125" s="97"/>
      <c r="M125" s="97"/>
    </row>
    <row r="126" spans="1:13" x14ac:dyDescent="0.45">
      <c r="A126" s="54" t="s">
        <v>171</v>
      </c>
      <c r="B126" s="62"/>
      <c r="C126" s="64"/>
      <c r="D126" s="65"/>
      <c r="E126" s="97"/>
      <c r="F126" s="97"/>
      <c r="G126" s="62"/>
      <c r="H126" s="62"/>
      <c r="I126" s="62"/>
      <c r="J126" s="64"/>
      <c r="K126" s="65"/>
      <c r="L126" s="97"/>
      <c r="M126" s="97"/>
    </row>
    <row r="127" spans="1:13" x14ac:dyDescent="0.45">
      <c r="A127" s="169" t="str">
        <f>Main!$B$8</f>
        <v>RedELF</v>
      </c>
      <c r="B127" s="170"/>
      <c r="C127" s="170"/>
      <c r="D127" s="170"/>
      <c r="E127" s="170"/>
      <c r="F127" s="101"/>
      <c r="G127" s="62"/>
      <c r="H127" s="165" t="str">
        <f>Main!$B$12</f>
        <v>Mallets</v>
      </c>
      <c r="I127" s="166"/>
      <c r="J127" s="166"/>
      <c r="K127" s="166"/>
      <c r="L127" s="166"/>
      <c r="M127" s="99"/>
    </row>
    <row r="128" spans="1:13" x14ac:dyDescent="0.45">
      <c r="A128" s="56" t="s">
        <v>142</v>
      </c>
      <c r="B128" s="56" t="s">
        <v>141</v>
      </c>
      <c r="C128" s="57" t="s">
        <v>85</v>
      </c>
      <c r="D128" s="58" t="s">
        <v>86</v>
      </c>
      <c r="E128" s="94" t="s">
        <v>87</v>
      </c>
      <c r="F128" s="100" t="s">
        <v>133</v>
      </c>
      <c r="G128" s="62"/>
      <c r="H128" s="56" t="s">
        <v>142</v>
      </c>
      <c r="I128" s="56" t="s">
        <v>141</v>
      </c>
      <c r="J128" s="57" t="s">
        <v>85</v>
      </c>
      <c r="K128" s="58" t="s">
        <v>86</v>
      </c>
      <c r="L128" s="94" t="s">
        <v>87</v>
      </c>
      <c r="M128" s="100" t="s">
        <v>133</v>
      </c>
    </row>
    <row r="129" spans="1:13" x14ac:dyDescent="0.45">
      <c r="A129" s="167" t="s">
        <v>88</v>
      </c>
      <c r="B129" s="59" t="s">
        <v>88</v>
      </c>
      <c r="C129" s="60">
        <f>IFERROR(E129/D129,0)</f>
        <v>0</v>
      </c>
      <c r="D129" s="61">
        <f>D130+D131</f>
        <v>0</v>
      </c>
      <c r="E129" s="95">
        <f>E130+E131</f>
        <v>0</v>
      </c>
      <c r="F129" s="96">
        <f>E129-D129</f>
        <v>0</v>
      </c>
      <c r="G129" s="62"/>
      <c r="H129" s="167" t="s">
        <v>88</v>
      </c>
      <c r="I129" s="59" t="s">
        <v>88</v>
      </c>
      <c r="J129" s="60">
        <f>IFERROR(L129/K129,0)</f>
        <v>0</v>
      </c>
      <c r="K129" s="61">
        <f>K130+K131</f>
        <v>0</v>
      </c>
      <c r="L129" s="95">
        <f>L130+L131</f>
        <v>0</v>
      </c>
      <c r="M129" s="96">
        <f>L129-K129</f>
        <v>0</v>
      </c>
    </row>
    <row r="130" spans="1:13" x14ac:dyDescent="0.45">
      <c r="A130" s="167"/>
      <c r="B130" s="63" t="str">
        <f>Main!$D$12</f>
        <v>NAMBA Yurika</v>
      </c>
      <c r="C130" s="60">
        <f>IFERROR(E130/D130,0)</f>
        <v>0</v>
      </c>
      <c r="D130" s="61">
        <f>D133+D136</f>
        <v>0</v>
      </c>
      <c r="E130" s="95">
        <f>E133+E136</f>
        <v>0</v>
      </c>
      <c r="F130" s="96">
        <f>E130-D130</f>
        <v>0</v>
      </c>
      <c r="G130" s="62"/>
      <c r="H130" s="167"/>
      <c r="I130" s="63" t="str">
        <f>Main!$D$8</f>
        <v>HIRANO Miu</v>
      </c>
      <c r="J130" s="60">
        <f>IFERROR(L130/K130,0)</f>
        <v>0</v>
      </c>
      <c r="K130" s="61">
        <f>K133+K136</f>
        <v>0</v>
      </c>
      <c r="L130" s="95">
        <f>L133+L136</f>
        <v>0</v>
      </c>
      <c r="M130" s="96">
        <f>L130-K130</f>
        <v>0</v>
      </c>
    </row>
    <row r="131" spans="1:13" x14ac:dyDescent="0.45">
      <c r="A131" s="167"/>
      <c r="B131" s="63" t="str">
        <f>Main!$D$14</f>
        <v/>
      </c>
      <c r="C131" s="60">
        <f t="shared" ref="C131:C137" si="36">IFERROR(E131/D131,0)</f>
        <v>0</v>
      </c>
      <c r="D131" s="61">
        <f>D134+D137</f>
        <v>0</v>
      </c>
      <c r="E131" s="95">
        <f>E134+E137</f>
        <v>0</v>
      </c>
      <c r="F131" s="96">
        <f t="shared" ref="F131:F137" si="37">E131-D131</f>
        <v>0</v>
      </c>
      <c r="G131" s="62"/>
      <c r="H131" s="167"/>
      <c r="I131" s="63" t="str">
        <f>Main!$D$10</f>
        <v/>
      </c>
      <c r="J131" s="60">
        <f t="shared" ref="J131:J137" si="38">IFERROR(L131/K131,0)</f>
        <v>0</v>
      </c>
      <c r="K131" s="61">
        <f>K134+K137</f>
        <v>0</v>
      </c>
      <c r="L131" s="95">
        <f>L134+L137</f>
        <v>0</v>
      </c>
      <c r="M131" s="96">
        <f t="shared" ref="M131:M137" si="39">L131-K131</f>
        <v>0</v>
      </c>
    </row>
    <row r="132" spans="1:13" x14ac:dyDescent="0.45">
      <c r="A132" s="168" t="str">
        <f>Main!$D$8</f>
        <v>HIRANO Miu</v>
      </c>
      <c r="B132" s="59" t="s">
        <v>88</v>
      </c>
      <c r="C132" s="60">
        <f t="shared" si="36"/>
        <v>0</v>
      </c>
      <c r="D132" s="61">
        <f>D133+D134</f>
        <v>0</v>
      </c>
      <c r="E132" s="95">
        <f>E133+E134</f>
        <v>0</v>
      </c>
      <c r="F132" s="96">
        <f t="shared" si="37"/>
        <v>0</v>
      </c>
      <c r="G132" s="62"/>
      <c r="H132" s="168" t="str">
        <f>Main!$D$12</f>
        <v>NAMBA Yurika</v>
      </c>
      <c r="I132" s="59" t="s">
        <v>88</v>
      </c>
      <c r="J132" s="60">
        <f t="shared" si="38"/>
        <v>0</v>
      </c>
      <c r="K132" s="61">
        <f>K133+K134</f>
        <v>0</v>
      </c>
      <c r="L132" s="95">
        <f>L133+L134</f>
        <v>0</v>
      </c>
      <c r="M132" s="96">
        <f t="shared" si="39"/>
        <v>0</v>
      </c>
    </row>
    <row r="133" spans="1:13" x14ac:dyDescent="0.45">
      <c r="A133" s="167"/>
      <c r="B133" s="63" t="str">
        <f>Main!$D$12</f>
        <v>NAMBA Yurika</v>
      </c>
      <c r="C133" s="60">
        <f t="shared" si="36"/>
        <v>0</v>
      </c>
      <c r="D133" s="61">
        <f>COUNTIFS(Calc!$P:$P,4,Calc!$L:$L,A132,Calc!$H:$H,B133)</f>
        <v>0</v>
      </c>
      <c r="E133" s="96">
        <f>COUNTIFS(Calc!$P:$P,4,Calc!$L:$L,A132,Calc!$H:$H,B133,Calc!$F:$F,A$15)</f>
        <v>0</v>
      </c>
      <c r="F133" s="96">
        <f t="shared" si="37"/>
        <v>0</v>
      </c>
      <c r="G133" s="62"/>
      <c r="H133" s="167"/>
      <c r="I133" s="63" t="str">
        <f>Main!$D$8</f>
        <v>HIRANO Miu</v>
      </c>
      <c r="J133" s="60">
        <f t="shared" si="38"/>
        <v>0</v>
      </c>
      <c r="K133" s="61">
        <f>COUNTIFS(Calc!$P:$P,4,Calc!$L:$L,H132,Calc!$H:$H,I133)</f>
        <v>0</v>
      </c>
      <c r="L133" s="96">
        <f>COUNTIFS(Calc!$P:$P,4,Calc!$L:$L,H132,Calc!$H:$H,I133,Calc!$F:$F,H$15)</f>
        <v>0</v>
      </c>
      <c r="M133" s="96">
        <f t="shared" si="39"/>
        <v>0</v>
      </c>
    </row>
    <row r="134" spans="1:13" x14ac:dyDescent="0.45">
      <c r="A134" s="167"/>
      <c r="B134" s="63" t="str">
        <f>Main!$D$14</f>
        <v/>
      </c>
      <c r="C134" s="60">
        <f t="shared" si="36"/>
        <v>0</v>
      </c>
      <c r="D134" s="61">
        <f>COUNTIFS(Calc!$P:$P,4,Calc!$L:$L,A132,Calc!$H:$H,B134)</f>
        <v>0</v>
      </c>
      <c r="E134" s="96">
        <f>COUNTIFS(Calc!$P:$P,4,Calc!$L:$L,A132,Calc!$H:$H,B134,Calc!$F:$F,A$15)</f>
        <v>0</v>
      </c>
      <c r="F134" s="96">
        <f t="shared" si="37"/>
        <v>0</v>
      </c>
      <c r="G134" s="62"/>
      <c r="H134" s="167"/>
      <c r="I134" s="63" t="str">
        <f>Main!$D$10</f>
        <v/>
      </c>
      <c r="J134" s="60">
        <f t="shared" si="38"/>
        <v>0</v>
      </c>
      <c r="K134" s="61">
        <f>COUNTIFS(Calc!$P:$P,4,Calc!$L:$L,H132,Calc!$H:$H,I134)</f>
        <v>0</v>
      </c>
      <c r="L134" s="96">
        <f>COUNTIFS(Calc!$P:$P,4,Calc!$L:$L,H132,Calc!$H:$H,I134,Calc!$F:$F,H$15)</f>
        <v>0</v>
      </c>
      <c r="M134" s="96">
        <f t="shared" si="39"/>
        <v>0</v>
      </c>
    </row>
    <row r="135" spans="1:13" x14ac:dyDescent="0.45">
      <c r="A135" s="168" t="str">
        <f>Main!$D$10</f>
        <v/>
      </c>
      <c r="B135" s="59" t="s">
        <v>88</v>
      </c>
      <c r="C135" s="60">
        <f t="shared" si="36"/>
        <v>0</v>
      </c>
      <c r="D135" s="61">
        <f>D136+D137</f>
        <v>0</v>
      </c>
      <c r="E135" s="95">
        <f>E136+E137</f>
        <v>0</v>
      </c>
      <c r="F135" s="96">
        <f t="shared" si="37"/>
        <v>0</v>
      </c>
      <c r="G135" s="62"/>
      <c r="H135" s="168" t="str">
        <f>Main!$D$14</f>
        <v/>
      </c>
      <c r="I135" s="59" t="s">
        <v>88</v>
      </c>
      <c r="J135" s="60">
        <f t="shared" si="38"/>
        <v>0</v>
      </c>
      <c r="K135" s="61">
        <f>K136+K137</f>
        <v>0</v>
      </c>
      <c r="L135" s="95">
        <f>L136+L137</f>
        <v>0</v>
      </c>
      <c r="M135" s="96">
        <f t="shared" si="39"/>
        <v>0</v>
      </c>
    </row>
    <row r="136" spans="1:13" x14ac:dyDescent="0.45">
      <c r="A136" s="167"/>
      <c r="B136" s="63" t="str">
        <f>Main!$D$12</f>
        <v>NAMBA Yurika</v>
      </c>
      <c r="C136" s="60">
        <f t="shared" si="36"/>
        <v>0</v>
      </c>
      <c r="D136" s="61">
        <f>COUNTIFS(Calc!$P:$P,4,Calc!$L:$L,A135,Calc!$H:$H,B136)</f>
        <v>0</v>
      </c>
      <c r="E136" s="96">
        <f>COUNTIFS(Calc!$P:$P,4,Calc!$L:$L,A135,Calc!$H:$H,B136,Calc!$F:$F,A$15)</f>
        <v>0</v>
      </c>
      <c r="F136" s="96">
        <f t="shared" si="37"/>
        <v>0</v>
      </c>
      <c r="G136" s="62"/>
      <c r="H136" s="167"/>
      <c r="I136" s="63" t="str">
        <f>Main!$D$8</f>
        <v>HIRANO Miu</v>
      </c>
      <c r="J136" s="60">
        <f t="shared" si="38"/>
        <v>0</v>
      </c>
      <c r="K136" s="61">
        <f>COUNTIFS(Calc!$P:$P,4,Calc!$L:$L,H135,Calc!$H:$H,I136)</f>
        <v>0</v>
      </c>
      <c r="L136" s="96">
        <f>COUNTIFS(Calc!$P:$P,4,Calc!$L:$L,H135,Calc!$H:$H,I136,Calc!$F:$F,H$15)</f>
        <v>0</v>
      </c>
      <c r="M136" s="96">
        <f t="shared" si="39"/>
        <v>0</v>
      </c>
    </row>
    <row r="137" spans="1:13" x14ac:dyDescent="0.45">
      <c r="A137" s="167"/>
      <c r="B137" s="63" t="str">
        <f>Main!$D$14</f>
        <v/>
      </c>
      <c r="C137" s="60">
        <f t="shared" si="36"/>
        <v>0</v>
      </c>
      <c r="D137" s="61">
        <f>COUNTIFS(Calc!$P:$P,4,Calc!$L:$L,A135,Calc!$H:$H,B137)</f>
        <v>0</v>
      </c>
      <c r="E137" s="96">
        <f>COUNTIFS(Calc!$P:$P,4,Calc!$L:$L,A135,Calc!$H:$H,B137,Calc!$F:$F,A$15)</f>
        <v>0</v>
      </c>
      <c r="F137" s="96">
        <f t="shared" si="37"/>
        <v>0</v>
      </c>
      <c r="G137" s="62"/>
      <c r="H137" s="167"/>
      <c r="I137" s="63" t="str">
        <f>Main!$D$10</f>
        <v/>
      </c>
      <c r="J137" s="60">
        <f t="shared" si="38"/>
        <v>0</v>
      </c>
      <c r="K137" s="61">
        <f>COUNTIFS(Calc!$P:$P,4,Calc!$L:$L,H135,Calc!$H:$H,I137)</f>
        <v>0</v>
      </c>
      <c r="L137" s="96">
        <f>COUNTIFS(Calc!$P:$P,4,Calc!$L:$L,H135,Calc!$H:$H,I137,Calc!$F:$F,H$15)</f>
        <v>0</v>
      </c>
      <c r="M137" s="96">
        <f t="shared" si="39"/>
        <v>0</v>
      </c>
    </row>
    <row r="138" spans="1:13" x14ac:dyDescent="0.45">
      <c r="A138" s="31"/>
      <c r="D138" s="33"/>
      <c r="E138" s="98"/>
      <c r="F138" s="98"/>
      <c r="G138" s="30"/>
      <c r="H138" s="31"/>
    </row>
    <row r="139" spans="1:13" x14ac:dyDescent="0.45">
      <c r="A139" s="31"/>
      <c r="D139" s="33"/>
      <c r="E139" s="98"/>
      <c r="F139" s="98"/>
      <c r="G139" s="30"/>
      <c r="H139" s="31"/>
    </row>
    <row r="140" spans="1:13" x14ac:dyDescent="0.45">
      <c r="A140" s="31"/>
      <c r="D140" s="33"/>
      <c r="E140" s="98"/>
      <c r="F140" s="98"/>
      <c r="G140" s="30"/>
      <c r="H140" s="31"/>
    </row>
    <row r="141" spans="1:13" x14ac:dyDescent="0.45">
      <c r="A141" s="28" t="s">
        <v>172</v>
      </c>
    </row>
    <row r="142" spans="1:13" x14ac:dyDescent="0.45">
      <c r="A142" s="165" t="str">
        <f>Main!$B$8</f>
        <v>RedELF</v>
      </c>
      <c r="B142" s="166"/>
      <c r="C142" s="166"/>
      <c r="D142" s="166"/>
      <c r="E142" s="166"/>
      <c r="F142" s="99"/>
      <c r="G142" s="54"/>
      <c r="H142" s="165" t="str">
        <f>Main!$B$12</f>
        <v>Mallets</v>
      </c>
      <c r="I142" s="166"/>
      <c r="J142" s="166"/>
      <c r="K142" s="166"/>
      <c r="L142" s="166"/>
      <c r="M142" s="99"/>
    </row>
    <row r="143" spans="1:13" x14ac:dyDescent="0.45">
      <c r="A143" s="55" t="s">
        <v>141</v>
      </c>
      <c r="B143" s="56" t="s">
        <v>142</v>
      </c>
      <c r="C143" s="57" t="s">
        <v>85</v>
      </c>
      <c r="D143" s="58" t="s">
        <v>86</v>
      </c>
      <c r="E143" s="94" t="s">
        <v>87</v>
      </c>
      <c r="F143" s="100" t="s">
        <v>133</v>
      </c>
      <c r="G143" s="54"/>
      <c r="H143" s="55" t="s">
        <v>141</v>
      </c>
      <c r="I143" s="56" t="s">
        <v>142</v>
      </c>
      <c r="J143" s="57" t="s">
        <v>85</v>
      </c>
      <c r="K143" s="58" t="s">
        <v>86</v>
      </c>
      <c r="L143" s="94" t="s">
        <v>87</v>
      </c>
      <c r="M143" s="100" t="s">
        <v>133</v>
      </c>
    </row>
    <row r="144" spans="1:13" x14ac:dyDescent="0.45">
      <c r="A144" s="167" t="s">
        <v>88</v>
      </c>
      <c r="B144" s="59" t="s">
        <v>88</v>
      </c>
      <c r="C144" s="60">
        <f>IFERROR(E144/D144,0)</f>
        <v>0</v>
      </c>
      <c r="D144" s="61">
        <f>D145+D146</f>
        <v>0</v>
      </c>
      <c r="E144" s="95">
        <f>E145+E146</f>
        <v>0</v>
      </c>
      <c r="F144" s="96">
        <f>E144-D144</f>
        <v>0</v>
      </c>
      <c r="G144" s="62"/>
      <c r="H144" s="167" t="s">
        <v>88</v>
      </c>
      <c r="I144" s="59" t="s">
        <v>88</v>
      </c>
      <c r="J144" s="60">
        <f>IFERROR(L144/K144,0)</f>
        <v>0</v>
      </c>
      <c r="K144" s="61">
        <f>K145+K146</f>
        <v>0</v>
      </c>
      <c r="L144" s="95">
        <f>L145+L146</f>
        <v>0</v>
      </c>
      <c r="M144" s="96">
        <f>L144-K144</f>
        <v>0</v>
      </c>
    </row>
    <row r="145" spans="1:13" x14ac:dyDescent="0.45">
      <c r="A145" s="167"/>
      <c r="B145" s="63" t="str">
        <f>Main!$D$12</f>
        <v>NAMBA Yurika</v>
      </c>
      <c r="C145" s="60">
        <f>IFERROR(E145/D145,0)</f>
        <v>0</v>
      </c>
      <c r="D145" s="61">
        <f>D148+D151</f>
        <v>0</v>
      </c>
      <c r="E145" s="96">
        <f>E148+E151</f>
        <v>0</v>
      </c>
      <c r="F145" s="96">
        <f>E145-D145</f>
        <v>0</v>
      </c>
      <c r="G145" s="62"/>
      <c r="H145" s="167"/>
      <c r="I145" s="63" t="str">
        <f>Main!$D$8</f>
        <v>HIRANO Miu</v>
      </c>
      <c r="J145" s="60">
        <f>IFERROR(L145/K145,0)</f>
        <v>0</v>
      </c>
      <c r="K145" s="61">
        <f>K148+K151</f>
        <v>0</v>
      </c>
      <c r="L145" s="96">
        <f>L148+L151</f>
        <v>0</v>
      </c>
      <c r="M145" s="96">
        <f>L145-K145</f>
        <v>0</v>
      </c>
    </row>
    <row r="146" spans="1:13" x14ac:dyDescent="0.45">
      <c r="A146" s="167"/>
      <c r="B146" s="63" t="str">
        <f>Main!$D$14</f>
        <v/>
      </c>
      <c r="C146" s="60">
        <f t="shared" ref="C146:C152" si="40">IFERROR(E146/D146,0)</f>
        <v>0</v>
      </c>
      <c r="D146" s="61">
        <f>D149+D152</f>
        <v>0</v>
      </c>
      <c r="E146" s="96">
        <f>E149+E152</f>
        <v>0</v>
      </c>
      <c r="F146" s="96">
        <f t="shared" ref="F146:F152" si="41">E146-D146</f>
        <v>0</v>
      </c>
      <c r="G146" s="62"/>
      <c r="H146" s="167"/>
      <c r="I146" s="63" t="str">
        <f>Main!$D$10</f>
        <v/>
      </c>
      <c r="J146" s="60">
        <f t="shared" ref="J146:J152" si="42">IFERROR(L146/K146,0)</f>
        <v>0</v>
      </c>
      <c r="K146" s="61">
        <f>K149+K152</f>
        <v>0</v>
      </c>
      <c r="L146" s="96">
        <f>L149+L152</f>
        <v>0</v>
      </c>
      <c r="M146" s="96">
        <f t="shared" ref="M146:M152" si="43">L146-K146</f>
        <v>0</v>
      </c>
    </row>
    <row r="147" spans="1:13" x14ac:dyDescent="0.45">
      <c r="A147" s="168" t="str">
        <f>Main!$D$8</f>
        <v>HIRANO Miu</v>
      </c>
      <c r="B147" s="59" t="s">
        <v>88</v>
      </c>
      <c r="C147" s="60">
        <f t="shared" si="40"/>
        <v>0</v>
      </c>
      <c r="D147" s="61">
        <f>D148+D149</f>
        <v>0</v>
      </c>
      <c r="E147" s="95">
        <f>E148+E149</f>
        <v>0</v>
      </c>
      <c r="F147" s="96">
        <f t="shared" si="41"/>
        <v>0</v>
      </c>
      <c r="G147" s="62"/>
      <c r="H147" s="168" t="str">
        <f>Main!$D$12</f>
        <v>NAMBA Yurika</v>
      </c>
      <c r="I147" s="59" t="s">
        <v>88</v>
      </c>
      <c r="J147" s="60">
        <f t="shared" si="42"/>
        <v>0</v>
      </c>
      <c r="K147" s="61">
        <f>K148+K149</f>
        <v>0</v>
      </c>
      <c r="L147" s="95">
        <f>L148+L149</f>
        <v>0</v>
      </c>
      <c r="M147" s="96">
        <f t="shared" si="43"/>
        <v>0</v>
      </c>
    </row>
    <row r="148" spans="1:13" x14ac:dyDescent="0.45">
      <c r="A148" s="167"/>
      <c r="B148" s="63" t="str">
        <f>Main!$D$12</f>
        <v>NAMBA Yurika</v>
      </c>
      <c r="C148" s="60">
        <f t="shared" si="40"/>
        <v>0</v>
      </c>
      <c r="D148" s="61">
        <f>COUNTIFS(Calc!$P:$P,5,Calc!$H:$H,A147,Calc!$L:$L,B148)</f>
        <v>0</v>
      </c>
      <c r="E148" s="96">
        <f>COUNTIFS(Calc!$P:$P,5,Calc!$H:$H,A147,Calc!$L:$L,B148,Calc!$F:$F,A$2)</f>
        <v>0</v>
      </c>
      <c r="F148" s="96">
        <f t="shared" si="41"/>
        <v>0</v>
      </c>
      <c r="G148" s="62"/>
      <c r="H148" s="167"/>
      <c r="I148" s="63" t="str">
        <f>Main!$D$8</f>
        <v>HIRANO Miu</v>
      </c>
      <c r="J148" s="60">
        <f t="shared" si="42"/>
        <v>0</v>
      </c>
      <c r="K148" s="61">
        <f>COUNTIFS(Calc!$P:$P,5,Calc!$H:$H,H147,Calc!$L:$L,I148)</f>
        <v>0</v>
      </c>
      <c r="L148" s="96">
        <f>COUNTIFS(Calc!$P:$P,5,Calc!$H:$H,H147,Calc!$L:$L,I148,Calc!$F:$F,H$2)</f>
        <v>0</v>
      </c>
      <c r="M148" s="96">
        <f t="shared" si="43"/>
        <v>0</v>
      </c>
    </row>
    <row r="149" spans="1:13" x14ac:dyDescent="0.45">
      <c r="A149" s="167"/>
      <c r="B149" s="63" t="str">
        <f>Main!$D$14</f>
        <v/>
      </c>
      <c r="C149" s="60">
        <f t="shared" si="40"/>
        <v>0</v>
      </c>
      <c r="D149" s="61">
        <f>COUNTIFS(Calc!$P:$P,5,Calc!$H:$H,A147,Calc!$L:$L,B149)</f>
        <v>0</v>
      </c>
      <c r="E149" s="96">
        <f>COUNTIFS(Calc!$P:$P,5,Calc!$H:$H,A147,Calc!$L:$L,B149,Calc!$F:$F,A$2)</f>
        <v>0</v>
      </c>
      <c r="F149" s="96">
        <f t="shared" si="41"/>
        <v>0</v>
      </c>
      <c r="G149" s="62"/>
      <c r="H149" s="167"/>
      <c r="I149" s="63" t="str">
        <f>Main!$D$10</f>
        <v/>
      </c>
      <c r="J149" s="60">
        <f t="shared" si="42"/>
        <v>0</v>
      </c>
      <c r="K149" s="61">
        <f>COUNTIFS(Calc!$P:$P,5,Calc!$H:$H,H147,Calc!$L:$L,I149)</f>
        <v>0</v>
      </c>
      <c r="L149" s="96">
        <f>COUNTIFS(Calc!$P:$P,5,Calc!$H:$H,H147,Calc!$L:$L,I149,Calc!$F:$F,H$2)</f>
        <v>0</v>
      </c>
      <c r="M149" s="96">
        <f t="shared" si="43"/>
        <v>0</v>
      </c>
    </row>
    <row r="150" spans="1:13" x14ac:dyDescent="0.45">
      <c r="A150" s="168" t="str">
        <f>Main!$D$10</f>
        <v/>
      </c>
      <c r="B150" s="59" t="s">
        <v>88</v>
      </c>
      <c r="C150" s="60">
        <f t="shared" si="40"/>
        <v>0</v>
      </c>
      <c r="D150" s="61">
        <f>D151+D152</f>
        <v>0</v>
      </c>
      <c r="E150" s="95">
        <f>E151+E152</f>
        <v>0</v>
      </c>
      <c r="F150" s="96">
        <f t="shared" si="41"/>
        <v>0</v>
      </c>
      <c r="G150" s="62"/>
      <c r="H150" s="168" t="str">
        <f>Main!$D$14</f>
        <v/>
      </c>
      <c r="I150" s="59" t="s">
        <v>88</v>
      </c>
      <c r="J150" s="60">
        <f t="shared" si="42"/>
        <v>0</v>
      </c>
      <c r="K150" s="61">
        <f>K151+K152</f>
        <v>0</v>
      </c>
      <c r="L150" s="95">
        <f>L151+L152</f>
        <v>0</v>
      </c>
      <c r="M150" s="96">
        <f t="shared" si="43"/>
        <v>0</v>
      </c>
    </row>
    <row r="151" spans="1:13" x14ac:dyDescent="0.45">
      <c r="A151" s="167"/>
      <c r="B151" s="63" t="str">
        <f>Main!$D$12</f>
        <v>NAMBA Yurika</v>
      </c>
      <c r="C151" s="60">
        <f t="shared" si="40"/>
        <v>0</v>
      </c>
      <c r="D151" s="61">
        <f>COUNTIFS(Calc!$P:$P,5,Calc!$H:$H,A150,Calc!$L:$L,B151)</f>
        <v>0</v>
      </c>
      <c r="E151" s="96">
        <f>COUNTIFS(Calc!$P:$P,5,Calc!$H:$H,A150,Calc!$L:$L,B151,Calc!$F:$F,A$2)</f>
        <v>0</v>
      </c>
      <c r="F151" s="96">
        <f t="shared" si="41"/>
        <v>0</v>
      </c>
      <c r="G151" s="62"/>
      <c r="H151" s="167"/>
      <c r="I151" s="63" t="str">
        <f>Main!$D$8</f>
        <v>HIRANO Miu</v>
      </c>
      <c r="J151" s="60">
        <f t="shared" si="42"/>
        <v>0</v>
      </c>
      <c r="K151" s="61">
        <f>COUNTIFS(Calc!$P:$P,5,Calc!$H:$H,H150,Calc!$L:$L,I151)</f>
        <v>0</v>
      </c>
      <c r="L151" s="96">
        <f>COUNTIFS(Calc!$P:$P,5,Calc!$H:$H,H150,Calc!$L:$L,I151,Calc!$F:$F,H$2)</f>
        <v>0</v>
      </c>
      <c r="M151" s="96">
        <f t="shared" si="43"/>
        <v>0</v>
      </c>
    </row>
    <row r="152" spans="1:13" x14ac:dyDescent="0.45">
      <c r="A152" s="167"/>
      <c r="B152" s="63" t="str">
        <f>Main!$D$14</f>
        <v/>
      </c>
      <c r="C152" s="60">
        <f t="shared" si="40"/>
        <v>0</v>
      </c>
      <c r="D152" s="61">
        <f>COUNTIFS(Calc!$P:$P,5,Calc!$H:$H,A150,Calc!$L:$L,B152)</f>
        <v>0</v>
      </c>
      <c r="E152" s="96">
        <f>COUNTIFS(Calc!$P:$P,5,Calc!$H:$H,A150,Calc!$L:$L,B152,Calc!$F:$F,A$2)</f>
        <v>0</v>
      </c>
      <c r="F152" s="96">
        <f t="shared" si="41"/>
        <v>0</v>
      </c>
      <c r="G152" s="62"/>
      <c r="H152" s="167"/>
      <c r="I152" s="63" t="str">
        <f>Main!$D$10</f>
        <v/>
      </c>
      <c r="J152" s="60">
        <f t="shared" si="42"/>
        <v>0</v>
      </c>
      <c r="K152" s="61">
        <f>COUNTIFS(Calc!$P:$P,5,Calc!$H:$H,H150,Calc!$L:$L,I152)</f>
        <v>0</v>
      </c>
      <c r="L152" s="96">
        <f>COUNTIFS(Calc!$P:$P,5,Calc!$H:$H,H150,Calc!$L:$L,I152,Calc!$F:$F,H$2)</f>
        <v>0</v>
      </c>
      <c r="M152" s="96">
        <f t="shared" si="43"/>
        <v>0</v>
      </c>
    </row>
    <row r="153" spans="1:13" x14ac:dyDescent="0.45">
      <c r="A153" s="62"/>
      <c r="B153" s="62"/>
      <c r="C153" s="64"/>
      <c r="D153" s="65"/>
      <c r="E153" s="97"/>
      <c r="F153" s="97"/>
      <c r="G153" s="62"/>
      <c r="H153" s="62"/>
      <c r="I153" s="62"/>
      <c r="J153" s="64"/>
      <c r="K153" s="65"/>
      <c r="L153" s="97"/>
      <c r="M153" s="97"/>
    </row>
    <row r="154" spans="1:13" x14ac:dyDescent="0.45">
      <c r="A154" s="54" t="s">
        <v>173</v>
      </c>
      <c r="B154" s="62"/>
      <c r="C154" s="64"/>
      <c r="D154" s="65"/>
      <c r="E154" s="97"/>
      <c r="F154" s="97"/>
      <c r="G154" s="62"/>
      <c r="H154" s="62"/>
      <c r="I154" s="62"/>
      <c r="J154" s="64"/>
      <c r="K154" s="65"/>
      <c r="L154" s="97"/>
      <c r="M154" s="97"/>
    </row>
    <row r="155" spans="1:13" x14ac:dyDescent="0.45">
      <c r="A155" s="169" t="str">
        <f>Main!$B$8</f>
        <v>RedELF</v>
      </c>
      <c r="B155" s="170"/>
      <c r="C155" s="170"/>
      <c r="D155" s="170"/>
      <c r="E155" s="170"/>
      <c r="F155" s="101"/>
      <c r="G155" s="62"/>
      <c r="H155" s="165" t="str">
        <f>Main!$B$12</f>
        <v>Mallets</v>
      </c>
      <c r="I155" s="166"/>
      <c r="J155" s="166"/>
      <c r="K155" s="166"/>
      <c r="L155" s="166"/>
      <c r="M155" s="99"/>
    </row>
    <row r="156" spans="1:13" x14ac:dyDescent="0.45">
      <c r="A156" s="56" t="s">
        <v>142</v>
      </c>
      <c r="B156" s="56" t="s">
        <v>141</v>
      </c>
      <c r="C156" s="57" t="s">
        <v>85</v>
      </c>
      <c r="D156" s="58" t="s">
        <v>86</v>
      </c>
      <c r="E156" s="94" t="s">
        <v>87</v>
      </c>
      <c r="F156" s="100" t="s">
        <v>133</v>
      </c>
      <c r="G156" s="62"/>
      <c r="H156" s="56" t="s">
        <v>142</v>
      </c>
      <c r="I156" s="56" t="s">
        <v>141</v>
      </c>
      <c r="J156" s="57" t="s">
        <v>85</v>
      </c>
      <c r="K156" s="58" t="s">
        <v>86</v>
      </c>
      <c r="L156" s="94" t="s">
        <v>87</v>
      </c>
      <c r="M156" s="100" t="s">
        <v>133</v>
      </c>
    </row>
    <row r="157" spans="1:13" x14ac:dyDescent="0.45">
      <c r="A157" s="167" t="s">
        <v>88</v>
      </c>
      <c r="B157" s="59" t="s">
        <v>88</v>
      </c>
      <c r="C157" s="60">
        <f>IFERROR(E157/D157,0)</f>
        <v>0</v>
      </c>
      <c r="D157" s="61">
        <f>D158+D159</f>
        <v>0</v>
      </c>
      <c r="E157" s="95">
        <f>E158+E159</f>
        <v>0</v>
      </c>
      <c r="F157" s="96">
        <f>E157-D157</f>
        <v>0</v>
      </c>
      <c r="G157" s="62"/>
      <c r="H157" s="167" t="s">
        <v>88</v>
      </c>
      <c r="I157" s="59" t="s">
        <v>88</v>
      </c>
      <c r="J157" s="60">
        <f>IFERROR(L157/K157,0)</f>
        <v>0</v>
      </c>
      <c r="K157" s="61">
        <f>K158+K159</f>
        <v>0</v>
      </c>
      <c r="L157" s="95">
        <f>L158+L159</f>
        <v>0</v>
      </c>
      <c r="M157" s="96">
        <f>L157-K157</f>
        <v>0</v>
      </c>
    </row>
    <row r="158" spans="1:13" x14ac:dyDescent="0.45">
      <c r="A158" s="167"/>
      <c r="B158" s="63" t="str">
        <f>Main!$D$12</f>
        <v>NAMBA Yurika</v>
      </c>
      <c r="C158" s="60">
        <f>IFERROR(E158/D158,0)</f>
        <v>0</v>
      </c>
      <c r="D158" s="61">
        <f>D161+D164</f>
        <v>0</v>
      </c>
      <c r="E158" s="95">
        <f>E161+E164</f>
        <v>0</v>
      </c>
      <c r="F158" s="96">
        <f>E158-D158</f>
        <v>0</v>
      </c>
      <c r="G158" s="62"/>
      <c r="H158" s="167"/>
      <c r="I158" s="63" t="str">
        <f>Main!$D$8</f>
        <v>HIRANO Miu</v>
      </c>
      <c r="J158" s="60">
        <f>IFERROR(L158/K158,0)</f>
        <v>0</v>
      </c>
      <c r="K158" s="61">
        <f>K161+K164</f>
        <v>0</v>
      </c>
      <c r="L158" s="95">
        <f>L161+L164</f>
        <v>0</v>
      </c>
      <c r="M158" s="96">
        <f>L158-K158</f>
        <v>0</v>
      </c>
    </row>
    <row r="159" spans="1:13" x14ac:dyDescent="0.45">
      <c r="A159" s="167"/>
      <c r="B159" s="63" t="str">
        <f>Main!$D$14</f>
        <v/>
      </c>
      <c r="C159" s="60">
        <f t="shared" ref="C159:C165" si="44">IFERROR(E159/D159,0)</f>
        <v>0</v>
      </c>
      <c r="D159" s="61">
        <f>D162+D165</f>
        <v>0</v>
      </c>
      <c r="E159" s="95">
        <f>E162+E165</f>
        <v>0</v>
      </c>
      <c r="F159" s="96">
        <f t="shared" ref="F159:F165" si="45">E159-D159</f>
        <v>0</v>
      </c>
      <c r="G159" s="62"/>
      <c r="H159" s="167"/>
      <c r="I159" s="63" t="str">
        <f>Main!$D$10</f>
        <v/>
      </c>
      <c r="J159" s="60">
        <f t="shared" ref="J159:J165" si="46">IFERROR(L159/K159,0)</f>
        <v>0</v>
      </c>
      <c r="K159" s="61">
        <f>K162+K165</f>
        <v>0</v>
      </c>
      <c r="L159" s="95">
        <f>L162+L165</f>
        <v>0</v>
      </c>
      <c r="M159" s="96">
        <f t="shared" ref="M159:M165" si="47">L159-K159</f>
        <v>0</v>
      </c>
    </row>
    <row r="160" spans="1:13" x14ac:dyDescent="0.45">
      <c r="A160" s="168" t="str">
        <f>Main!$D$8</f>
        <v>HIRANO Miu</v>
      </c>
      <c r="B160" s="59" t="s">
        <v>88</v>
      </c>
      <c r="C160" s="60">
        <f t="shared" si="44"/>
        <v>0</v>
      </c>
      <c r="D160" s="61">
        <f>D161+D162</f>
        <v>0</v>
      </c>
      <c r="E160" s="95">
        <f>E161+E162</f>
        <v>0</v>
      </c>
      <c r="F160" s="96">
        <f t="shared" si="45"/>
        <v>0</v>
      </c>
      <c r="G160" s="62"/>
      <c r="H160" s="168" t="str">
        <f>Main!$D$12</f>
        <v>NAMBA Yurika</v>
      </c>
      <c r="I160" s="59" t="s">
        <v>88</v>
      </c>
      <c r="J160" s="60">
        <f t="shared" si="46"/>
        <v>0</v>
      </c>
      <c r="K160" s="61">
        <f>K161+K162</f>
        <v>0</v>
      </c>
      <c r="L160" s="95">
        <f>L161+L162</f>
        <v>0</v>
      </c>
      <c r="M160" s="96">
        <f t="shared" si="47"/>
        <v>0</v>
      </c>
    </row>
    <row r="161" spans="1:13" x14ac:dyDescent="0.45">
      <c r="A161" s="167"/>
      <c r="B161" s="63" t="str">
        <f>Main!$D$12</f>
        <v>NAMBA Yurika</v>
      </c>
      <c r="C161" s="60">
        <f t="shared" si="44"/>
        <v>0</v>
      </c>
      <c r="D161" s="61">
        <f>COUNTIFS(Calc!$P:$P,5,Calc!$L:$L,A160,Calc!$H:$H,B161)</f>
        <v>0</v>
      </c>
      <c r="E161" s="96">
        <f>COUNTIFS(Calc!$P:$P,5,Calc!$L:$L,A160,Calc!$H:$H,B161,Calc!$F:$F,A$15)</f>
        <v>0</v>
      </c>
      <c r="F161" s="96">
        <f t="shared" si="45"/>
        <v>0</v>
      </c>
      <c r="G161" s="62"/>
      <c r="H161" s="167"/>
      <c r="I161" s="63" t="str">
        <f>Main!$D$8</f>
        <v>HIRANO Miu</v>
      </c>
      <c r="J161" s="60">
        <f t="shared" si="46"/>
        <v>0</v>
      </c>
      <c r="K161" s="61">
        <f>COUNTIFS(Calc!$P:$P,5,Calc!$L:$L,H160,Calc!$H:$H,I161)</f>
        <v>0</v>
      </c>
      <c r="L161" s="96">
        <f>COUNTIFS(Calc!$P:$P,5,Calc!$L:$L,H160,Calc!$H:$H,I161,Calc!$F:$F,H$15)</f>
        <v>0</v>
      </c>
      <c r="M161" s="96">
        <f t="shared" si="47"/>
        <v>0</v>
      </c>
    </row>
    <row r="162" spans="1:13" x14ac:dyDescent="0.45">
      <c r="A162" s="167"/>
      <c r="B162" s="63" t="str">
        <f>Main!$D$14</f>
        <v/>
      </c>
      <c r="C162" s="60">
        <f t="shared" si="44"/>
        <v>0</v>
      </c>
      <c r="D162" s="61">
        <f>COUNTIFS(Calc!$P:$P,5,Calc!$L:$L,A160,Calc!$H:$H,B162)</f>
        <v>0</v>
      </c>
      <c r="E162" s="96">
        <f>COUNTIFS(Calc!$P:$P,5,Calc!$L:$L,A160,Calc!$H:$H,B162,Calc!$F:$F,A$15)</f>
        <v>0</v>
      </c>
      <c r="F162" s="96">
        <f t="shared" si="45"/>
        <v>0</v>
      </c>
      <c r="G162" s="62"/>
      <c r="H162" s="167"/>
      <c r="I162" s="63" t="str">
        <f>Main!$D$10</f>
        <v/>
      </c>
      <c r="J162" s="60">
        <f t="shared" si="46"/>
        <v>0</v>
      </c>
      <c r="K162" s="61">
        <f>COUNTIFS(Calc!$P:$P,5,Calc!$L:$L,H160,Calc!$H:$H,I162)</f>
        <v>0</v>
      </c>
      <c r="L162" s="96">
        <f>COUNTIFS(Calc!$P:$P,5,Calc!$L:$L,H160,Calc!$H:$H,I162,Calc!$F:$F,H$15)</f>
        <v>0</v>
      </c>
      <c r="M162" s="96">
        <f t="shared" si="47"/>
        <v>0</v>
      </c>
    </row>
    <row r="163" spans="1:13" x14ac:dyDescent="0.45">
      <c r="A163" s="168" t="str">
        <f>Main!$D$10</f>
        <v/>
      </c>
      <c r="B163" s="59" t="s">
        <v>88</v>
      </c>
      <c r="C163" s="60">
        <f t="shared" si="44"/>
        <v>0</v>
      </c>
      <c r="D163" s="61">
        <f>D164+D165</f>
        <v>0</v>
      </c>
      <c r="E163" s="95">
        <f>E164+E165</f>
        <v>0</v>
      </c>
      <c r="F163" s="96">
        <f t="shared" si="45"/>
        <v>0</v>
      </c>
      <c r="G163" s="62"/>
      <c r="H163" s="168" t="str">
        <f>Main!$D$14</f>
        <v/>
      </c>
      <c r="I163" s="59" t="s">
        <v>88</v>
      </c>
      <c r="J163" s="60">
        <f t="shared" si="46"/>
        <v>0</v>
      </c>
      <c r="K163" s="61">
        <f>K164+K165</f>
        <v>0</v>
      </c>
      <c r="L163" s="95">
        <f>L164+L165</f>
        <v>0</v>
      </c>
      <c r="M163" s="96">
        <f t="shared" si="47"/>
        <v>0</v>
      </c>
    </row>
    <row r="164" spans="1:13" x14ac:dyDescent="0.45">
      <c r="A164" s="167"/>
      <c r="B164" s="63" t="str">
        <f>Main!$D$12</f>
        <v>NAMBA Yurika</v>
      </c>
      <c r="C164" s="60">
        <f t="shared" si="44"/>
        <v>0</v>
      </c>
      <c r="D164" s="61">
        <f>COUNTIFS(Calc!$P:$P,5,Calc!$L:$L,A163,Calc!$H:$H,B164)</f>
        <v>0</v>
      </c>
      <c r="E164" s="96">
        <f>COUNTIFS(Calc!$P:$P,5,Calc!$L:$L,A163,Calc!$H:$H,B164,Calc!$F:$F,A$15)</f>
        <v>0</v>
      </c>
      <c r="F164" s="96">
        <f t="shared" si="45"/>
        <v>0</v>
      </c>
      <c r="G164" s="62"/>
      <c r="H164" s="167"/>
      <c r="I164" s="63" t="str">
        <f>Main!$D$8</f>
        <v>HIRANO Miu</v>
      </c>
      <c r="J164" s="60">
        <f t="shared" si="46"/>
        <v>0</v>
      </c>
      <c r="K164" s="61">
        <f>COUNTIFS(Calc!$P:$P,5,Calc!$L:$L,H163,Calc!$H:$H,I164)</f>
        <v>0</v>
      </c>
      <c r="L164" s="96">
        <f>COUNTIFS(Calc!$P:$P,5,Calc!$L:$L,H163,Calc!$H:$H,I164,Calc!$F:$F,H$15)</f>
        <v>0</v>
      </c>
      <c r="M164" s="96">
        <f t="shared" si="47"/>
        <v>0</v>
      </c>
    </row>
    <row r="165" spans="1:13" x14ac:dyDescent="0.45">
      <c r="A165" s="167"/>
      <c r="B165" s="63" t="str">
        <f>Main!$D$14</f>
        <v/>
      </c>
      <c r="C165" s="60">
        <f t="shared" si="44"/>
        <v>0</v>
      </c>
      <c r="D165" s="61">
        <f>COUNTIFS(Calc!$P:$P,5,Calc!$L:$L,A163,Calc!$H:$H,B165)</f>
        <v>0</v>
      </c>
      <c r="E165" s="96">
        <f>COUNTIFS(Calc!$P:$P,5,Calc!$L:$L,A163,Calc!$H:$H,B165,Calc!$F:$F,A$15)</f>
        <v>0</v>
      </c>
      <c r="F165" s="96">
        <f t="shared" si="45"/>
        <v>0</v>
      </c>
      <c r="G165" s="62"/>
      <c r="H165" s="167"/>
      <c r="I165" s="63" t="str">
        <f>Main!$D$10</f>
        <v/>
      </c>
      <c r="J165" s="60">
        <f t="shared" si="46"/>
        <v>0</v>
      </c>
      <c r="K165" s="61">
        <f>COUNTIFS(Calc!$P:$P,5,Calc!$L:$L,H163,Calc!$H:$H,I165)</f>
        <v>0</v>
      </c>
      <c r="L165" s="96">
        <f>COUNTIFS(Calc!$P:$P,5,Calc!$L:$L,H163,Calc!$H:$H,I165,Calc!$F:$F,H$15)</f>
        <v>0</v>
      </c>
      <c r="M165" s="96">
        <f t="shared" si="47"/>
        <v>0</v>
      </c>
    </row>
  </sheetData>
  <mergeCells count="96">
    <mergeCell ref="A160:A162"/>
    <mergeCell ref="H160:H162"/>
    <mergeCell ref="A163:A165"/>
    <mergeCell ref="H163:H165"/>
    <mergeCell ref="A150:A152"/>
    <mergeCell ref="H150:H152"/>
    <mergeCell ref="A155:E155"/>
    <mergeCell ref="H155:L155"/>
    <mergeCell ref="A157:A159"/>
    <mergeCell ref="H157:H159"/>
    <mergeCell ref="A142:E142"/>
    <mergeCell ref="H142:L142"/>
    <mergeCell ref="A144:A146"/>
    <mergeCell ref="H144:H146"/>
    <mergeCell ref="A147:A149"/>
    <mergeCell ref="H147:H149"/>
    <mergeCell ref="A129:A131"/>
    <mergeCell ref="H129:H131"/>
    <mergeCell ref="A132:A134"/>
    <mergeCell ref="H132:H134"/>
    <mergeCell ref="A135:A137"/>
    <mergeCell ref="H135:H137"/>
    <mergeCell ref="A119:A121"/>
    <mergeCell ref="H119:H121"/>
    <mergeCell ref="A122:A124"/>
    <mergeCell ref="H122:H124"/>
    <mergeCell ref="A127:E127"/>
    <mergeCell ref="H127:L127"/>
    <mergeCell ref="A107:A109"/>
    <mergeCell ref="H107:H109"/>
    <mergeCell ref="A114:E114"/>
    <mergeCell ref="H114:L114"/>
    <mergeCell ref="A116:A118"/>
    <mergeCell ref="H116:H118"/>
    <mergeCell ref="A99:E99"/>
    <mergeCell ref="H99:L99"/>
    <mergeCell ref="A101:A103"/>
    <mergeCell ref="H101:H103"/>
    <mergeCell ref="A104:A106"/>
    <mergeCell ref="H104:H106"/>
    <mergeCell ref="A88:A90"/>
    <mergeCell ref="H88:H90"/>
    <mergeCell ref="A91:A93"/>
    <mergeCell ref="H91:H93"/>
    <mergeCell ref="A94:A96"/>
    <mergeCell ref="H94:H96"/>
    <mergeCell ref="A76:A78"/>
    <mergeCell ref="H76:H78"/>
    <mergeCell ref="A79:A81"/>
    <mergeCell ref="H79:H81"/>
    <mergeCell ref="A86:E86"/>
    <mergeCell ref="H86:L86"/>
    <mergeCell ref="A66:A68"/>
    <mergeCell ref="H66:H68"/>
    <mergeCell ref="A71:E71"/>
    <mergeCell ref="H71:L71"/>
    <mergeCell ref="A73:A75"/>
    <mergeCell ref="H73:H75"/>
    <mergeCell ref="A58:E58"/>
    <mergeCell ref="H58:L58"/>
    <mergeCell ref="A60:A62"/>
    <mergeCell ref="H60:H62"/>
    <mergeCell ref="A63:A65"/>
    <mergeCell ref="H63:H65"/>
    <mergeCell ref="A48:A50"/>
    <mergeCell ref="H48:H50"/>
    <mergeCell ref="A51:A53"/>
    <mergeCell ref="H51:H53"/>
    <mergeCell ref="A38:A40"/>
    <mergeCell ref="H38:H40"/>
    <mergeCell ref="A43:E43"/>
    <mergeCell ref="H43:L43"/>
    <mergeCell ref="A45:A47"/>
    <mergeCell ref="H45:H47"/>
    <mergeCell ref="A30:E30"/>
    <mergeCell ref="H30:L30"/>
    <mergeCell ref="A32:A34"/>
    <mergeCell ref="H32:H34"/>
    <mergeCell ref="A35:A37"/>
    <mergeCell ref="H35:H37"/>
    <mergeCell ref="A20:A22"/>
    <mergeCell ref="A17:A19"/>
    <mergeCell ref="H20:H22"/>
    <mergeCell ref="A23:A25"/>
    <mergeCell ref="H23:H25"/>
    <mergeCell ref="A10:A12"/>
    <mergeCell ref="H10:H12"/>
    <mergeCell ref="A15:E15"/>
    <mergeCell ref="H15:L15"/>
    <mergeCell ref="H17:H19"/>
    <mergeCell ref="A2:E2"/>
    <mergeCell ref="H2:L2"/>
    <mergeCell ref="H4:H6"/>
    <mergeCell ref="A7:A9"/>
    <mergeCell ref="A4:A6"/>
    <mergeCell ref="H7:H9"/>
  </mergeCells>
  <phoneticPr fontId="5"/>
  <conditionalFormatting sqref="A1:M1048576">
    <cfRule type="expression" dxfId="0" priority="1">
      <formula>A1=0</formula>
    </cfRule>
  </conditionalFormatting>
  <pageMargins left="0.59055118110236227" right="0.59055118110236227" top="0.39370078740157483" bottom="0.19685039370078741" header="0" footer="0"/>
  <pageSetup paperSize="9" scale="71" fitToHeight="0" orientation="portrait" horizontalDpi="0" verticalDpi="0" r:id="rId1"/>
  <rowBreaks count="2" manualBreakCount="2">
    <brk id="56" max="16383" man="1"/>
    <brk id="112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A447D-B0D0-42DE-B208-C23CBBEA28EA}">
  <sheetPr codeName="wsTpAnalysis2">
    <pageSetUpPr fitToPage="1"/>
  </sheetPr>
  <dimension ref="A1:S273"/>
  <sheetViews>
    <sheetView showGridLines="0" workbookViewId="0">
      <selection sqref="A1:S1"/>
    </sheetView>
  </sheetViews>
  <sheetFormatPr defaultColWidth="6.09765625" defaultRowHeight="18" x14ac:dyDescent="0.45"/>
  <cols>
    <col min="5" max="5" width="9" bestFit="1" customWidth="1"/>
    <col min="7" max="7" width="7.09765625" style="35" customWidth="1"/>
    <col min="15" max="15" width="9" bestFit="1" customWidth="1"/>
    <col min="17" max="17" width="7.09765625" style="35" customWidth="1"/>
  </cols>
  <sheetData>
    <row r="1" spans="1:19" x14ac:dyDescent="0.45">
      <c r="A1" s="139" t="s">
        <v>180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</row>
    <row r="2" spans="1:19" x14ac:dyDescent="0.45">
      <c r="A2" s="116"/>
      <c r="B2" s="114"/>
      <c r="C2" s="114"/>
      <c r="D2" s="114"/>
      <c r="E2" s="114"/>
      <c r="F2" s="114"/>
      <c r="G2" s="114"/>
      <c r="H2" s="114"/>
      <c r="I2" s="114"/>
      <c r="J2" s="114"/>
      <c r="K2" s="116"/>
      <c r="L2" s="114"/>
      <c r="M2" s="114"/>
      <c r="N2" s="114"/>
      <c r="O2" s="114"/>
      <c r="P2" s="114"/>
      <c r="Q2" s="114"/>
      <c r="R2" s="114"/>
      <c r="S2" s="114"/>
    </row>
    <row r="3" spans="1:19" x14ac:dyDescent="0.45">
      <c r="A3" t="s">
        <v>139</v>
      </c>
      <c r="K3" t="s">
        <v>139</v>
      </c>
    </row>
    <row r="4" spans="1:19" x14ac:dyDescent="0.45">
      <c r="A4" s="140" t="str">
        <f>Main!$D$8</f>
        <v>HIRANO Miu</v>
      </c>
      <c r="B4" s="141"/>
      <c r="C4" s="141"/>
      <c r="D4" s="141"/>
      <c r="E4" s="36" t="str">
        <f>Main!$F$8</f>
        <v>R</v>
      </c>
      <c r="F4" s="36" t="str">
        <f>Main!$B$8</f>
        <v>RedELF</v>
      </c>
      <c r="G4" s="44" t="str">
        <f>Main!$F$10</f>
        <v/>
      </c>
      <c r="H4" s="37" t="s">
        <v>109</v>
      </c>
      <c r="I4" s="37" t="s">
        <v>110</v>
      </c>
      <c r="K4" s="140" t="str">
        <f>Main!$D$10</f>
        <v/>
      </c>
      <c r="L4" s="141"/>
      <c r="M4" s="141"/>
      <c r="N4" s="141"/>
      <c r="O4" s="36" t="str">
        <f>Main!$F$10</f>
        <v/>
      </c>
      <c r="P4" s="36" t="str">
        <f>Main!$B$8</f>
        <v>RedELF</v>
      </c>
      <c r="Q4" s="36" t="str">
        <f>Main!$F$8</f>
        <v>R</v>
      </c>
      <c r="R4" s="37" t="s">
        <v>109</v>
      </c>
      <c r="S4" s="37" t="s">
        <v>110</v>
      </c>
    </row>
    <row r="5" spans="1:19" ht="18.600000000000001" thickBot="1" x14ac:dyDescent="0.5">
      <c r="A5" s="142" t="s">
        <v>97</v>
      </c>
      <c r="B5" s="143"/>
      <c r="C5" s="143"/>
      <c r="D5" s="82">
        <f>COUNTIFS(Calc!$L:$L,A4,Calc!$O:$O,"ネット")</f>
        <v>1</v>
      </c>
      <c r="E5" s="37" t="s">
        <v>99</v>
      </c>
      <c r="F5" s="37">
        <f>COUNTIFS(Calc!$L:$L,A4,Calc!$N:$N,E5)</f>
        <v>0</v>
      </c>
      <c r="G5" s="38">
        <f>F5/SUM(F5:F12)</f>
        <v>0</v>
      </c>
      <c r="H5" s="37">
        <f>COUNTIFS(Calc!$L:$L,A4,Calc!$N:$N,E5,Calc!$F:$F,F4)</f>
        <v>0</v>
      </c>
      <c r="I5" s="37">
        <f>COUNTIFS(Calc!$L:$L,A4,Calc!$N:$N,E5,Calc!$F:$F,"&lt;&gt;"&amp;F4)</f>
        <v>0</v>
      </c>
      <c r="K5" s="142" t="s">
        <v>81</v>
      </c>
      <c r="L5" s="143"/>
      <c r="M5" s="143"/>
      <c r="N5" s="82">
        <f>COUNTIFS(Calc!$L:$L,K4,Calc!$O:$O,"ネット")</f>
        <v>0</v>
      </c>
      <c r="O5" s="37" t="s">
        <v>14</v>
      </c>
      <c r="P5" s="37">
        <f>COUNTIFS(Calc!$L:$L,K4,Calc!$N:$N,O5)</f>
        <v>0</v>
      </c>
      <c r="Q5" s="38" t="e">
        <f>P5/SUM(P5:P12)</f>
        <v>#DIV/0!</v>
      </c>
      <c r="R5" s="37">
        <f>COUNTIFS(Calc!$L:$L,K4,Calc!$N:$N,O5,Calc!$F:$F,P4)</f>
        <v>0</v>
      </c>
      <c r="S5" s="37">
        <f>COUNTIFS(Calc!$L:$L,K4,Calc!$N:$N,O5,Calc!$F:$F,"&lt;&gt;"&amp;P4)</f>
        <v>0</v>
      </c>
    </row>
    <row r="6" spans="1:19" ht="18.600000000000001" thickTop="1" x14ac:dyDescent="0.45">
      <c r="A6" s="146" t="s">
        <v>114</v>
      </c>
      <c r="B6" s="147"/>
      <c r="C6" s="147"/>
      <c r="D6" s="109">
        <f>COUNTIFS(Calc!$L:$L,A4,Calc!$O:$O,"ネットイン")</f>
        <v>0</v>
      </c>
      <c r="E6" s="37" t="s">
        <v>100</v>
      </c>
      <c r="F6" s="37">
        <f>COUNTIFS(Calc!$L:$L,A4,Calc!$N:$N,E6)</f>
        <v>0</v>
      </c>
      <c r="G6" s="38">
        <f>F6/SUM(F5:F12)</f>
        <v>0</v>
      </c>
      <c r="H6" s="37">
        <f>COUNTIFS(Calc!$L:$L,A4,Calc!$N:$N,E6,Calc!$F:$F,F4)</f>
        <v>0</v>
      </c>
      <c r="I6" s="37">
        <f>COUNTIFS(Calc!$L:$L,A4,Calc!$N:$N,E6,Calc!$F:$F,"&lt;&gt;"&amp;F4)</f>
        <v>0</v>
      </c>
      <c r="K6" s="146" t="s">
        <v>176</v>
      </c>
      <c r="L6" s="147"/>
      <c r="M6" s="147"/>
      <c r="N6" s="109">
        <f>COUNTIFS(Calc!$L:$L,K4,Calc!$O:$O,"ネットイン")</f>
        <v>0</v>
      </c>
      <c r="O6" s="37" t="s">
        <v>15</v>
      </c>
      <c r="P6" s="37">
        <f>COUNTIFS(Calc!$L:$L,K4,Calc!$N:$N,O6)</f>
        <v>0</v>
      </c>
      <c r="Q6" s="38" t="e">
        <f>P6/SUM(P5:P12)</f>
        <v>#DIV/0!</v>
      </c>
      <c r="R6" s="37">
        <f>COUNTIFS(Calc!$L:$L,K4,Calc!$N:$N,O6,Calc!$F:$F,P4)</f>
        <v>0</v>
      </c>
      <c r="S6" s="37">
        <f>COUNTIFS(Calc!$L:$L,K4,Calc!$N:$N,O6,Calc!$F:$F,"&lt;&gt;"&amp;P4)</f>
        <v>0</v>
      </c>
    </row>
    <row r="7" spans="1:19" x14ac:dyDescent="0.45">
      <c r="A7" s="178">
        <f>SUM(A33,A83,A133,A183,A233)</f>
        <v>0</v>
      </c>
      <c r="B7" s="178">
        <f>SUM(B33,B83,B133,B183,B233)</f>
        <v>0</v>
      </c>
      <c r="C7" s="178">
        <f>SUM(C33,C83,C133,C183,C233)</f>
        <v>0</v>
      </c>
      <c r="D7" s="178">
        <f>SUM(D33,D83,D133,D183,D233)</f>
        <v>0</v>
      </c>
      <c r="E7" s="37" t="s">
        <v>101</v>
      </c>
      <c r="F7" s="37">
        <f>COUNTIFS(Calc!$L:$L,A4,Calc!$N:$N,E7)</f>
        <v>0</v>
      </c>
      <c r="G7" s="38">
        <f>F7/SUM(F5:F12)</f>
        <v>0</v>
      </c>
      <c r="H7" s="37">
        <f>COUNTIFS(Calc!$L:$L,A4,Calc!$N:$N,E7,Calc!$F:$F,F4)</f>
        <v>0</v>
      </c>
      <c r="I7" s="37">
        <f>COUNTIFS(Calc!$L:$L,A4,Calc!$N:$N,E7,Calc!$F:$F,"&lt;&gt;"&amp;F4)</f>
        <v>0</v>
      </c>
      <c r="K7" s="180">
        <f>SUM(K33,K83,K133,K183,K233)</f>
        <v>0</v>
      </c>
      <c r="L7" s="180">
        <f>SUM(L33,L83,L133,L183,L233)</f>
        <v>0</v>
      </c>
      <c r="M7" s="180">
        <f>SUM(M33,M83,M133,M183,M233)</f>
        <v>0</v>
      </c>
      <c r="N7" s="180">
        <f>SUM(N33,N83,N133,N183,N233)</f>
        <v>0</v>
      </c>
      <c r="O7" s="37" t="s">
        <v>17</v>
      </c>
      <c r="P7" s="37">
        <f>COUNTIFS(Calc!$L:$L,K4,Calc!$N:$N,O7)</f>
        <v>0</v>
      </c>
      <c r="Q7" s="38" t="e">
        <f>P7/SUM(P5:P12)</f>
        <v>#DIV/0!</v>
      </c>
      <c r="R7" s="37">
        <f>COUNTIFS(Calc!$L:$L,K4,Calc!$N:$N,O7,Calc!$F:$F,P4)</f>
        <v>0</v>
      </c>
      <c r="S7" s="37">
        <f>COUNTIFS(Calc!$L:$L,K4,Calc!$N:$N,O7,Calc!$F:$F,"&lt;&gt;"&amp;P4)</f>
        <v>0</v>
      </c>
    </row>
    <row r="8" spans="1:19" x14ac:dyDescent="0.45">
      <c r="A8" s="179"/>
      <c r="B8" s="179"/>
      <c r="C8" s="179"/>
      <c r="D8" s="179"/>
      <c r="E8" s="37" t="s">
        <v>102</v>
      </c>
      <c r="F8" s="37">
        <f>COUNTIFS(Calc!$L:$L,A4,Calc!$N:$N,E8)</f>
        <v>0</v>
      </c>
      <c r="G8" s="38">
        <f>F8/SUM(F5:F12)</f>
        <v>0</v>
      </c>
      <c r="H8" s="37">
        <f>COUNTIFS(Calc!$L:$L,A4,Calc!$N:$N,E8,Calc!$F:$F,F4)</f>
        <v>0</v>
      </c>
      <c r="I8" s="37">
        <f>COUNTIFS(Calc!$L:$L,A4,Calc!$N:$N,E8,Calc!$F:$F,"&lt;&gt;"&amp;F4)</f>
        <v>0</v>
      </c>
      <c r="K8" s="134"/>
      <c r="L8" s="134"/>
      <c r="M8" s="134"/>
      <c r="N8" s="134"/>
      <c r="O8" s="37" t="s">
        <v>16</v>
      </c>
      <c r="P8" s="37">
        <f>COUNTIFS(Calc!$L:$L,K4,Calc!$N:$N,O8)</f>
        <v>0</v>
      </c>
      <c r="Q8" s="38" t="e">
        <f>P8/SUM(P5:P12)</f>
        <v>#DIV/0!</v>
      </c>
      <c r="R8" s="37">
        <f>COUNTIFS(Calc!$L:$L,K4,Calc!$N:$N,O8,Calc!$F:$F,P4)</f>
        <v>0</v>
      </c>
      <c r="S8" s="37">
        <f>COUNTIFS(Calc!$L:$L,K4,Calc!$N:$N,O8,Calc!$F:$F,"&lt;&gt;"&amp;P4)</f>
        <v>0</v>
      </c>
    </row>
    <row r="9" spans="1:19" x14ac:dyDescent="0.45">
      <c r="A9" s="134">
        <f>SUM(A35,A85,A135,A185,A235)</f>
        <v>0</v>
      </c>
      <c r="B9" s="134">
        <f>SUM(B35,B85,B135,B185,B235)</f>
        <v>0</v>
      </c>
      <c r="C9" s="134">
        <f>SUM(C35,C85,C135,C185,C235)</f>
        <v>0</v>
      </c>
      <c r="D9" s="134">
        <f>SUM(D35,D85,D135,D185,D235)</f>
        <v>0</v>
      </c>
      <c r="E9" s="37" t="s">
        <v>104</v>
      </c>
      <c r="F9" s="37">
        <f>COUNTIFS(Calc!$L:$L,A4,Calc!$N:$N,E9)</f>
        <v>0</v>
      </c>
      <c r="G9" s="38">
        <f>F9/SUM(F5:F12)</f>
        <v>0</v>
      </c>
      <c r="H9" s="37">
        <f>COUNTIFS(Calc!$L:$L,A4,Calc!$N:$N,E9,Calc!$F:$F,F4)</f>
        <v>0</v>
      </c>
      <c r="I9" s="37">
        <f>COUNTIFS(Calc!$L:$L,A4,Calc!$N:$N,E9,Calc!$F:$F,"&lt;&gt;"&amp;F4)</f>
        <v>0</v>
      </c>
      <c r="K9" s="134">
        <f>SUM(K35,K85,K135,K185,K235)</f>
        <v>0</v>
      </c>
      <c r="L9" s="134">
        <f>SUM(L35,L85,L135,L185,L235)</f>
        <v>0</v>
      </c>
      <c r="M9" s="134">
        <f>SUM(M35,M85,M135,M185,M235)</f>
        <v>0</v>
      </c>
      <c r="N9" s="134">
        <f>SUM(N35,N85,N135,N185,N235)</f>
        <v>0</v>
      </c>
      <c r="O9" s="37" t="s">
        <v>103</v>
      </c>
      <c r="P9" s="37">
        <f>COUNTIFS(Calc!$L:$L,K4,Calc!$N:$N,O9)</f>
        <v>0</v>
      </c>
      <c r="Q9" s="38" t="e">
        <f>P9/SUM(P5:P12)</f>
        <v>#DIV/0!</v>
      </c>
      <c r="R9" s="37">
        <f>COUNTIFS(Calc!$L:$L,K4,Calc!$N:$N,O9,Calc!$F:$F,P4)</f>
        <v>0</v>
      </c>
      <c r="S9" s="37">
        <f>COUNTIFS(Calc!$L:$L,K4,Calc!$N:$N,O9,Calc!$F:$F,"&lt;&gt;"&amp;P4)</f>
        <v>0</v>
      </c>
    </row>
    <row r="10" spans="1:19" x14ac:dyDescent="0.45">
      <c r="A10" s="134"/>
      <c r="B10" s="134"/>
      <c r="C10" s="134"/>
      <c r="D10" s="134"/>
      <c r="E10" s="37" t="s">
        <v>105</v>
      </c>
      <c r="F10" s="37">
        <f>COUNTIFS(Calc!$L:$L,A4,Calc!$N:$N,E10)</f>
        <v>1</v>
      </c>
      <c r="G10" s="38">
        <f>F10/SUM(F5:F12)</f>
        <v>1</v>
      </c>
      <c r="H10" s="37">
        <f>COUNTIFS(Calc!$L:$L,A4,Calc!$N:$N,E10,Calc!$F:$F,F4)</f>
        <v>0</v>
      </c>
      <c r="I10" s="37">
        <f>COUNTIFS(Calc!$L:$L,A4,Calc!$N:$N,E10,Calc!$F:$F,"&lt;&gt;"&amp;F4)</f>
        <v>1</v>
      </c>
      <c r="K10" s="134"/>
      <c r="L10" s="134"/>
      <c r="M10" s="134"/>
      <c r="N10" s="134"/>
      <c r="O10" s="37" t="s">
        <v>82</v>
      </c>
      <c r="P10" s="37">
        <f>COUNTIFS(Calc!$L:$L,K4,Calc!$N:$N,O10)</f>
        <v>0</v>
      </c>
      <c r="Q10" s="38" t="e">
        <f>P10/SUM(P5:P12)</f>
        <v>#DIV/0!</v>
      </c>
      <c r="R10" s="37">
        <f>COUNTIFS(Calc!$L:$L,K4,Calc!$N:$N,O10,Calc!$F:$F,P4)</f>
        <v>0</v>
      </c>
      <c r="S10" s="37">
        <f>COUNTIFS(Calc!$L:$L,K4,Calc!$N:$N,O10,Calc!$F:$F,"&lt;&gt;"&amp;P4)</f>
        <v>0</v>
      </c>
    </row>
    <row r="11" spans="1:19" x14ac:dyDescent="0.45">
      <c r="A11" s="137" t="s">
        <v>98</v>
      </c>
      <c r="B11" s="137"/>
      <c r="C11" s="137"/>
      <c r="D11" s="137"/>
      <c r="E11" s="37" t="s">
        <v>106</v>
      </c>
      <c r="F11" s="37">
        <f>COUNTIFS(Calc!$L:$L,A4,Calc!$N:$N,E11)</f>
        <v>0</v>
      </c>
      <c r="G11" s="38">
        <f>F11/SUM(F5:F12)</f>
        <v>0</v>
      </c>
      <c r="H11" s="37">
        <f>COUNTIFS(Calc!$L:$L,A4,Calc!$N:$N,E11,Calc!$F:$F,F4)</f>
        <v>0</v>
      </c>
      <c r="I11" s="37">
        <f>COUNTIFS(Calc!$L:$L,A4,Calc!$N:$N,E11,Calc!$F:$F,"&lt;&gt;"&amp;F4)</f>
        <v>0</v>
      </c>
      <c r="K11" s="137" t="s">
        <v>80</v>
      </c>
      <c r="L11" s="137"/>
      <c r="M11" s="137"/>
      <c r="N11" s="137"/>
      <c r="O11" s="37" t="s">
        <v>83</v>
      </c>
      <c r="P11" s="37">
        <f>COUNTIFS(Calc!$L:$L,K4,Calc!$N:$N,O11)</f>
        <v>0</v>
      </c>
      <c r="Q11" s="38" t="e">
        <f>P11/SUM(P5:P12)</f>
        <v>#DIV/0!</v>
      </c>
      <c r="R11" s="37">
        <f>COUNTIFS(Calc!$L:$L,K4,Calc!$N:$N,O11,Calc!$F:$F,P4)</f>
        <v>0</v>
      </c>
      <c r="S11" s="37">
        <f>COUNTIFS(Calc!$L:$L,K4,Calc!$N:$N,O11,Calc!$F:$F,"&lt;&gt;"&amp;P4)</f>
        <v>0</v>
      </c>
    </row>
    <row r="12" spans="1:19" x14ac:dyDescent="0.45">
      <c r="A12" s="132">
        <f>COUNTIFS(Calc!$L:$L,A4,Calc!$O:$O,"オーバーミス")</f>
        <v>0</v>
      </c>
      <c r="B12" s="132"/>
      <c r="C12" s="132"/>
      <c r="D12" s="132"/>
      <c r="E12" s="37" t="s">
        <v>108</v>
      </c>
      <c r="F12" s="37">
        <f>COUNTIFS(Calc!$L:$L,A4,Calc!$N:$N,E12)</f>
        <v>0</v>
      </c>
      <c r="G12" s="38">
        <f>F12/SUM(F5:F12)</f>
        <v>0</v>
      </c>
      <c r="H12" s="37">
        <f>COUNTIFS(Calc!$L:$L,A4,Calc!$N:$N,E12,Calc!$F:$F,F4)</f>
        <v>0</v>
      </c>
      <c r="I12" s="37">
        <f>COUNTIFS(Calc!$L:$L,A4,Calc!$N:$N,E12,Calc!$F:$F,"&lt;&gt;"&amp;F4)</f>
        <v>0</v>
      </c>
      <c r="K12" s="132">
        <f>COUNTIFS(Calc!$L:$L,K4,Calc!$O:$O,"オーバーミス")</f>
        <v>0</v>
      </c>
      <c r="L12" s="132"/>
      <c r="M12" s="132"/>
      <c r="N12" s="132"/>
      <c r="O12" s="37" t="s">
        <v>107</v>
      </c>
      <c r="P12" s="37">
        <f>COUNTIFS(Calc!$L:$L,K4,Calc!$N:$N,O12)</f>
        <v>0</v>
      </c>
      <c r="Q12" s="38" t="e">
        <f>P12/SUM(P5:P12)</f>
        <v>#DIV/0!</v>
      </c>
      <c r="R12" s="37">
        <f>COUNTIFS(Calc!$L:$L,K4,Calc!$N:$N,O12,Calc!$F:$F,P4)</f>
        <v>0</v>
      </c>
      <c r="S12" s="37">
        <f>COUNTIFS(Calc!$L:$L,K4,Calc!$N:$N,O12,Calc!$F:$F,"&lt;&gt;"&amp;P4)</f>
        <v>0</v>
      </c>
    </row>
    <row r="13" spans="1:19" x14ac:dyDescent="0.45">
      <c r="A13" s="107"/>
      <c r="B13" s="107"/>
      <c r="C13" s="107"/>
      <c r="D13" s="107"/>
      <c r="E13" s="37"/>
      <c r="F13" s="37"/>
      <c r="G13" s="38"/>
      <c r="H13" s="37"/>
      <c r="I13" s="37"/>
      <c r="K13" s="108"/>
      <c r="L13" s="108"/>
      <c r="M13" s="108"/>
      <c r="N13" s="108"/>
      <c r="O13" s="40"/>
      <c r="P13" s="40"/>
      <c r="Q13" s="41"/>
      <c r="R13" s="40"/>
      <c r="S13" s="40"/>
    </row>
    <row r="14" spans="1:19" x14ac:dyDescent="0.45">
      <c r="A14" t="s">
        <v>139</v>
      </c>
      <c r="K14" t="s">
        <v>139</v>
      </c>
    </row>
    <row r="15" spans="1:19" x14ac:dyDescent="0.45">
      <c r="A15" s="140" t="str">
        <f>Main!$D$12</f>
        <v>NAMBA Yurika</v>
      </c>
      <c r="B15" s="141"/>
      <c r="C15" s="141"/>
      <c r="D15" s="141"/>
      <c r="E15" s="36" t="str">
        <f>Main!$F$12</f>
        <v>R</v>
      </c>
      <c r="F15" s="36" t="str">
        <f>Main!$B$12</f>
        <v>Mallets</v>
      </c>
      <c r="G15" s="36" t="str">
        <f>Main!$F$14</f>
        <v/>
      </c>
      <c r="H15" s="40" t="s">
        <v>109</v>
      </c>
      <c r="I15" s="40" t="s">
        <v>110</v>
      </c>
      <c r="K15" s="140" t="str">
        <f>Main!$D$14</f>
        <v/>
      </c>
      <c r="L15" s="141"/>
      <c r="M15" s="141"/>
      <c r="N15" s="141"/>
      <c r="O15" s="36" t="str">
        <f>Main!$F$14</f>
        <v/>
      </c>
      <c r="P15" s="36" t="str">
        <f>Main!$B$12</f>
        <v>Mallets</v>
      </c>
      <c r="Q15" s="44" t="str">
        <f>Main!$F$12</f>
        <v>R</v>
      </c>
      <c r="R15" s="40" t="s">
        <v>109</v>
      </c>
      <c r="S15" s="40" t="s">
        <v>110</v>
      </c>
    </row>
    <row r="16" spans="1:19" ht="18.600000000000001" thickBot="1" x14ac:dyDescent="0.5">
      <c r="A16" s="144" t="s">
        <v>81</v>
      </c>
      <c r="B16" s="145"/>
      <c r="C16" s="145"/>
      <c r="D16" s="83">
        <f>COUNTIFS(Calc!$L:$L,A15,Calc!$O:$O,"ネット")</f>
        <v>0</v>
      </c>
      <c r="E16" s="40" t="s">
        <v>14</v>
      </c>
      <c r="F16" s="40">
        <f>COUNTIFS(Calc!$L:$L,A15,Calc!$N:$N,E16)</f>
        <v>0</v>
      </c>
      <c r="G16" s="41" t="e">
        <f>F16/SUM(F16:F23)</f>
        <v>#DIV/0!</v>
      </c>
      <c r="H16" s="40">
        <f>COUNTIFS(Calc!$L:$L,A15,Calc!$N:$N,E16,Calc!$F:$F,F15)</f>
        <v>0</v>
      </c>
      <c r="I16" s="40">
        <f>COUNTIFS(Calc!$L:$L,A15,Calc!$N:$N,E16,Calc!$F:$F,"&lt;&gt;"&amp;F15)</f>
        <v>0</v>
      </c>
      <c r="K16" s="144" t="s">
        <v>81</v>
      </c>
      <c r="L16" s="145"/>
      <c r="M16" s="145"/>
      <c r="N16" s="83">
        <f>COUNTIFS(Calc!$L:$L,K15,Calc!$O:$O,"ネット")</f>
        <v>0</v>
      </c>
      <c r="O16" s="40" t="s">
        <v>14</v>
      </c>
      <c r="P16" s="40">
        <f>COUNTIFS(Calc!$L:$L,K15,Calc!$N:$N,O16)</f>
        <v>0</v>
      </c>
      <c r="Q16" s="41" t="e">
        <f>P16/SUM(P16:P23)</f>
        <v>#DIV/0!</v>
      </c>
      <c r="R16" s="40">
        <f>COUNTIFS(Calc!$L:$L,K15,Calc!$N:$N,O16,Calc!$F:$F,P15)</f>
        <v>0</v>
      </c>
      <c r="S16" s="40">
        <f>COUNTIFS(Calc!$L:$L,K15,Calc!$N:$N,O16,Calc!$F:$F,"&lt;&gt;"&amp;P15)</f>
        <v>0</v>
      </c>
    </row>
    <row r="17" spans="1:19" ht="18.600000000000001" thickTop="1" x14ac:dyDescent="0.45">
      <c r="A17" s="148" t="s">
        <v>176</v>
      </c>
      <c r="B17" s="149"/>
      <c r="C17" s="149"/>
      <c r="D17" s="110">
        <f>COUNTIFS(Calc!$L:$L,A15,Calc!$O:$O,"ネットイン")</f>
        <v>0</v>
      </c>
      <c r="E17" s="40" t="s">
        <v>15</v>
      </c>
      <c r="F17" s="40">
        <f>COUNTIFS(Calc!$L:$L,A15,Calc!$N:$N,E17)</f>
        <v>0</v>
      </c>
      <c r="G17" s="41" t="e">
        <f>F17/SUM(F16:F23)</f>
        <v>#DIV/0!</v>
      </c>
      <c r="H17" s="40">
        <f>COUNTIFS(Calc!$L:$L,A15,Calc!$N:$N,E17,Calc!$F:$F,F15)</f>
        <v>0</v>
      </c>
      <c r="I17" s="40">
        <f>COUNTIFS(Calc!$L:$L,A15,Calc!$N:$N,E17,Calc!$F:$F,"&lt;&gt;"&amp;F15)</f>
        <v>0</v>
      </c>
      <c r="K17" s="148" t="s">
        <v>176</v>
      </c>
      <c r="L17" s="149"/>
      <c r="M17" s="149"/>
      <c r="N17" s="110">
        <f>COUNTIFS(Calc!$L:$L,K15,Calc!$O:$O,"ネットイン")</f>
        <v>0</v>
      </c>
      <c r="O17" s="40" t="s">
        <v>15</v>
      </c>
      <c r="P17" s="40">
        <f>COUNTIFS(Calc!$L:$L,K15,Calc!$N:$N,O17)</f>
        <v>0</v>
      </c>
      <c r="Q17" s="41" t="e">
        <f>P17/SUM(P16:P23)</f>
        <v>#DIV/0!</v>
      </c>
      <c r="R17" s="40">
        <f>COUNTIFS(Calc!$L:$L,K15,Calc!$N:$N,O17,Calc!$F:$F,P15)</f>
        <v>0</v>
      </c>
      <c r="S17" s="40">
        <f>COUNTIFS(Calc!$L:$L,K15,Calc!$N:$N,O17,Calc!$F:$F,"&lt;&gt;"&amp;P15)</f>
        <v>0</v>
      </c>
    </row>
    <row r="18" spans="1:19" x14ac:dyDescent="0.45">
      <c r="A18" s="150">
        <f>SUM(A57,K107,A157,K207,A257)</f>
        <v>0</v>
      </c>
      <c r="B18" s="150">
        <f>SUM(B57,L107,B157,L207,B257)</f>
        <v>0</v>
      </c>
      <c r="C18" s="150">
        <f>SUM(C57,M107,C157,M207,C257)</f>
        <v>0</v>
      </c>
      <c r="D18" s="150">
        <f>SUM(D57,N107,D157,N207,D257)</f>
        <v>0</v>
      </c>
      <c r="E18" s="40" t="s">
        <v>17</v>
      </c>
      <c r="F18" s="40">
        <f>COUNTIFS(Calc!$L:$L,A15,Calc!$N:$N,E18)</f>
        <v>0</v>
      </c>
      <c r="G18" s="41" t="e">
        <f>F18/SUM(F16:F23)</f>
        <v>#DIV/0!</v>
      </c>
      <c r="H18" s="40">
        <f>COUNTIFS(Calc!$L:$L,A15,Calc!$N:$N,E18,Calc!$F:$F,F15)</f>
        <v>0</v>
      </c>
      <c r="I18" s="40">
        <f>COUNTIFS(Calc!$L:$L,A15,Calc!$N:$N,E18,Calc!$F:$F,"&lt;&gt;"&amp;F15)</f>
        <v>0</v>
      </c>
      <c r="K18" s="150">
        <f>SUM(K57,A107,K157,A207,K257)</f>
        <v>0</v>
      </c>
      <c r="L18" s="150">
        <f>SUM(L57,B107,L157,B207,L257)</f>
        <v>0</v>
      </c>
      <c r="M18" s="150">
        <f>SUM(M57,C107,M157,C207,M257)</f>
        <v>0</v>
      </c>
      <c r="N18" s="150">
        <f>SUM(N57,D107,N157,D207,N257)</f>
        <v>0</v>
      </c>
      <c r="O18" s="40" t="s">
        <v>17</v>
      </c>
      <c r="P18" s="40">
        <f>COUNTIFS(Calc!$L:$L,K15,Calc!$N:$N,O18)</f>
        <v>0</v>
      </c>
      <c r="Q18" s="41" t="e">
        <f>P18/SUM(P16:P23)</f>
        <v>#DIV/0!</v>
      </c>
      <c r="R18" s="40">
        <f>COUNTIFS(Calc!$L:$L,K15,Calc!$N:$N,O18,Calc!$F:$F,P15)</f>
        <v>0</v>
      </c>
      <c r="S18" s="40">
        <f>COUNTIFS(Calc!$L:$L,K15,Calc!$N:$N,O18,Calc!$F:$F,"&lt;&gt;"&amp;P15)</f>
        <v>0</v>
      </c>
    </row>
    <row r="19" spans="1:19" x14ac:dyDescent="0.45">
      <c r="A19" s="136"/>
      <c r="B19" s="136"/>
      <c r="C19" s="136"/>
      <c r="D19" s="136"/>
      <c r="E19" s="40" t="s">
        <v>16</v>
      </c>
      <c r="F19" s="40">
        <f>COUNTIFS(Calc!$L:$L,A15,Calc!$N:$N,E19)</f>
        <v>0</v>
      </c>
      <c r="G19" s="41" t="e">
        <f>F19/SUM(F16:F23)</f>
        <v>#DIV/0!</v>
      </c>
      <c r="H19" s="40">
        <f>COUNTIFS(Calc!$L:$L,A15,Calc!$N:$N,E19,Calc!$F:$F,F15)</f>
        <v>0</v>
      </c>
      <c r="I19" s="40">
        <f>COUNTIFS(Calc!$L:$L,A15,Calc!$N:$N,E19,Calc!$F:$F,"&lt;&gt;"&amp;F15)</f>
        <v>0</v>
      </c>
      <c r="K19" s="136"/>
      <c r="L19" s="136"/>
      <c r="M19" s="136"/>
      <c r="N19" s="136"/>
      <c r="O19" s="40" t="s">
        <v>16</v>
      </c>
      <c r="P19" s="40">
        <f>COUNTIFS(Calc!$L:$L,K15,Calc!$N:$N,O19)</f>
        <v>0</v>
      </c>
      <c r="Q19" s="41" t="e">
        <f>P19/SUM(P16:P23)</f>
        <v>#DIV/0!</v>
      </c>
      <c r="R19" s="40">
        <f>COUNTIFS(Calc!$L:$L,K15,Calc!$N:$N,O19,Calc!$F:$F,P15)</f>
        <v>0</v>
      </c>
      <c r="S19" s="40">
        <f>COUNTIFS(Calc!$L:$L,K15,Calc!$N:$N,O19,Calc!$F:$F,"&lt;&gt;"&amp;P15)</f>
        <v>0</v>
      </c>
    </row>
    <row r="20" spans="1:19" x14ac:dyDescent="0.45">
      <c r="A20" s="150">
        <f>SUM(A59,K109,A159,K209,A259)</f>
        <v>0</v>
      </c>
      <c r="B20" s="150">
        <f>SUM(B59,L109,B159,L209,B259)</f>
        <v>0</v>
      </c>
      <c r="C20" s="150">
        <f>SUM(C59,M109,C159,M209,C259)</f>
        <v>0</v>
      </c>
      <c r="D20" s="150">
        <f>SUM(D59,N109,D159,N209,D259)</f>
        <v>0</v>
      </c>
      <c r="E20" s="40" t="s">
        <v>103</v>
      </c>
      <c r="F20" s="40">
        <f>COUNTIFS(Calc!$L:$L,A15,Calc!$N:$N,E20)</f>
        <v>0</v>
      </c>
      <c r="G20" s="41" t="e">
        <f>F20/SUM(F16:F23)</f>
        <v>#DIV/0!</v>
      </c>
      <c r="H20" s="40">
        <f>COUNTIFS(Calc!$L:$L,A15,Calc!$N:$N,E20,Calc!$F:$F,F15)</f>
        <v>0</v>
      </c>
      <c r="I20" s="40">
        <f>COUNTIFS(Calc!$L:$L,A15,Calc!$N:$N,E20,Calc!$F:$F,"&lt;&gt;"&amp;F15)</f>
        <v>0</v>
      </c>
      <c r="K20" s="150">
        <f>SUM(K59,A109,K159,A209,K259)</f>
        <v>0</v>
      </c>
      <c r="L20" s="150">
        <f>SUM(L59,B109,L159,B209,L259)</f>
        <v>0</v>
      </c>
      <c r="M20" s="150">
        <f>SUM(M59,C109,M159,C209,M259)</f>
        <v>0</v>
      </c>
      <c r="N20" s="150">
        <f>SUM(N59,D109,N159,D209,N259)</f>
        <v>0</v>
      </c>
      <c r="O20" s="40" t="s">
        <v>103</v>
      </c>
      <c r="P20" s="40">
        <f>COUNTIFS(Calc!$L:$L,K15,Calc!$N:$N,O20)</f>
        <v>0</v>
      </c>
      <c r="Q20" s="41" t="e">
        <f>P20/SUM(P16:P23)</f>
        <v>#DIV/0!</v>
      </c>
      <c r="R20" s="40">
        <f>COUNTIFS(Calc!$L:$L,K15,Calc!$N:$N,O20,Calc!$F:$F,P15)</f>
        <v>0</v>
      </c>
      <c r="S20" s="40">
        <f>COUNTIFS(Calc!$L:$L,K15,Calc!$N:$N,O20,Calc!$F:$F,"&lt;&gt;"&amp;P15)</f>
        <v>0</v>
      </c>
    </row>
    <row r="21" spans="1:19" x14ac:dyDescent="0.45">
      <c r="A21" s="136"/>
      <c r="B21" s="136"/>
      <c r="C21" s="136"/>
      <c r="D21" s="136"/>
      <c r="E21" s="40" t="s">
        <v>82</v>
      </c>
      <c r="F21" s="40">
        <f>COUNTIFS(Calc!$L:$L,A15,Calc!$N:$N,E21)</f>
        <v>0</v>
      </c>
      <c r="G21" s="41" t="e">
        <f>F21/SUM(F16:F23)</f>
        <v>#DIV/0!</v>
      </c>
      <c r="H21" s="40">
        <f>COUNTIFS(Calc!$L:$L,A15,Calc!$N:$N,E21,Calc!$F:$F,F15)</f>
        <v>0</v>
      </c>
      <c r="I21" s="40">
        <f>COUNTIFS(Calc!$L:$L,A15,Calc!$N:$N,E21,Calc!$F:$F,"&lt;&gt;"&amp;F15)</f>
        <v>0</v>
      </c>
      <c r="K21" s="136"/>
      <c r="L21" s="136"/>
      <c r="M21" s="136"/>
      <c r="N21" s="136"/>
      <c r="O21" s="40" t="s">
        <v>82</v>
      </c>
      <c r="P21" s="40">
        <f>COUNTIFS(Calc!$L:$L,K15,Calc!$N:$N,O21)</f>
        <v>0</v>
      </c>
      <c r="Q21" s="41" t="e">
        <f>P21/SUM(P16:P23)</f>
        <v>#DIV/0!</v>
      </c>
      <c r="R21" s="40">
        <f>COUNTIFS(Calc!$L:$L,K15,Calc!$N:$N,O21,Calc!$F:$F,P15)</f>
        <v>0</v>
      </c>
      <c r="S21" s="40">
        <f>COUNTIFS(Calc!$L:$L,K15,Calc!$N:$N,O21,Calc!$F:$F,"&lt;&gt;"&amp;P15)</f>
        <v>0</v>
      </c>
    </row>
    <row r="22" spans="1:19" x14ac:dyDescent="0.45">
      <c r="A22" s="138" t="s">
        <v>80</v>
      </c>
      <c r="B22" s="138"/>
      <c r="C22" s="138"/>
      <c r="D22" s="138"/>
      <c r="E22" s="40" t="s">
        <v>83</v>
      </c>
      <c r="F22" s="40">
        <f>COUNTIFS(Calc!$L:$L,A15,Calc!$N:$N,E22)</f>
        <v>0</v>
      </c>
      <c r="G22" s="41" t="e">
        <f>F22/SUM(F16:F23)</f>
        <v>#DIV/0!</v>
      </c>
      <c r="H22" s="40">
        <f>COUNTIFS(Calc!$L:$L,A15,Calc!$N:$N,E22,Calc!$F:$F,F15)</f>
        <v>0</v>
      </c>
      <c r="I22" s="40">
        <f>COUNTIFS(Calc!$L:$L,A15,Calc!$N:$N,E22,Calc!$F:$F,"&lt;&gt;"&amp;F15)</f>
        <v>0</v>
      </c>
      <c r="K22" s="138" t="s">
        <v>80</v>
      </c>
      <c r="L22" s="138"/>
      <c r="M22" s="138"/>
      <c r="N22" s="138"/>
      <c r="O22" s="40" t="s">
        <v>83</v>
      </c>
      <c r="P22" s="40">
        <f>COUNTIFS(Calc!$L:$L,K15,Calc!$N:$N,O22)</f>
        <v>0</v>
      </c>
      <c r="Q22" s="41" t="e">
        <f>P22/SUM(P16:P23)</f>
        <v>#DIV/0!</v>
      </c>
      <c r="R22" s="40">
        <f>COUNTIFS(Calc!$L:$L,K15,Calc!$N:$N,O22,Calc!$F:$F,P15)</f>
        <v>0</v>
      </c>
      <c r="S22" s="40">
        <f>COUNTIFS(Calc!$L:$L,K15,Calc!$N:$N,O22,Calc!$F:$F,"&lt;&gt;"&amp;P15)</f>
        <v>0</v>
      </c>
    </row>
    <row r="23" spans="1:19" x14ac:dyDescent="0.45">
      <c r="A23" s="133">
        <f>COUNTIFS(Calc!$L:$L,A15,Calc!$O:$O,"オーバーミス")</f>
        <v>0</v>
      </c>
      <c r="B23" s="133"/>
      <c r="C23" s="133"/>
      <c r="D23" s="133"/>
      <c r="E23" s="40" t="s">
        <v>107</v>
      </c>
      <c r="F23" s="40">
        <f>COUNTIFS(Calc!$L:$L,A15,Calc!$N:$N,E23)</f>
        <v>0</v>
      </c>
      <c r="G23" s="41" t="e">
        <f>F23/SUM(F16:F23)</f>
        <v>#DIV/0!</v>
      </c>
      <c r="H23" s="40">
        <f>COUNTIFS(Calc!$L:$L,A15,Calc!$N:$N,E23,Calc!$F:$F,F15)</f>
        <v>0</v>
      </c>
      <c r="I23" s="40">
        <f>COUNTIFS(Calc!$L:$L,A15,Calc!$N:$N,E23,Calc!$F:$F,"&lt;&gt;"&amp;F15)</f>
        <v>0</v>
      </c>
      <c r="K23" s="133">
        <f>COUNTIFS(Calc!$L:$L,K15,Calc!$O:$O,"オーバーミス")</f>
        <v>0</v>
      </c>
      <c r="L23" s="133"/>
      <c r="M23" s="133"/>
      <c r="N23" s="133"/>
      <c r="O23" s="40" t="s">
        <v>107</v>
      </c>
      <c r="P23" s="40">
        <f>COUNTIFS(Calc!$L:$L,K15,Calc!$N:$N,O23)</f>
        <v>0</v>
      </c>
      <c r="Q23" s="41" t="e">
        <f>P23/SUM(P16:P23)</f>
        <v>#DIV/0!</v>
      </c>
      <c r="R23" s="40">
        <f>COUNTIFS(Calc!$L:$L,K15,Calc!$N:$N,O23,Calc!$F:$F,P15)</f>
        <v>0</v>
      </c>
      <c r="S23" s="40">
        <f>COUNTIFS(Calc!$L:$L,K15,Calc!$N:$N,O23,Calc!$F:$F,"&lt;&gt;"&amp;P15)</f>
        <v>0</v>
      </c>
    </row>
    <row r="27" spans="1:19" x14ac:dyDescent="0.45">
      <c r="A27" s="139" t="s">
        <v>155</v>
      </c>
      <c r="B27" s="139"/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39"/>
      <c r="P27" s="139"/>
      <c r="Q27" s="139"/>
      <c r="R27" s="139"/>
      <c r="S27" s="139"/>
    </row>
    <row r="28" spans="1:19" x14ac:dyDescent="0.45">
      <c r="A28" s="116">
        <v>1</v>
      </c>
      <c r="B28" s="114"/>
      <c r="C28" s="114"/>
      <c r="D28" s="114"/>
      <c r="E28" s="114"/>
      <c r="F28" s="114"/>
      <c r="G28" s="114"/>
      <c r="H28" s="114"/>
      <c r="I28" s="114"/>
      <c r="J28" s="114"/>
      <c r="K28" s="116">
        <v>1</v>
      </c>
      <c r="L28" s="114"/>
      <c r="M28" s="114"/>
      <c r="N28" s="114"/>
      <c r="O28" s="114"/>
      <c r="P28" s="114"/>
      <c r="Q28" s="114"/>
      <c r="R28" s="114"/>
      <c r="S28" s="114"/>
    </row>
    <row r="29" spans="1:19" x14ac:dyDescent="0.45">
      <c r="A29" t="s">
        <v>139</v>
      </c>
      <c r="K29" t="s">
        <v>139</v>
      </c>
    </row>
    <row r="30" spans="1:19" x14ac:dyDescent="0.45">
      <c r="A30" s="140" t="str">
        <f>Main!$D$8</f>
        <v>HIRANO Miu</v>
      </c>
      <c r="B30" s="141"/>
      <c r="C30" s="141"/>
      <c r="D30" s="141"/>
      <c r="E30" s="36" t="str">
        <f>Main!$F$8</f>
        <v>R</v>
      </c>
      <c r="F30" s="36" t="str">
        <f>Main!$B$8</f>
        <v>RedELF</v>
      </c>
      <c r="G30" s="44" t="str">
        <f>Main!$F$10</f>
        <v/>
      </c>
      <c r="H30" s="37" t="s">
        <v>109</v>
      </c>
      <c r="I30" s="37" t="s">
        <v>110</v>
      </c>
      <c r="K30" s="140" t="str">
        <f>Main!$D$10</f>
        <v/>
      </c>
      <c r="L30" s="141"/>
      <c r="M30" s="141"/>
      <c r="N30" s="141"/>
      <c r="O30" s="36" t="str">
        <f>Main!$F$10</f>
        <v/>
      </c>
      <c r="P30" s="36" t="str">
        <f>Main!$B$8</f>
        <v>RedELF</v>
      </c>
      <c r="Q30" s="36" t="str">
        <f>Main!$F$8</f>
        <v>R</v>
      </c>
      <c r="R30" s="37" t="s">
        <v>109</v>
      </c>
      <c r="S30" s="37" t="s">
        <v>110</v>
      </c>
    </row>
    <row r="31" spans="1:19" ht="18.600000000000001" thickBot="1" x14ac:dyDescent="0.5">
      <c r="A31" s="142" t="s">
        <v>97</v>
      </c>
      <c r="B31" s="143"/>
      <c r="C31" s="143"/>
      <c r="D31" s="82">
        <f>COUNTIFS(Calc!$P:$P,A28,Calc!$H:$H,A49,Calc!$L:$L,A30,Calc!$O:$O,"ネット")</f>
        <v>0</v>
      </c>
      <c r="E31" s="37" t="s">
        <v>99</v>
      </c>
      <c r="F31" s="37">
        <f>COUNTIFS(Calc!$P:$P,A28,Calc!$H:$H,A49,Calc!$L:$L,A30,Calc!$N:$N,E31)</f>
        <v>0</v>
      </c>
      <c r="G31" s="38" t="e">
        <f>F31/SUM(F31:F38)</f>
        <v>#DIV/0!</v>
      </c>
      <c r="H31" s="37">
        <f>COUNTIFS(Calc!$P:$P,A28,Calc!$H:$H,A49,Calc!$L:$L,A30,Calc!$N:$N,E31,Calc!$F:$F,F30)</f>
        <v>0</v>
      </c>
      <c r="I31" s="37">
        <f>COUNTIFS(Calc!$P:$P,A28,Calc!$H:$H,A49,Calc!$L:$L,A30,Calc!$N:$N,E31,Calc!$F:$F,F49)</f>
        <v>0</v>
      </c>
      <c r="K31" s="142" t="s">
        <v>81</v>
      </c>
      <c r="L31" s="143"/>
      <c r="M31" s="143"/>
      <c r="N31" s="82">
        <f>COUNTIFS(Calc!$P:$P,K28,Calc!$H:$H,K49,Calc!$L:$L,K30,Calc!$O:$O,"ネット")</f>
        <v>0</v>
      </c>
      <c r="O31" s="37" t="s">
        <v>14</v>
      </c>
      <c r="P31" s="37">
        <f>COUNTIFS(Calc!$P:$P,K28,Calc!$H:$H,K49,Calc!$L:$L,K30,Calc!$N:$N,O31)</f>
        <v>0</v>
      </c>
      <c r="Q31" s="38" t="e">
        <f>P31/SUM(P31:P38)</f>
        <v>#DIV/0!</v>
      </c>
      <c r="R31" s="37">
        <f>COUNTIFS(Calc!$P:$P,K28,Calc!$H:$H,K49,Calc!$L:$L,K30,Calc!$N:$N,O31,Calc!$F:$F,P30)</f>
        <v>0</v>
      </c>
      <c r="S31" s="37">
        <f>COUNTIFS(Calc!$P:$P,K28,Calc!$H:$H,K49,Calc!$L:$L,K30,Calc!$N:$N,O31,Calc!$F:$F,P49)</f>
        <v>0</v>
      </c>
    </row>
    <row r="32" spans="1:19" ht="18.600000000000001" thickTop="1" x14ac:dyDescent="0.45">
      <c r="A32" s="146" t="s">
        <v>114</v>
      </c>
      <c r="B32" s="147"/>
      <c r="C32" s="147"/>
      <c r="D32" s="109">
        <f>COUNTIFS(Calc!$P:$P,A28,Calc!$H:$H,A49,Calc!$L:$L,A30,Calc!$O:$O,"ネットイン")</f>
        <v>0</v>
      </c>
      <c r="E32" s="37" t="s">
        <v>100</v>
      </c>
      <c r="F32" s="37">
        <f>COUNTIFS(Calc!$P:$P,A28,Calc!$H:$H,A49,Calc!$L:$L,A30,Calc!$N:$N,E32)</f>
        <v>0</v>
      </c>
      <c r="G32" s="38" t="e">
        <f>F32/SUM(F31:F38)</f>
        <v>#DIV/0!</v>
      </c>
      <c r="H32" s="37">
        <f>COUNTIFS(Calc!$P:$P,A28,Calc!$H:$H,A49,Calc!$L:$L,A30,Calc!$N:$N,E32,Calc!$F:$F,F30)</f>
        <v>0</v>
      </c>
      <c r="I32" s="37">
        <f>COUNTIFS(Calc!$P:$P,A28,Calc!$H:$H,A49,Calc!$L:$L,A30,Calc!$N:$N,E32,Calc!$F:$F,F49)</f>
        <v>0</v>
      </c>
      <c r="K32" s="146" t="s">
        <v>176</v>
      </c>
      <c r="L32" s="147"/>
      <c r="M32" s="147"/>
      <c r="N32" s="109">
        <f>COUNTIFS(Calc!$P:$P,K28,Calc!$H:$H,K49,Calc!$L:$L,K30,Calc!$O:$O,"ネットイン")</f>
        <v>0</v>
      </c>
      <c r="O32" s="37" t="s">
        <v>15</v>
      </c>
      <c r="P32" s="37">
        <f>COUNTIFS(Calc!$P:$P,K28,Calc!$H:$H,K49,Calc!$L:$L,K30,Calc!$N:$N,O32)</f>
        <v>0</v>
      </c>
      <c r="Q32" s="38" t="e">
        <f>P32/SUM(P31:P38)</f>
        <v>#DIV/0!</v>
      </c>
      <c r="R32" s="37">
        <f>COUNTIFS(Calc!$P:$P,K28,Calc!$H:$H,K49,Calc!$L:$L,K30,Calc!$N:$N,O32,Calc!$F:$F,P30)</f>
        <v>0</v>
      </c>
      <c r="S32" s="37">
        <f>COUNTIFS(Calc!$P:$P,K28,Calc!$H:$H,K49,Calc!$L:$L,K30,Calc!$N:$N,O32,Calc!$F:$F,P49)</f>
        <v>0</v>
      </c>
    </row>
    <row r="33" spans="1:19" x14ac:dyDescent="0.45">
      <c r="A33" s="180">
        <f>COUNTIFS(Calc!$P:$P,A28,Calc!$H:$H,A49,Calc!$L:$L,A30,Calc!$O:$O,IF(G49="R","BS","FS"))</f>
        <v>0</v>
      </c>
      <c r="B33" s="180">
        <f>COUNTIFS(Calc!$P:$P,A28,Calc!$H:$H,A49,Calc!$L:$L,A30,Calc!$O:$O,IF(G49="R","BMS","FMS"))</f>
        <v>0</v>
      </c>
      <c r="C33" s="180">
        <f>COUNTIFS(Calc!$P:$P,A28,Calc!$H:$H,A49,Calc!$L:$L,A30,Calc!$O:$O,IF(G49="R","FMS","BMS"))</f>
        <v>0</v>
      </c>
      <c r="D33" s="180">
        <f>COUNTIFS(Calc!$P:$P,A28,Calc!$H:$H,A49,Calc!$L:$L,A30,Calc!$O:$O,IF(G49="R","FS","BS"))</f>
        <v>0</v>
      </c>
      <c r="E33" s="37" t="s">
        <v>101</v>
      </c>
      <c r="F33" s="37">
        <f>COUNTIFS(Calc!$P:$P,A28,Calc!$H:$H,A49,Calc!$L:$L,A30,Calc!$N:$N,E33)</f>
        <v>0</v>
      </c>
      <c r="G33" s="38" t="e">
        <f>F33/SUM(F31:F38)</f>
        <v>#DIV/0!</v>
      </c>
      <c r="H33" s="37">
        <f>COUNTIFS(Calc!$P:$P,A28,Calc!$H:$H,A49,Calc!$L:$L,A30,Calc!$N:$N,E33,Calc!$F:$F,F30)</f>
        <v>0</v>
      </c>
      <c r="I33" s="37">
        <f>COUNTIFS(Calc!$P:$P,A28,Calc!$H:$H,A49,Calc!$L:$L,A30,Calc!$N:$N,E33,Calc!$F:$F,F49)</f>
        <v>0</v>
      </c>
      <c r="K33" s="180">
        <f>COUNTIFS(Calc!$P:$P,K28,Calc!$H:$H,K49,Calc!$L:$L,K30,Calc!$O:$O,IF(Q49="R","BS","FS"))</f>
        <v>0</v>
      </c>
      <c r="L33" s="180">
        <f>COUNTIFS(Calc!$P:$P,K28,Calc!$H:$H,K49,Calc!$L:$L,K30,Calc!$O:$O,IF(Q49="R","BMS","FMS"))</f>
        <v>0</v>
      </c>
      <c r="M33" s="180">
        <f>COUNTIFS(Calc!$P:$P,K28,Calc!$H:$H,K49,Calc!$L:$L,K30,Calc!$O:$O,IF(Q49="R","FMS","BMS"))</f>
        <v>0</v>
      </c>
      <c r="N33" s="180">
        <f>COUNTIFS(Calc!$P:$P,K28,Calc!$H:$H,K49,Calc!$L:$L,K30,Calc!$O:$O,IF(Q49="R","FS","BS"))</f>
        <v>0</v>
      </c>
      <c r="O33" s="37" t="s">
        <v>17</v>
      </c>
      <c r="P33" s="37">
        <f>COUNTIFS(Calc!$P:$P,K28,Calc!$H:$H,K49,Calc!$L:$L,K30,Calc!$N:$N,O33)</f>
        <v>0</v>
      </c>
      <c r="Q33" s="38" t="e">
        <f>P33/SUM(P31:P38)</f>
        <v>#DIV/0!</v>
      </c>
      <c r="R33" s="37">
        <f>COUNTIFS(Calc!$P:$P,K28,Calc!$H:$H,K49,Calc!$L:$L,K30,Calc!$N:$N,O33,Calc!$F:$F,P30)</f>
        <v>0</v>
      </c>
      <c r="S33" s="37">
        <f>COUNTIFS(Calc!$P:$P,K28,Calc!$H:$H,K49,Calc!$L:$L,K30,Calc!$N:$N,O33,Calc!$F:$F,P49)</f>
        <v>0</v>
      </c>
    </row>
    <row r="34" spans="1:19" x14ac:dyDescent="0.45">
      <c r="A34" s="134"/>
      <c r="B34" s="134"/>
      <c r="C34" s="134"/>
      <c r="D34" s="134"/>
      <c r="E34" s="37" t="s">
        <v>102</v>
      </c>
      <c r="F34" s="37">
        <f>COUNTIFS(Calc!$P:$P,A28,Calc!$H:$H,A49,Calc!$L:$L,A30,Calc!$N:$N,E34)</f>
        <v>0</v>
      </c>
      <c r="G34" s="38" t="e">
        <f>F34/SUM(F31:F38)</f>
        <v>#DIV/0!</v>
      </c>
      <c r="H34" s="37">
        <f>COUNTIFS(Calc!$P:$P,A28,Calc!$H:$H,A49,Calc!$L:$L,A30,Calc!$N:$N,E34,Calc!$F:$F,F30)</f>
        <v>0</v>
      </c>
      <c r="I34" s="37">
        <f>COUNTIFS(Calc!$P:$P,A28,Calc!$H:$H,A49,Calc!$L:$L,A30,Calc!$N:$N,E34,Calc!$F:$F,F49)</f>
        <v>0</v>
      </c>
      <c r="K34" s="134"/>
      <c r="L34" s="134"/>
      <c r="M34" s="134"/>
      <c r="N34" s="134"/>
      <c r="O34" s="37" t="s">
        <v>16</v>
      </c>
      <c r="P34" s="37">
        <f>COUNTIFS(Calc!$P:$P,K28,Calc!$H:$H,K49,Calc!$L:$L,K30,Calc!$N:$N,O34)</f>
        <v>0</v>
      </c>
      <c r="Q34" s="38" t="e">
        <f>P34/SUM(P31:P38)</f>
        <v>#DIV/0!</v>
      </c>
      <c r="R34" s="37">
        <f>COUNTIFS(Calc!$P:$P,K28,Calc!$H:$H,K49,Calc!$L:$L,K30,Calc!$N:$N,O34,Calc!$F:$F,P30)</f>
        <v>0</v>
      </c>
      <c r="S34" s="37">
        <f>COUNTIFS(Calc!$P:$P,K28,Calc!$H:$H,K49,Calc!$L:$L,K30,Calc!$N:$N,O34,Calc!$F:$F,P49)</f>
        <v>0</v>
      </c>
    </row>
    <row r="35" spans="1:19" x14ac:dyDescent="0.45">
      <c r="A35" s="134">
        <f>COUNTIFS(Calc!$P:$P,A28,Calc!$H:$H,A49,Calc!$L:$L,A30,Calc!$O:$O,IF(G49="R","B","F"))</f>
        <v>0</v>
      </c>
      <c r="B35" s="134">
        <f>COUNTIFS(Calc!$P:$P,A28,Calc!$H:$H,A49,Calc!$L:$L,A30,Calc!$O:$O,IF(G49="R","BM","FM"))</f>
        <v>0</v>
      </c>
      <c r="C35" s="134">
        <f>COUNTIFS(Calc!$P:$P,A28,Calc!$H:$H,A49,Calc!$L:$L,A30,Calc!$O:$O,IF(G49="R","FM","BM"))</f>
        <v>0</v>
      </c>
      <c r="D35" s="134">
        <f>COUNTIFS(Calc!$P:$P,A28,Calc!$H:$H,A49,Calc!$L:$L,A30,Calc!$O:$O,IF(G49="R","F","B"))</f>
        <v>0</v>
      </c>
      <c r="E35" s="37" t="s">
        <v>104</v>
      </c>
      <c r="F35" s="37">
        <f>COUNTIFS(Calc!$P:$P,A28,Calc!$H:$H,A49,Calc!$L:$L,A30,Calc!$N:$N,E35)</f>
        <v>0</v>
      </c>
      <c r="G35" s="38" t="e">
        <f>F35/SUM(F31:F38)</f>
        <v>#DIV/0!</v>
      </c>
      <c r="H35" s="37">
        <f>COUNTIFS(Calc!$P:$P,A28,Calc!$H:$H,A49,Calc!$L:$L,A30,Calc!$N:$N,E35,Calc!$F:$F,F30)</f>
        <v>0</v>
      </c>
      <c r="I35" s="37">
        <f>COUNTIFS(Calc!$P:$P,A28,Calc!$H:$H,A49,Calc!$L:$L,A30,Calc!$N:$N,E35,Calc!$F:$F,F49)</f>
        <v>0</v>
      </c>
      <c r="K35" s="134">
        <f>COUNTIFS(Calc!$P:$P,K28,Calc!$H:$H,K49,Calc!$L:$L,K30,Calc!$O:$O,IF(Q49="R","B","F"))</f>
        <v>0</v>
      </c>
      <c r="L35" s="134">
        <f>COUNTIFS(Calc!$P:$P,K28,Calc!$H:$H,K49,Calc!$L:$L,K30,Calc!$O:$O,IF(Q49="R","BM","FM"))</f>
        <v>0</v>
      </c>
      <c r="M35" s="134">
        <f>COUNTIFS(Calc!$P:$P,K28,Calc!$H:$H,K49,Calc!$L:$L,K30,Calc!$O:$O,IF(Q49="R","FM","BM"))</f>
        <v>0</v>
      </c>
      <c r="N35" s="134">
        <f>COUNTIFS(Calc!$P:$P,K28,Calc!$H:$H,K49,Calc!$L:$L,K30,Calc!$O:$O,IF(Q49="R","F","B"))</f>
        <v>0</v>
      </c>
      <c r="O35" s="37" t="s">
        <v>103</v>
      </c>
      <c r="P35" s="37">
        <f>COUNTIFS(Calc!$P:$P,K28,Calc!$H:$H,K49,Calc!$L:$L,K30,Calc!$N:$N,O35)</f>
        <v>0</v>
      </c>
      <c r="Q35" s="38" t="e">
        <f>P35/SUM(P31:P38)</f>
        <v>#DIV/0!</v>
      </c>
      <c r="R35" s="37">
        <f>COUNTIFS(Calc!$P:$P,K28,Calc!$H:$H,K49,Calc!$L:$L,K30,Calc!$N:$N,O35,Calc!$F:$F,P30)</f>
        <v>0</v>
      </c>
      <c r="S35" s="37">
        <f>COUNTIFS(Calc!$P:$P,K28,Calc!$H:$H,K49,Calc!$L:$L,K30,Calc!$N:$N,O35,Calc!$F:$F,P49)</f>
        <v>0</v>
      </c>
    </row>
    <row r="36" spans="1:19" x14ac:dyDescent="0.45">
      <c r="A36" s="134"/>
      <c r="B36" s="134"/>
      <c r="C36" s="134"/>
      <c r="D36" s="134"/>
      <c r="E36" s="37" t="s">
        <v>105</v>
      </c>
      <c r="F36" s="37">
        <f>COUNTIFS(Calc!$P:$P,A28,Calc!$H:$H,A49,Calc!$L:$L,A30,Calc!$N:$N,E36)</f>
        <v>0</v>
      </c>
      <c r="G36" s="38" t="e">
        <f>F36/SUM(F31:F38)</f>
        <v>#DIV/0!</v>
      </c>
      <c r="H36" s="37">
        <f>COUNTIFS(Calc!$P:$P,A28,Calc!$H:$H,A49,Calc!$L:$L,A30,Calc!$N:$N,E36,Calc!$F:$F,F30)</f>
        <v>0</v>
      </c>
      <c r="I36" s="37">
        <f>COUNTIFS(Calc!$P:$P,A28,Calc!$H:$H,A49,Calc!$L:$L,A30,Calc!$N:$N,E36,Calc!$F:$F,F49)</f>
        <v>0</v>
      </c>
      <c r="K36" s="134"/>
      <c r="L36" s="134"/>
      <c r="M36" s="134"/>
      <c r="N36" s="134"/>
      <c r="O36" s="37" t="s">
        <v>82</v>
      </c>
      <c r="P36" s="37">
        <f>COUNTIFS(Calc!$P:$P,K28,Calc!$H:$H,K49,Calc!$L:$L,K30,Calc!$N:$N,O36)</f>
        <v>0</v>
      </c>
      <c r="Q36" s="38" t="e">
        <f>P36/SUM(P31:P38)</f>
        <v>#DIV/0!</v>
      </c>
      <c r="R36" s="37">
        <f>COUNTIFS(Calc!$P:$P,K28,Calc!$H:$H,K49,Calc!$L:$L,K30,Calc!$N:$N,O36,Calc!$F:$F,P30)</f>
        <v>0</v>
      </c>
      <c r="S36" s="37">
        <f>COUNTIFS(Calc!$P:$P,K28,Calc!$H:$H,K49,Calc!$L:$L,K30,Calc!$N:$N,O36,Calc!$F:$F,P49)</f>
        <v>0</v>
      </c>
    </row>
    <row r="37" spans="1:19" x14ac:dyDescent="0.45">
      <c r="A37" s="137" t="s">
        <v>98</v>
      </c>
      <c r="B37" s="137"/>
      <c r="C37" s="137"/>
      <c r="D37" s="137"/>
      <c r="E37" s="37" t="s">
        <v>106</v>
      </c>
      <c r="F37" s="37">
        <f>COUNTIFS(Calc!$P:$P,A28,Calc!$H:$H,A49,Calc!$L:$L,A30,Calc!$N:$N,E37)</f>
        <v>0</v>
      </c>
      <c r="G37" s="38" t="e">
        <f>F37/SUM(F31:F38)</f>
        <v>#DIV/0!</v>
      </c>
      <c r="H37" s="37">
        <f>COUNTIFS(Calc!$P:$P,A28,Calc!$H:$H,A49,Calc!$L:$L,A30,Calc!$N:$N,E37,Calc!$F:$F,F30)</f>
        <v>0</v>
      </c>
      <c r="I37" s="37">
        <f>COUNTIFS(Calc!$P:$P,A28,Calc!$H:$H,A49,Calc!$L:$L,A30,Calc!$N:$N,E37,Calc!$F:$F,F49)</f>
        <v>0</v>
      </c>
      <c r="K37" s="137" t="s">
        <v>80</v>
      </c>
      <c r="L37" s="137"/>
      <c r="M37" s="137"/>
      <c r="N37" s="137"/>
      <c r="O37" s="37" t="s">
        <v>83</v>
      </c>
      <c r="P37" s="37">
        <f>COUNTIFS(Calc!$P:$P,K28,Calc!$H:$H,K49,Calc!$L:$L,K30,Calc!$N:$N,O37)</f>
        <v>0</v>
      </c>
      <c r="Q37" s="38" t="e">
        <f>P37/SUM(P31:P38)</f>
        <v>#DIV/0!</v>
      </c>
      <c r="R37" s="37">
        <f>COUNTIFS(Calc!$P:$P,K28,Calc!$H:$H,K49,Calc!$L:$L,K30,Calc!$N:$N,O37,Calc!$F:$F,P30)</f>
        <v>0</v>
      </c>
      <c r="S37" s="37">
        <f>COUNTIFS(Calc!$P:$P,K28,Calc!$H:$H,K49,Calc!$L:$L,K30,Calc!$N:$N,O37,Calc!$F:$F,P49)</f>
        <v>0</v>
      </c>
    </row>
    <row r="38" spans="1:19" x14ac:dyDescent="0.45">
      <c r="A38" s="132">
        <f>COUNTIFS(Calc!$P:$P,A28,Calc!$H:$H,A49,Calc!$L:$L,A30,Calc!$O:$O,"オーバーミス")</f>
        <v>0</v>
      </c>
      <c r="B38" s="132"/>
      <c r="C38" s="132"/>
      <c r="D38" s="132"/>
      <c r="E38" s="37" t="s">
        <v>108</v>
      </c>
      <c r="F38" s="37">
        <f>COUNTIFS(Calc!$P:$P,A28,Calc!$H:$H,A49,Calc!$L:$L,A30,Calc!$N:$N,E38)</f>
        <v>0</v>
      </c>
      <c r="G38" s="38" t="e">
        <f>F38/SUM(F31:F38)</f>
        <v>#DIV/0!</v>
      </c>
      <c r="H38" s="37">
        <f>COUNTIFS(Calc!$P:$P,A28,Calc!$H:$H,A49,Calc!$L:$L,A30,Calc!$N:$N,E38,Calc!$F:$F,F30)</f>
        <v>0</v>
      </c>
      <c r="I38" s="37">
        <f>COUNTIFS(Calc!$P:$P,A28,Calc!$H:$H,A49,Calc!$L:$L,A30,Calc!$N:$N,E38,Calc!$F:$F,F49)</f>
        <v>0</v>
      </c>
      <c r="K38" s="132">
        <f>COUNTIFS(Calc!$P:$P,K28,Calc!$H:$H,K49,Calc!$L:$L,K30,Calc!$O:$O,"オーバーミス")</f>
        <v>0</v>
      </c>
      <c r="L38" s="132"/>
      <c r="M38" s="132"/>
      <c r="N38" s="132"/>
      <c r="O38" s="37" t="s">
        <v>107</v>
      </c>
      <c r="P38" s="37">
        <f>COUNTIFS(Calc!$P:$P,K28,Calc!$H:$H,K49,Calc!$L:$L,K30,Calc!$N:$N,O38)</f>
        <v>0</v>
      </c>
      <c r="Q38" s="38" t="e">
        <f>P38/SUM(P31:P38)</f>
        <v>#DIV/0!</v>
      </c>
      <c r="R38" s="37">
        <f>COUNTIFS(Calc!$P:$P,K28,Calc!$H:$H,K49,Calc!$L:$L,K30,Calc!$N:$N,O38,Calc!$F:$F,P30)</f>
        <v>0</v>
      </c>
      <c r="S38" s="37">
        <f>COUNTIFS(Calc!$P:$P,K28,Calc!$H:$H,K49,Calc!$L:$L,K30,Calc!$N:$N,O38,Calc!$F:$F,P49)</f>
        <v>0</v>
      </c>
    </row>
    <row r="39" spans="1:19" x14ac:dyDescent="0.45">
      <c r="A39" s="39"/>
      <c r="B39" s="39"/>
      <c r="C39" s="39"/>
      <c r="D39" s="39"/>
      <c r="E39" s="37"/>
      <c r="F39" s="37"/>
      <c r="G39" s="38"/>
      <c r="H39" s="37"/>
      <c r="I39" s="37"/>
      <c r="K39" s="42"/>
      <c r="L39" s="42"/>
      <c r="M39" s="42"/>
      <c r="N39" s="42"/>
      <c r="O39" s="40"/>
      <c r="P39" s="40"/>
      <c r="Q39" s="41"/>
      <c r="R39" s="40"/>
      <c r="S39" s="40"/>
    </row>
    <row r="40" spans="1:19" x14ac:dyDescent="0.45">
      <c r="A40" t="s">
        <v>140</v>
      </c>
      <c r="K40" t="s">
        <v>140</v>
      </c>
    </row>
    <row r="41" spans="1:19" x14ac:dyDescent="0.45">
      <c r="A41" s="135">
        <f>COUNTIFS(Calc!$P:$P,A28,Calc!$H:$H,A49,Calc!$L:$L,A30,Calc!$K:$K,IF(E30="R","F","B"))</f>
        <v>0</v>
      </c>
      <c r="B41" s="135">
        <f>COUNTIFS(Calc!$P:$P,A28,Calc!$H:$H,A49,Calc!$L:$L,A30,Calc!$K:$K,IF(E30="R","FM","BM"))</f>
        <v>0</v>
      </c>
      <c r="C41" s="135">
        <f>COUNTIFS(Calc!$P:$P,A28,Calc!$H:$H,A49,Calc!$L:$L,A30,Calc!$K:$K,IF(E30="R","BM","FM"))</f>
        <v>0</v>
      </c>
      <c r="D41" s="135">
        <f>COUNTIFS(Calc!$P:$P,A28,Calc!$H:$H,A49,Calc!$L:$L,A30,Calc!$K:$K,IF(E30="R","B","F"))</f>
        <v>0</v>
      </c>
      <c r="E41" s="40"/>
      <c r="F41" s="40"/>
      <c r="G41" s="41"/>
      <c r="H41" s="40"/>
      <c r="I41" s="40"/>
      <c r="K41" s="135">
        <f>COUNTIFS(Calc!$P:$P,K28,Calc!$H:$H,K49,Calc!$L:$L,K30,Calc!$K:$K,IF(O30="R","F","B"))</f>
        <v>0</v>
      </c>
      <c r="L41" s="135">
        <f>COUNTIFS(Calc!$P:$P,K28,Calc!$H:$H,K49,Calc!$L:$L,K30,Calc!$K:$K,IF(O30="R","FM","BM"))</f>
        <v>0</v>
      </c>
      <c r="M41" s="135">
        <f>COUNTIFS(Calc!$P:$P,K28,Calc!$H:$H,K49,Calc!$L:$L,K30,Calc!$K:$K,IF(O30="R","BM","FM"))</f>
        <v>0</v>
      </c>
      <c r="N41" s="135">
        <f>COUNTIFS(Calc!$P:$P,K28,Calc!$H:$H,K49,Calc!$L:$L,K30,Calc!$K:$K,IF(O30="R","B","F"))</f>
        <v>0</v>
      </c>
      <c r="O41" s="40"/>
      <c r="P41" s="40"/>
      <c r="Q41" s="41"/>
      <c r="R41" s="40"/>
      <c r="S41" s="40"/>
    </row>
    <row r="42" spans="1:19" x14ac:dyDescent="0.45">
      <c r="A42" s="136"/>
      <c r="B42" s="136"/>
      <c r="C42" s="136"/>
      <c r="D42" s="136"/>
      <c r="E42" s="40"/>
      <c r="F42" s="40"/>
      <c r="G42" s="41"/>
      <c r="H42" s="40"/>
      <c r="I42" s="40"/>
      <c r="K42" s="136"/>
      <c r="L42" s="136"/>
      <c r="M42" s="136"/>
      <c r="N42" s="136"/>
      <c r="O42" s="40"/>
      <c r="P42" s="40"/>
      <c r="Q42" s="41"/>
      <c r="R42" s="40"/>
      <c r="S42" s="40"/>
    </row>
    <row r="43" spans="1:19" x14ac:dyDescent="0.45">
      <c r="A43" s="135">
        <f>COUNTIFS(Calc!$P:$P,A28,Calc!$H:$H,A49,Calc!$L:$L,A30,Calc!$K:$K,IF(E30="R","FS","BS"))</f>
        <v>0</v>
      </c>
      <c r="B43" s="135">
        <f>COUNTIFS(Calc!$P:$P,A28,Calc!$H:$H,A49,Calc!$L:$L,A30,Calc!$K:$K,IF(E30="R","FMS","BMS"))</f>
        <v>0</v>
      </c>
      <c r="C43" s="135">
        <f>COUNTIFS(Calc!$P:$P,A28,Calc!$H:$H,A49,Calc!$L:$L,A30,Calc!$K:$K,IF(E30="R","BMS","FMS"))</f>
        <v>0</v>
      </c>
      <c r="D43" s="135">
        <f>COUNTIFS(Calc!$P:$P,A28,Calc!$H:$H,A49,Calc!$L:$L,A30,Calc!$K:$K,IF(E30="R","BS","FS"))</f>
        <v>0</v>
      </c>
      <c r="E43" s="40"/>
      <c r="F43" s="40"/>
      <c r="G43" s="41"/>
      <c r="H43" s="40"/>
      <c r="I43" s="40"/>
      <c r="K43" s="135">
        <f>COUNTIFS(Calc!$P:$P,K28,Calc!$H:$H,K49,Calc!$L:$L,K30,Calc!$K:$K,IF(O30="R","FS","BS"))</f>
        <v>0</v>
      </c>
      <c r="L43" s="135">
        <f>COUNTIFS(Calc!$P:$P,K28,Calc!$H:$H,K49,Calc!$L:$L,K30,Calc!$K:$K,IF(O30="R","FMS","BMS"))</f>
        <v>0</v>
      </c>
      <c r="M43" s="135">
        <f>COUNTIFS(Calc!$P:$P,K28,Calc!$H:$H,K49,Calc!$L:$L,K30,Calc!$K:$K,IF(O30="R","BMS","FMS"))</f>
        <v>0</v>
      </c>
      <c r="N43" s="135">
        <f>COUNTIFS(Calc!$P:$P,K28,Calc!$H:$H,K49,Calc!$L:$L,K30,Calc!$K:$K,IF(O30="R","BS","FS"))</f>
        <v>0</v>
      </c>
      <c r="O43" s="40"/>
      <c r="P43" s="40"/>
      <c r="Q43" s="41"/>
      <c r="R43" s="40"/>
      <c r="S43" s="40"/>
    </row>
    <row r="44" spans="1:19" ht="18.600000000000001" thickBot="1" x14ac:dyDescent="0.5">
      <c r="A44" s="171"/>
      <c r="B44" s="171"/>
      <c r="C44" s="171"/>
      <c r="D44" s="171"/>
      <c r="E44" s="40"/>
      <c r="F44" s="40"/>
      <c r="G44" s="41"/>
      <c r="H44" s="40"/>
      <c r="I44" s="40"/>
      <c r="K44" s="171"/>
      <c r="L44" s="171"/>
      <c r="M44" s="171"/>
      <c r="N44" s="171"/>
      <c r="O44" s="40"/>
      <c r="P44" s="40"/>
      <c r="Q44" s="41"/>
      <c r="R44" s="40"/>
      <c r="S44" s="40"/>
    </row>
    <row r="45" spans="1:19" ht="18.600000000000001" thickTop="1" x14ac:dyDescent="0.45">
      <c r="A45" s="172">
        <f>COUNTIFS(Calc!$P:$P,A28,Calc!$H:$H,A49,Calc!$L:$L,A30,Calc!$J:$J,IF(E49="R","B","F"))</f>
        <v>0</v>
      </c>
      <c r="B45" s="173"/>
      <c r="C45" s="172">
        <f>COUNTIFS(Calc!$P:$P,A28,Calc!$H:$H,A49,Calc!$L:$L,A30,Calc!$J:$J,IF(E49="R","F","B"))</f>
        <v>0</v>
      </c>
      <c r="D45" s="173"/>
      <c r="E45" s="40"/>
      <c r="F45" s="40"/>
      <c r="G45" s="41"/>
      <c r="H45" s="40" t="s">
        <v>109</v>
      </c>
      <c r="I45" s="40" t="s">
        <v>110</v>
      </c>
      <c r="K45" s="172">
        <f>COUNTIFS(Calc!$P:$P,K28,Calc!$H:$H,K49,Calc!$L:$L,K30,Calc!$J:$J,IF(O49="R","B","F"))</f>
        <v>0</v>
      </c>
      <c r="L45" s="173"/>
      <c r="M45" s="172">
        <f>COUNTIFS(Calc!$P:$P,K28,Calc!$H:$H,K49,Calc!$L:$L,K30,Calc!$J:$J,IF(O49="R","F","B"))</f>
        <v>0</v>
      </c>
      <c r="N45" s="173"/>
      <c r="O45" s="40"/>
      <c r="P45" s="40"/>
      <c r="Q45" s="41"/>
      <c r="R45" s="40" t="s">
        <v>177</v>
      </c>
      <c r="S45" s="40" t="s">
        <v>178</v>
      </c>
    </row>
    <row r="46" spans="1:19" x14ac:dyDescent="0.45">
      <c r="A46" s="174"/>
      <c r="B46" s="175"/>
      <c r="C46" s="174"/>
      <c r="D46" s="175"/>
      <c r="E46" s="40" t="s">
        <v>111</v>
      </c>
      <c r="F46" s="40">
        <f>COUNTIFS(Calc!$P:$P,A28,Calc!$H:$H,A49,Calc!$L:$L,A30,Calc!$I:$I,E46)</f>
        <v>0</v>
      </c>
      <c r="G46" s="41" t="e">
        <f>F46/SUM(F46:F48)</f>
        <v>#DIV/0!</v>
      </c>
      <c r="H46" s="40">
        <f>COUNTIFS(Calc!$P:$P,A28,Calc!$H:$H,A49,Calc!$L:$L,A30,Calc!$I:$I,E46,Calc!$F:$F,F49)</f>
        <v>0</v>
      </c>
      <c r="I46" s="40">
        <f>COUNTIFS(Calc!$P:$P,A28,Calc!$H:$H,A49,Calc!$L:$L,A30,Calc!$I:$I,E46,Calc!$F:$F,F30)</f>
        <v>0</v>
      </c>
      <c r="K46" s="174"/>
      <c r="L46" s="175"/>
      <c r="M46" s="174"/>
      <c r="N46" s="175"/>
      <c r="O46" s="40" t="s">
        <v>174</v>
      </c>
      <c r="P46" s="40">
        <f>COUNTIFS(Calc!$P:$P,K28,Calc!$H:$H,K49,Calc!$L:$L,K30,Calc!$I:$I,O46)</f>
        <v>0</v>
      </c>
      <c r="Q46" s="41" t="e">
        <f>P46/SUM(P46:P48)</f>
        <v>#DIV/0!</v>
      </c>
      <c r="R46" s="40">
        <f>COUNTIFS(Calc!$P:$P,K28,Calc!$H:$H,K49,Calc!$L:$L,K30,Calc!$I:$I,O46,Calc!$F:$F,P49)</f>
        <v>0</v>
      </c>
      <c r="S46" s="40">
        <f>COUNTIFS(Calc!$P:$P,K28,Calc!$H:$H,K49,Calc!$L:$L,K30,Calc!$I:$I,O46,Calc!$F:$F,P30)</f>
        <v>0</v>
      </c>
    </row>
    <row r="47" spans="1:19" x14ac:dyDescent="0.45">
      <c r="A47" s="174"/>
      <c r="B47" s="175"/>
      <c r="C47" s="174"/>
      <c r="D47" s="175"/>
      <c r="E47" s="40" t="s">
        <v>112</v>
      </c>
      <c r="F47" s="40">
        <f>COUNTIFS(Calc!$P:$P,A28,Calc!$H:$H,A49,Calc!$L:$L,A30,Calc!$I:$I,E47)</f>
        <v>0</v>
      </c>
      <c r="G47" s="41" t="e">
        <f>F47/SUM(F46:F48)</f>
        <v>#DIV/0!</v>
      </c>
      <c r="H47" s="40">
        <f>COUNTIFS(Calc!$P:$P,A28,Calc!$H:$H,A49,Calc!$L:$L,A30,Calc!$I:$I,E47,Calc!$F:$F,F49)</f>
        <v>0</v>
      </c>
      <c r="I47" s="40">
        <f>COUNTIFS(Calc!$P:$P,A28,Calc!$H:$H,A49,Calc!$L:$L,A30,Calc!$I:$I,E47,Calc!$F:$F,F30)</f>
        <v>0</v>
      </c>
      <c r="K47" s="174"/>
      <c r="L47" s="175"/>
      <c r="M47" s="174"/>
      <c r="N47" s="175"/>
      <c r="O47" s="40" t="s">
        <v>63</v>
      </c>
      <c r="P47" s="40">
        <f>COUNTIFS(Calc!$P:$P,K28,Calc!$H:$H,K49,Calc!$L:$L,K30,Calc!$I:$I,O47)</f>
        <v>0</v>
      </c>
      <c r="Q47" s="41" t="e">
        <f>P47/SUM(P46:P48)</f>
        <v>#DIV/0!</v>
      </c>
      <c r="R47" s="40">
        <f>COUNTIFS(Calc!$P:$P,K28,Calc!$H:$H,K49,Calc!$L:$L,K30,Calc!$I:$I,O47,Calc!$F:$F,P49)</f>
        <v>0</v>
      </c>
      <c r="S47" s="40">
        <f>COUNTIFS(Calc!$P:$P,K28,Calc!$H:$H,K49,Calc!$L:$L,K30,Calc!$I:$I,O47,Calc!$F:$F,P30)</f>
        <v>0</v>
      </c>
    </row>
    <row r="48" spans="1:19" x14ac:dyDescent="0.45">
      <c r="A48" s="176"/>
      <c r="B48" s="177"/>
      <c r="C48" s="176"/>
      <c r="D48" s="177"/>
      <c r="E48" s="40" t="s">
        <v>113</v>
      </c>
      <c r="F48" s="40">
        <f>COUNTIFS(Calc!$P:$P,A28,Calc!$H:$H,A49,Calc!$L:$L,A30,Calc!$I:$I,E48)</f>
        <v>0</v>
      </c>
      <c r="G48" s="41" t="e">
        <f>F48/SUM(F46:F48)</f>
        <v>#DIV/0!</v>
      </c>
      <c r="H48" s="40">
        <f>COUNTIFS(Calc!$P:$P,A28,Calc!$H:$H,A49,Calc!$L:$L,A30,Calc!$I:$I,E48,Calc!$F:$F,F49)</f>
        <v>0</v>
      </c>
      <c r="I48" s="40">
        <f>COUNTIFS(Calc!$P:$P,A28,Calc!$H:$H,A49,Calc!$L:$L,A30,Calc!$I:$I,E48,Calc!$F:$F,F30)</f>
        <v>0</v>
      </c>
      <c r="K48" s="176"/>
      <c r="L48" s="177"/>
      <c r="M48" s="176"/>
      <c r="N48" s="177"/>
      <c r="O48" s="40" t="s">
        <v>61</v>
      </c>
      <c r="P48" s="40">
        <f>COUNTIFS(Calc!$P:$P,K28,Calc!$H:$H,K49,Calc!$L:$L,K30,Calc!$I:$I,O48)</f>
        <v>0</v>
      </c>
      <c r="Q48" s="41" t="e">
        <f>P48/SUM(P46:P48)</f>
        <v>#DIV/0!</v>
      </c>
      <c r="R48" s="40">
        <f>COUNTIFS(Calc!$P:$P,K28,Calc!$H:$H,K49,Calc!$L:$L,K30,Calc!$I:$I,O48,Calc!$F:$F,P49)</f>
        <v>0</v>
      </c>
      <c r="S48" s="40">
        <f>COUNTIFS(Calc!$P:$P,K28,Calc!$H:$H,K49,Calc!$L:$L,K30,Calc!$I:$I,O48,Calc!$F:$F,P30)</f>
        <v>0</v>
      </c>
    </row>
    <row r="49" spans="1:19" x14ac:dyDescent="0.45">
      <c r="A49" s="155" t="str">
        <f>Main!$D$14</f>
        <v/>
      </c>
      <c r="B49" s="155"/>
      <c r="C49" s="155"/>
      <c r="D49" s="155"/>
      <c r="E49" s="45" t="str">
        <f>Main!$F$14</f>
        <v/>
      </c>
      <c r="F49" s="45" t="str">
        <f>Main!$B$12</f>
        <v>Mallets</v>
      </c>
      <c r="G49" s="45" t="str">
        <f>Main!$F$12</f>
        <v>R</v>
      </c>
      <c r="H49" s="113"/>
      <c r="I49" s="113"/>
      <c r="J49" s="113"/>
      <c r="K49" s="155" t="str">
        <f>Main!$D$12</f>
        <v>NAMBA Yurika</v>
      </c>
      <c r="L49" s="155"/>
      <c r="M49" s="155"/>
      <c r="N49" s="155"/>
      <c r="O49" s="36" t="str">
        <f>Main!$F$12</f>
        <v>R</v>
      </c>
      <c r="P49" s="36" t="str">
        <f>Main!$B$12</f>
        <v>Mallets</v>
      </c>
      <c r="Q49" s="36" t="str">
        <f>Main!$F$14</f>
        <v/>
      </c>
      <c r="R49" s="112"/>
      <c r="S49" s="112"/>
    </row>
    <row r="52" spans="1:19" x14ac:dyDescent="0.45">
      <c r="A52" s="111">
        <v>1</v>
      </c>
      <c r="K52" s="111">
        <v>1</v>
      </c>
    </row>
    <row r="53" spans="1:19" x14ac:dyDescent="0.45">
      <c r="A53" t="s">
        <v>139</v>
      </c>
      <c r="K53" t="s">
        <v>139</v>
      </c>
    </row>
    <row r="54" spans="1:19" x14ac:dyDescent="0.45">
      <c r="A54" s="140" t="str">
        <f>Main!$D$12</f>
        <v>NAMBA Yurika</v>
      </c>
      <c r="B54" s="141"/>
      <c r="C54" s="141"/>
      <c r="D54" s="141"/>
      <c r="E54" s="36" t="str">
        <f>Main!$F$12</f>
        <v>R</v>
      </c>
      <c r="F54" s="36" t="str">
        <f>Main!$B$12</f>
        <v>Mallets</v>
      </c>
      <c r="G54" s="36" t="str">
        <f>Main!$F$14</f>
        <v/>
      </c>
      <c r="H54" s="40" t="s">
        <v>109</v>
      </c>
      <c r="I54" s="40" t="s">
        <v>110</v>
      </c>
      <c r="K54" s="140" t="str">
        <f>Main!$D$14</f>
        <v/>
      </c>
      <c r="L54" s="141"/>
      <c r="M54" s="141"/>
      <c r="N54" s="141"/>
      <c r="O54" s="36" t="str">
        <f>Main!$F$14</f>
        <v/>
      </c>
      <c r="P54" s="36" t="str">
        <f>Main!$B$12</f>
        <v>Mallets</v>
      </c>
      <c r="Q54" s="44" t="str">
        <f>Main!$F$12</f>
        <v>R</v>
      </c>
      <c r="R54" s="40" t="s">
        <v>109</v>
      </c>
      <c r="S54" s="40" t="s">
        <v>110</v>
      </c>
    </row>
    <row r="55" spans="1:19" ht="18.600000000000001" thickBot="1" x14ac:dyDescent="0.5">
      <c r="A55" s="144" t="s">
        <v>81</v>
      </c>
      <c r="B55" s="145"/>
      <c r="C55" s="145"/>
      <c r="D55" s="83">
        <f>COUNTIFS(Calc!$P:$P,A52,Calc!$H:$H,A73,Calc!$L:$L,A54,Calc!$O:$O,"ネット")</f>
        <v>0</v>
      </c>
      <c r="E55" s="40" t="s">
        <v>14</v>
      </c>
      <c r="F55" s="40">
        <f>COUNTIFS(Calc!$P:$P,A52,Calc!$H:$H,A73,Calc!$L:$L,A54,Calc!$N:$N,E55)</f>
        <v>0</v>
      </c>
      <c r="G55" s="41" t="e">
        <f>F55/SUM(F55:F62)</f>
        <v>#DIV/0!</v>
      </c>
      <c r="H55" s="40">
        <f>COUNTIFS(Calc!$P:$P,A52,Calc!$H:$H,A73,Calc!$L:$L,A54,Calc!$N:$N,E55,Calc!$F:$F,F54)</f>
        <v>0</v>
      </c>
      <c r="I55" s="40">
        <f>COUNTIFS(Calc!$P:$P,A52,Calc!$H:$H,A73,Calc!$L:$L,A54,Calc!$N:$N,E55,Calc!$F:$F,F73)</f>
        <v>0</v>
      </c>
      <c r="K55" s="144" t="s">
        <v>81</v>
      </c>
      <c r="L55" s="145"/>
      <c r="M55" s="145"/>
      <c r="N55" s="83">
        <f>COUNTIFS(Calc!$P:$P,K52,Calc!$H:$H,K73,Calc!$L:$L,K54,Calc!$O:$O,"ネット")</f>
        <v>0</v>
      </c>
      <c r="O55" s="40" t="s">
        <v>14</v>
      </c>
      <c r="P55" s="40">
        <f>COUNTIFS(Calc!$P:$P,K52,Calc!$H:$H,K73,Calc!$L:$L,K54,Calc!$N:$N,O55)</f>
        <v>0</v>
      </c>
      <c r="Q55" s="41" t="e">
        <f>P55/SUM(P55:P62)</f>
        <v>#DIV/0!</v>
      </c>
      <c r="R55" s="40">
        <f>COUNTIFS(Calc!$P:$P,K52,Calc!$H:$H,K73,Calc!$L:$L,K54,Calc!$N:$N,O55,Calc!$F:$F,P54)</f>
        <v>0</v>
      </c>
      <c r="S55" s="40">
        <f>COUNTIFS(Calc!$P:$P,K52,Calc!$H:$H,K73,Calc!$L:$L,K54,Calc!$N:$N,O55,Calc!$F:$F,P73)</f>
        <v>0</v>
      </c>
    </row>
    <row r="56" spans="1:19" ht="18.600000000000001" thickTop="1" x14ac:dyDescent="0.45">
      <c r="A56" s="148" t="s">
        <v>176</v>
      </c>
      <c r="B56" s="149"/>
      <c r="C56" s="149"/>
      <c r="D56" s="110">
        <f>COUNTIFS(Calc!$P:$P,A52,Calc!$H:$H,A73,Calc!$L:$L,A54,Calc!$O:$O,"ネットイン")</f>
        <v>0</v>
      </c>
      <c r="E56" s="40" t="s">
        <v>15</v>
      </c>
      <c r="F56" s="40">
        <f>COUNTIFS(Calc!$P:$P,A52,Calc!$H:$H,A73,Calc!$L:$L,A54,Calc!$N:$N,E56)</f>
        <v>0</v>
      </c>
      <c r="G56" s="41" t="e">
        <f>F56/SUM(F55:F62)</f>
        <v>#DIV/0!</v>
      </c>
      <c r="H56" s="40">
        <f>COUNTIFS(Calc!$P:$P,A52,Calc!$H:$H,A73,Calc!$L:$L,A54,Calc!$N:$N,E56,Calc!$F:$F,F54)</f>
        <v>0</v>
      </c>
      <c r="I56" s="40">
        <f>COUNTIFS(Calc!$P:$P,A52,Calc!$H:$H,A73,Calc!$L:$L,A54,Calc!$N:$N,E56,Calc!$F:$F,F73)</f>
        <v>0</v>
      </c>
      <c r="K56" s="148" t="s">
        <v>176</v>
      </c>
      <c r="L56" s="149"/>
      <c r="M56" s="149"/>
      <c r="N56" s="110">
        <f>COUNTIFS(Calc!$P:$P,K52,Calc!$H:$H,K73,Calc!$L:$L,K54,Calc!$O:$O,"ネットイン")</f>
        <v>0</v>
      </c>
      <c r="O56" s="40" t="s">
        <v>15</v>
      </c>
      <c r="P56" s="40">
        <f>COUNTIFS(Calc!$P:$P,K52,Calc!$H:$H,K73,Calc!$L:$L,K54,Calc!$N:$N,O56)</f>
        <v>0</v>
      </c>
      <c r="Q56" s="41" t="e">
        <f>P56/SUM(P55:P62)</f>
        <v>#DIV/0!</v>
      </c>
      <c r="R56" s="40">
        <f>COUNTIFS(Calc!$P:$P,K52,Calc!$H:$H,K73,Calc!$L:$L,K54,Calc!$N:$N,O56,Calc!$F:$F,P54)</f>
        <v>0</v>
      </c>
      <c r="S56" s="40">
        <f>COUNTIFS(Calc!$P:$P,K52,Calc!$H:$H,K73,Calc!$L:$L,K54,Calc!$N:$N,O56,Calc!$F:$F,P73)</f>
        <v>0</v>
      </c>
    </row>
    <row r="57" spans="1:19" x14ac:dyDescent="0.45">
      <c r="A57" s="150">
        <f>COUNTIFS(Calc!$P:$P,A52,Calc!$H:$H,A73,Calc!$L:$L,A54,Calc!$O:$O,IF(G73="R","BS","FS"))</f>
        <v>0</v>
      </c>
      <c r="B57" s="150">
        <f>COUNTIFS(Calc!$P:$P,A52,Calc!$H:$H,A73,Calc!$L:$L,A54,Calc!$O:$O,IF(G73="R","BMS","FMS"))</f>
        <v>0</v>
      </c>
      <c r="C57" s="150">
        <f>COUNTIFS(Calc!$P:$P,A52,Calc!$H:$H,A73,Calc!$L:$L,A54,Calc!$O:$O,IF(G73="R","FMS","BMS"))</f>
        <v>0</v>
      </c>
      <c r="D57" s="150">
        <f>COUNTIFS(Calc!$P:$P,A52,Calc!$H:$H,A73,Calc!$L:$L,A54,Calc!$O:$O,IF(G73="R","FS","BS"))</f>
        <v>0</v>
      </c>
      <c r="E57" s="40" t="s">
        <v>17</v>
      </c>
      <c r="F57" s="40">
        <f>COUNTIFS(Calc!$P:$P,A52,Calc!$H:$H,A73,Calc!$L:$L,A54,Calc!$N:$N,E57)</f>
        <v>0</v>
      </c>
      <c r="G57" s="41" t="e">
        <f>F57/SUM(F55:F62)</f>
        <v>#DIV/0!</v>
      </c>
      <c r="H57" s="40">
        <f>COUNTIFS(Calc!$P:$P,A52,Calc!$H:$H,A73,Calc!$L:$L,A54,Calc!$N:$N,E57,Calc!$F:$F,F54)</f>
        <v>0</v>
      </c>
      <c r="I57" s="40">
        <f>COUNTIFS(Calc!$P:$P,A52,Calc!$H:$H,A73,Calc!$L:$L,A54,Calc!$N:$N,E57,Calc!$F:$F,F73)</f>
        <v>0</v>
      </c>
      <c r="K57" s="150">
        <f>COUNTIFS(Calc!$P:$P,K52,Calc!$H:$H,K73,Calc!$L:$L,K54,Calc!$O:$O,IF(Q73="R","BS","FS"))</f>
        <v>0</v>
      </c>
      <c r="L57" s="150">
        <f>COUNTIFS(Calc!$P:$P,K52,Calc!$H:$H,K73,Calc!$L:$L,K54,Calc!$O:$O,IF(Q73="R","BMS","FMS"))</f>
        <v>0</v>
      </c>
      <c r="M57" s="150">
        <f>COUNTIFS(Calc!$P:$P,K52,Calc!$H:$H,K73,Calc!$L:$L,K54,Calc!$O:$O,IF(Q73="R","FMS","BMS"))</f>
        <v>0</v>
      </c>
      <c r="N57" s="150">
        <f>COUNTIFS(Calc!$P:$P,K52,Calc!$H:$H,K73,Calc!$L:$L,K54,Calc!$O:$O,IF(Q73="R","FS","BS"))</f>
        <v>0</v>
      </c>
      <c r="O57" s="40" t="s">
        <v>17</v>
      </c>
      <c r="P57" s="40">
        <f>COUNTIFS(Calc!$P:$P,K52,Calc!$H:$H,K73,Calc!$L:$L,K54,Calc!$N:$N,O57)</f>
        <v>0</v>
      </c>
      <c r="Q57" s="41" t="e">
        <f>P57/SUM(P55:P62)</f>
        <v>#DIV/0!</v>
      </c>
      <c r="R57" s="40">
        <f>COUNTIFS(Calc!$P:$P,K52,Calc!$H:$H,K73,Calc!$L:$L,K54,Calc!$N:$N,O57,Calc!$F:$F,P54)</f>
        <v>0</v>
      </c>
      <c r="S57" s="40">
        <f>COUNTIFS(Calc!$P:$P,K52,Calc!$H:$H,K73,Calc!$L:$L,K54,Calc!$N:$N,O57,Calc!$F:$F,P73)</f>
        <v>0</v>
      </c>
    </row>
    <row r="58" spans="1:19" x14ac:dyDescent="0.45">
      <c r="A58" s="136"/>
      <c r="B58" s="136"/>
      <c r="C58" s="136"/>
      <c r="D58" s="136"/>
      <c r="E58" s="40" t="s">
        <v>16</v>
      </c>
      <c r="F58" s="40">
        <f>COUNTIFS(Calc!$P:$P,A52,Calc!$H:$H,A73,Calc!$L:$L,A54,Calc!$N:$N,E58)</f>
        <v>0</v>
      </c>
      <c r="G58" s="41" t="e">
        <f>F58/SUM(F55:F62)</f>
        <v>#DIV/0!</v>
      </c>
      <c r="H58" s="40">
        <f>COUNTIFS(Calc!$P:$P,A52,Calc!$H:$H,A73,Calc!$L:$L,A54,Calc!$N:$N,E58,Calc!$F:$F,F54)</f>
        <v>0</v>
      </c>
      <c r="I58" s="40">
        <f>COUNTIFS(Calc!$P:$P,A52,Calc!$H:$H,A73,Calc!$L:$L,A54,Calc!$N:$N,E58,Calc!$F:$F,F73)</f>
        <v>0</v>
      </c>
      <c r="K58" s="136"/>
      <c r="L58" s="136"/>
      <c r="M58" s="136"/>
      <c r="N58" s="136"/>
      <c r="O58" s="40" t="s">
        <v>16</v>
      </c>
      <c r="P58" s="40">
        <f>COUNTIFS(Calc!$P:$P,K52,Calc!$H:$H,K73,Calc!$L:$L,K54,Calc!$N:$N,O58)</f>
        <v>0</v>
      </c>
      <c r="Q58" s="41" t="e">
        <f>P58/SUM(P55:P62)</f>
        <v>#DIV/0!</v>
      </c>
      <c r="R58" s="40">
        <f>COUNTIFS(Calc!$P:$P,K52,Calc!$H:$H,K73,Calc!$L:$L,K54,Calc!$N:$N,O58,Calc!$F:$F,P54)</f>
        <v>0</v>
      </c>
      <c r="S58" s="40">
        <f>COUNTIFS(Calc!$P:$P,K52,Calc!$H:$H,K73,Calc!$L:$L,K54,Calc!$N:$N,O58,Calc!$F:$F,P73)</f>
        <v>0</v>
      </c>
    </row>
    <row r="59" spans="1:19" x14ac:dyDescent="0.45">
      <c r="A59" s="135">
        <f>COUNTIFS(Calc!$P:$P,A52,Calc!$H:$H,A73,Calc!$L:$L,A54,Calc!$O:$O,IF(G73="R","B","F"))</f>
        <v>0</v>
      </c>
      <c r="B59" s="135">
        <f>COUNTIFS(Calc!$P:$P,A52,Calc!$H:$H,A73,Calc!$L:$L,A54,Calc!$O:$O,IF(G73="R","BM","FM"))</f>
        <v>0</v>
      </c>
      <c r="C59" s="135">
        <f>COUNTIFS(Calc!$P:$P,A52,Calc!$H:$H,A73,Calc!$L:$L,A54,Calc!$O:$O,IF(G73="R","FM","BM"))</f>
        <v>0</v>
      </c>
      <c r="D59" s="135">
        <f>COUNTIFS(Calc!$P:$P,A52,Calc!$H:$H,A73,Calc!$L:$L,A54,Calc!$O:$O,IF(G73="R","F","B"))</f>
        <v>0</v>
      </c>
      <c r="E59" s="40" t="s">
        <v>103</v>
      </c>
      <c r="F59" s="40">
        <f>COUNTIFS(Calc!$P:$P,A52,Calc!$H:$H,A73,Calc!$L:$L,A54,Calc!$N:$N,E59)</f>
        <v>0</v>
      </c>
      <c r="G59" s="41" t="e">
        <f>F59/SUM(F55:F62)</f>
        <v>#DIV/0!</v>
      </c>
      <c r="H59" s="40">
        <f>COUNTIFS(Calc!$P:$P,A52,Calc!$H:$H,A73,Calc!$L:$L,A54,Calc!$N:$N,E59,Calc!$F:$F,F54)</f>
        <v>0</v>
      </c>
      <c r="I59" s="40">
        <f>COUNTIFS(Calc!$P:$P,A52,Calc!$H:$H,A73,Calc!$L:$L,A54,Calc!$N:$N,E59,Calc!$F:$F,F73)</f>
        <v>0</v>
      </c>
      <c r="K59" s="135">
        <f>COUNTIFS(Calc!$P:$P,K52,Calc!$H:$H,K73,Calc!$L:$L,K54,Calc!$O:$O,IF(Q73="R","B","F"))</f>
        <v>0</v>
      </c>
      <c r="L59" s="135">
        <f>COUNTIFS(Calc!$P:$P,K52,Calc!$H:$H,K73,Calc!$L:$L,K54,Calc!$O:$O,IF(Q73="R","BM","FM"))</f>
        <v>0</v>
      </c>
      <c r="M59" s="135">
        <f>COUNTIFS(Calc!$P:$P,K52,Calc!$H:$H,K73,Calc!$L:$L,K54,Calc!$O:$O,IF(Q73="R","FM","BM"))</f>
        <v>0</v>
      </c>
      <c r="N59" s="135">
        <f>COUNTIFS(Calc!$P:$P,K52,Calc!$H:$H,K73,Calc!$L:$L,K54,Calc!$O:$O,IF(Q73="R","F","B"))</f>
        <v>0</v>
      </c>
      <c r="O59" s="40" t="s">
        <v>103</v>
      </c>
      <c r="P59" s="40">
        <f>COUNTIFS(Calc!$P:$P,K52,Calc!$H:$H,K73,Calc!$L:$L,K54,Calc!$N:$N,O59)</f>
        <v>0</v>
      </c>
      <c r="Q59" s="41" t="e">
        <f>P59/SUM(P55:P62)</f>
        <v>#DIV/0!</v>
      </c>
      <c r="R59" s="40">
        <f>COUNTIFS(Calc!$P:$P,K52,Calc!$H:$H,K73,Calc!$L:$L,K54,Calc!$N:$N,O59,Calc!$F:$F,P54)</f>
        <v>0</v>
      </c>
      <c r="S59" s="40">
        <f>COUNTIFS(Calc!$P:$P,K52,Calc!$H:$H,K73,Calc!$L:$L,K54,Calc!$N:$N,O59,Calc!$F:$F,P73)</f>
        <v>0</v>
      </c>
    </row>
    <row r="60" spans="1:19" x14ac:dyDescent="0.45">
      <c r="A60" s="136"/>
      <c r="B60" s="136"/>
      <c r="C60" s="136"/>
      <c r="D60" s="136"/>
      <c r="E60" s="40" t="s">
        <v>82</v>
      </c>
      <c r="F60" s="40">
        <f>COUNTIFS(Calc!$P:$P,A52,Calc!$H:$H,A73,Calc!$L:$L,A54,Calc!$N:$N,E60)</f>
        <v>0</v>
      </c>
      <c r="G60" s="41" t="e">
        <f>F60/SUM(F55:F62)</f>
        <v>#DIV/0!</v>
      </c>
      <c r="H60" s="40">
        <f>COUNTIFS(Calc!$P:$P,A52,Calc!$H:$H,A73,Calc!$L:$L,A54,Calc!$N:$N,E60,Calc!$F:$F,F54)</f>
        <v>0</v>
      </c>
      <c r="I60" s="40">
        <f>COUNTIFS(Calc!$P:$P,A52,Calc!$H:$H,A73,Calc!$L:$L,A54,Calc!$N:$N,E60,Calc!$F:$F,F73)</f>
        <v>0</v>
      </c>
      <c r="K60" s="136"/>
      <c r="L60" s="136"/>
      <c r="M60" s="136"/>
      <c r="N60" s="136"/>
      <c r="O60" s="40" t="s">
        <v>82</v>
      </c>
      <c r="P60" s="40">
        <f>COUNTIFS(Calc!$P:$P,K52,Calc!$H:$H,K73,Calc!$L:$L,K54,Calc!$N:$N,O60)</f>
        <v>0</v>
      </c>
      <c r="Q60" s="41" t="e">
        <f>P60/SUM(P55:P62)</f>
        <v>#DIV/0!</v>
      </c>
      <c r="R60" s="40">
        <f>COUNTIFS(Calc!$P:$P,K52,Calc!$H:$H,K73,Calc!$L:$L,K54,Calc!$N:$N,O60,Calc!$F:$F,P54)</f>
        <v>0</v>
      </c>
      <c r="S60" s="40">
        <f>COUNTIFS(Calc!$P:$P,K52,Calc!$H:$H,K73,Calc!$L:$L,K54,Calc!$N:$N,O60,Calc!$F:$F,P73)</f>
        <v>0</v>
      </c>
    </row>
    <row r="61" spans="1:19" x14ac:dyDescent="0.45">
      <c r="A61" s="138" t="s">
        <v>80</v>
      </c>
      <c r="B61" s="138"/>
      <c r="C61" s="138"/>
      <c r="D61" s="138"/>
      <c r="E61" s="40" t="s">
        <v>83</v>
      </c>
      <c r="F61" s="40">
        <f>COUNTIFS(Calc!$P:$P,A52,Calc!$H:$H,A73,Calc!$L:$L,A54,Calc!$N:$N,E61)</f>
        <v>0</v>
      </c>
      <c r="G61" s="41" t="e">
        <f>F61/SUM(F55:F62)</f>
        <v>#DIV/0!</v>
      </c>
      <c r="H61" s="40">
        <f>COUNTIFS(Calc!$P:$P,A52,Calc!$H:$H,A73,Calc!$L:$L,A54,Calc!$N:$N,E61,Calc!$F:$F,F54)</f>
        <v>0</v>
      </c>
      <c r="I61" s="40">
        <f>COUNTIFS(Calc!$P:$P,A52,Calc!$H:$H,A73,Calc!$L:$L,A54,Calc!$N:$N,E61,Calc!$F:$F,F73)</f>
        <v>0</v>
      </c>
      <c r="K61" s="138" t="s">
        <v>80</v>
      </c>
      <c r="L61" s="138"/>
      <c r="M61" s="138"/>
      <c r="N61" s="138"/>
      <c r="O61" s="40" t="s">
        <v>83</v>
      </c>
      <c r="P61" s="40">
        <f>COUNTIFS(Calc!$P:$P,K52,Calc!$H:$H,K73,Calc!$L:$L,K54,Calc!$N:$N,O61)</f>
        <v>0</v>
      </c>
      <c r="Q61" s="41" t="e">
        <f>P61/SUM(P55:P62)</f>
        <v>#DIV/0!</v>
      </c>
      <c r="R61" s="40">
        <f>COUNTIFS(Calc!$P:$P,K52,Calc!$H:$H,K73,Calc!$L:$L,K54,Calc!$N:$N,O61,Calc!$F:$F,P54)</f>
        <v>0</v>
      </c>
      <c r="S61" s="40">
        <f>COUNTIFS(Calc!$P:$P,K52,Calc!$H:$H,K73,Calc!$L:$L,K54,Calc!$N:$N,O61,Calc!$F:$F,P73)</f>
        <v>0</v>
      </c>
    </row>
    <row r="62" spans="1:19" x14ac:dyDescent="0.45">
      <c r="A62" s="133">
        <f>COUNTIFS(Calc!$P:$P,A52,Calc!$H:$H,A73,Calc!$L:$L,A54,Calc!$O:$O,"オーバーミス")</f>
        <v>0</v>
      </c>
      <c r="B62" s="133"/>
      <c r="C62" s="133"/>
      <c r="D62" s="133"/>
      <c r="E62" s="40" t="s">
        <v>107</v>
      </c>
      <c r="F62" s="40">
        <f>COUNTIFS(Calc!$P:$P,A52,Calc!$H:$H,A73,Calc!$L:$L,A54,Calc!$N:$N,E62)</f>
        <v>0</v>
      </c>
      <c r="G62" s="41" t="e">
        <f>F62/SUM(F55:F62)</f>
        <v>#DIV/0!</v>
      </c>
      <c r="H62" s="40">
        <f>COUNTIFS(Calc!$P:$P,A52,Calc!$H:$H,A73,Calc!$L:$L,A54,Calc!$N:$N,E62,Calc!$F:$F,F54)</f>
        <v>0</v>
      </c>
      <c r="I62" s="40">
        <f>COUNTIFS(Calc!$P:$P,A52,Calc!$H:$H,A73,Calc!$L:$L,A54,Calc!$N:$N,E62,Calc!$F:$F,F73)</f>
        <v>0</v>
      </c>
      <c r="K62" s="133">
        <f>COUNTIFS(Calc!$P:$P,K52,Calc!$H:$H,K73,Calc!$L:$L,K54,Calc!$O:$O,"オーバーミス")</f>
        <v>0</v>
      </c>
      <c r="L62" s="133"/>
      <c r="M62" s="133"/>
      <c r="N62" s="133"/>
      <c r="O62" s="40" t="s">
        <v>107</v>
      </c>
      <c r="P62" s="40">
        <f>COUNTIFS(Calc!$P:$P,K52,Calc!$H:$H,K73,Calc!$L:$L,K54,Calc!$N:$N,O62)</f>
        <v>0</v>
      </c>
      <c r="Q62" s="41" t="e">
        <f>P62/SUM(P55:P62)</f>
        <v>#DIV/0!</v>
      </c>
      <c r="R62" s="40">
        <f>COUNTIFS(Calc!$P:$P,K52,Calc!$H:$H,K73,Calc!$L:$L,K54,Calc!$N:$N,O62,Calc!$F:$F,P54)</f>
        <v>0</v>
      </c>
      <c r="S62" s="40">
        <f>COUNTIFS(Calc!$P:$P,K52,Calc!$H:$H,K73,Calc!$L:$L,K54,Calc!$N:$N,O62,Calc!$F:$F,P73)</f>
        <v>0</v>
      </c>
    </row>
    <row r="63" spans="1:19" x14ac:dyDescent="0.45">
      <c r="A63" s="103"/>
      <c r="B63" s="103"/>
      <c r="C63" s="103"/>
      <c r="D63" s="103"/>
      <c r="E63" s="37"/>
      <c r="F63" s="37"/>
      <c r="G63" s="38"/>
      <c r="H63" s="37"/>
      <c r="I63" s="37"/>
      <c r="K63" s="42"/>
      <c r="L63" s="42"/>
      <c r="M63" s="42"/>
      <c r="N63" s="42"/>
      <c r="O63" s="40"/>
      <c r="P63" s="40"/>
      <c r="Q63" s="41"/>
      <c r="R63" s="40"/>
      <c r="S63" s="40"/>
    </row>
    <row r="64" spans="1:19" x14ac:dyDescent="0.45">
      <c r="A64" t="s">
        <v>179</v>
      </c>
      <c r="K64" t="s">
        <v>179</v>
      </c>
    </row>
    <row r="65" spans="1:19" x14ac:dyDescent="0.45">
      <c r="A65" s="187">
        <f>COUNTIFS(Calc!$P:$P,A52,Calc!$H:$H,A73,Calc!$L:$L,A54,Calc!$K:$K,IF(E54="R","F","B"))</f>
        <v>0</v>
      </c>
      <c r="B65" s="187">
        <f>COUNTIFS(Calc!$P:$P,A52,Calc!$H:$H,A73,Calc!$L:$L,A54,Calc!$K:$K,IF(E54="R","FM","BM"))</f>
        <v>0</v>
      </c>
      <c r="C65" s="187">
        <f>COUNTIFS(Calc!$P:$P,A52,Calc!$H:$H,A73,Calc!$L:$L,A54,Calc!$K:$K,IF(E54="R","BM","FM"))</f>
        <v>0</v>
      </c>
      <c r="D65" s="187">
        <f>COUNTIFS(Calc!$P:$P,A52,Calc!$H:$H,A73,Calc!$L:$L,A54,Calc!$K:$K,IF(E54="R","B","F"))</f>
        <v>0</v>
      </c>
      <c r="E65" s="37"/>
      <c r="F65" s="37"/>
      <c r="G65" s="38"/>
      <c r="H65" s="37"/>
      <c r="I65" s="37"/>
      <c r="K65" s="134">
        <f>COUNTIFS(Calc!$P:$P,K52,Calc!$H:$H,K73,Calc!$L:$L,K54,Calc!$K:$K,IF(O54="R","F","B"))</f>
        <v>0</v>
      </c>
      <c r="L65" s="134">
        <f>COUNTIFS(Calc!$P:$P,K52,Calc!$H:$H,K73,Calc!$L:$L,K54,Calc!$K:$K,IF(O54="R","FM","BM"))</f>
        <v>0</v>
      </c>
      <c r="M65" s="134">
        <f>COUNTIFS(Calc!$P:$P,K52,Calc!$H:$H,K73,Calc!$L:$L,K54,Calc!$K:$K,IF(O54="R","BM","FM"))</f>
        <v>0</v>
      </c>
      <c r="N65" s="134">
        <f>COUNTIFS(Calc!$P:$P,K52,Calc!$H:$H,K73,Calc!$L:$L,K54,Calc!$K:$K,IF(O54="R","B","F"))</f>
        <v>0</v>
      </c>
      <c r="O65" s="37"/>
      <c r="P65" s="37"/>
      <c r="Q65" s="38"/>
      <c r="R65" s="37"/>
      <c r="S65" s="37"/>
    </row>
    <row r="66" spans="1:19" x14ac:dyDescent="0.45">
      <c r="A66" s="180"/>
      <c r="B66" s="180"/>
      <c r="C66" s="180"/>
      <c r="D66" s="180"/>
      <c r="E66" s="37"/>
      <c r="F66" s="37"/>
      <c r="G66" s="38"/>
      <c r="H66" s="37"/>
      <c r="I66" s="37"/>
      <c r="K66" s="134"/>
      <c r="L66" s="134"/>
      <c r="M66" s="134"/>
      <c r="N66" s="134"/>
      <c r="O66" s="37"/>
      <c r="P66" s="37"/>
      <c r="Q66" s="38"/>
      <c r="R66" s="37"/>
      <c r="S66" s="37"/>
    </row>
    <row r="67" spans="1:19" ht="18.600000000000001" thickBot="1" x14ac:dyDescent="0.5">
      <c r="A67" s="187">
        <f>COUNTIFS(Calc!$P:$P,A52,Calc!$H:$H,A73,Calc!$L:$L,A54,Calc!$K:$K,IF(E54="R","FS","BS"))</f>
        <v>0</v>
      </c>
      <c r="B67" s="187">
        <f>COUNTIFS(Calc!$P:$P,A52,Calc!$H:$H,A73,Calc!$L:$L,A54,Calc!$K:$K,IF(E54="R","FMS","BMS"))</f>
        <v>0</v>
      </c>
      <c r="C67" s="187">
        <f>COUNTIFS(Calc!$P:$P,A52,Calc!$H:$H,A73,Calc!$L:$L,A54,Calc!$K:$K,IF(E54="R","BMS","FMS"))</f>
        <v>0</v>
      </c>
      <c r="D67" s="187">
        <f>COUNTIFS(Calc!$P:$P,A52,Calc!$H:$H,A73,Calc!$L:$L,A54,Calc!$K:$K,IF(E54="R","BS","FS"))</f>
        <v>0</v>
      </c>
      <c r="E67" s="37"/>
      <c r="F67" s="37"/>
      <c r="G67" s="38"/>
      <c r="H67" s="37"/>
      <c r="I67" s="37"/>
      <c r="K67" s="159">
        <f>COUNTIFS(Calc!$P:$P,K52,Calc!$H:$H,K73,Calc!$L:$L,K54,Calc!$K:$K,IF(O54="R","FS","BS"))</f>
        <v>0</v>
      </c>
      <c r="L67" s="159">
        <f>COUNTIFS(Calc!$P:$P,K52,Calc!$H:$H,K73,Calc!$L:$L,K54,Calc!$K:$K,IF(O54="R","FMS","BMS"))</f>
        <v>0</v>
      </c>
      <c r="M67" s="159">
        <f>COUNTIFS(Calc!$P:$P,K52,Calc!$H:$H,K73,Calc!$L:$L,K54,Calc!$K:$K,IF(O54="R","BMS","FMS"))</f>
        <v>0</v>
      </c>
      <c r="N67" s="159">
        <f>COUNTIFS(Calc!$P:$P,K52,Calc!$H:$H,K73,Calc!$L:$L,K54,Calc!$K:$K,IF(O54="R","BS","FS"))</f>
        <v>0</v>
      </c>
      <c r="O67" s="37"/>
      <c r="P67" s="37"/>
      <c r="Q67" s="38"/>
      <c r="R67" s="37"/>
      <c r="S67" s="37"/>
    </row>
    <row r="68" spans="1:19" ht="19.2" thickTop="1" thickBot="1" x14ac:dyDescent="0.5">
      <c r="A68" s="188"/>
      <c r="B68" s="188"/>
      <c r="C68" s="188"/>
      <c r="D68" s="188"/>
      <c r="E68" s="37"/>
      <c r="F68" s="37"/>
      <c r="G68" s="38"/>
      <c r="H68" s="37"/>
      <c r="I68" s="37"/>
      <c r="K68" s="160"/>
      <c r="L68" s="160"/>
      <c r="M68" s="160"/>
      <c r="N68" s="160"/>
      <c r="O68" s="37"/>
      <c r="P68" s="37"/>
      <c r="Q68" s="38"/>
      <c r="R68" s="37"/>
      <c r="S68" s="37"/>
    </row>
    <row r="69" spans="1:19" ht="19.2" thickTop="1" thickBot="1" x14ac:dyDescent="0.5">
      <c r="A69" s="181">
        <f>COUNTIFS(Calc!$P:$P,A52,Calc!$H:$H,A73,Calc!$L:$L,A54,Calc!$J:$J,IF(E73="R","B","F"))</f>
        <v>0</v>
      </c>
      <c r="B69" s="182"/>
      <c r="C69" s="181">
        <f>COUNTIFS(Calc!$P:$P,A52,Calc!$H:$H,A73,Calc!$L:$L,A54,Calc!$J:$J,IF(E73="R","F","B"))</f>
        <v>0</v>
      </c>
      <c r="D69" s="182"/>
      <c r="E69" s="37"/>
      <c r="F69" s="37"/>
      <c r="G69" s="38"/>
      <c r="H69" s="37" t="s">
        <v>177</v>
      </c>
      <c r="I69" s="37" t="s">
        <v>178</v>
      </c>
      <c r="K69" s="160">
        <f>COUNTIFS(Calc!$P:$P,K52,Calc!$H:$H,K73,Calc!$L:$L,K54,Calc!$J:$J,IF(O73="R","B","F"))</f>
        <v>0</v>
      </c>
      <c r="L69" s="160"/>
      <c r="M69" s="160">
        <f>COUNTIFS(Calc!$P:$P,K52,Calc!$H:$H,K73,Calc!$L:$L,K54,Calc!$J:$J,IF(O73="R","F","B"))</f>
        <v>0</v>
      </c>
      <c r="N69" s="160"/>
      <c r="O69" s="37"/>
      <c r="P69" s="37"/>
      <c r="Q69" s="38"/>
      <c r="R69" s="37" t="s">
        <v>177</v>
      </c>
      <c r="S69" s="37" t="s">
        <v>178</v>
      </c>
    </row>
    <row r="70" spans="1:19" ht="19.2" thickTop="1" thickBot="1" x14ac:dyDescent="0.5">
      <c r="A70" s="183"/>
      <c r="B70" s="184"/>
      <c r="C70" s="183"/>
      <c r="D70" s="184"/>
      <c r="E70" s="37" t="s">
        <v>174</v>
      </c>
      <c r="F70" s="37">
        <f>COUNTIFS(Calc!$P:$P,A52,Calc!$H:$H,A73,Calc!$L:$L,A54,Calc!$I:$I,E70)</f>
        <v>0</v>
      </c>
      <c r="G70" s="38" t="e">
        <f>F70/SUM(F70:F72)</f>
        <v>#DIV/0!</v>
      </c>
      <c r="H70" s="37">
        <f>COUNTIFS(Calc!$P:$P,A52,Calc!$H:$H,A73,Calc!$L:$L,A54,Calc!$I:$I,E70,Calc!$F:$F,F73)</f>
        <v>0</v>
      </c>
      <c r="I70" s="37">
        <f>COUNTIFS(Calc!$P:$P,A52,Calc!$H:$H,A73,Calc!$L:$L,A54,Calc!$I:$I,E70,Calc!$F:$F,F54)</f>
        <v>0</v>
      </c>
      <c r="K70" s="160"/>
      <c r="L70" s="160"/>
      <c r="M70" s="160"/>
      <c r="N70" s="160"/>
      <c r="O70" s="37" t="s">
        <v>174</v>
      </c>
      <c r="P70" s="37">
        <f>COUNTIFS(Calc!$P:$P,K52,Calc!$H:$H,K73,Calc!$L:$L,K54,Calc!$I:$I,O70)</f>
        <v>0</v>
      </c>
      <c r="Q70" s="38" t="e">
        <f>P70/SUM(P70:P72)</f>
        <v>#DIV/0!</v>
      </c>
      <c r="R70" s="37">
        <f>COUNTIFS(Calc!$P:$P,K52,Calc!$H:$H,K73,Calc!$L:$L,K54,Calc!$I:$I,O70,Calc!$F:$F,P73)</f>
        <v>0</v>
      </c>
      <c r="S70" s="37">
        <f>COUNTIFS(Calc!$P:$P,K52,Calc!$H:$H,K73,Calc!$L:$L,K54,Calc!$I:$I,O70,Calc!$F:$F,P54)</f>
        <v>0</v>
      </c>
    </row>
    <row r="71" spans="1:19" ht="19.2" thickTop="1" thickBot="1" x14ac:dyDescent="0.5">
      <c r="A71" s="183"/>
      <c r="B71" s="184"/>
      <c r="C71" s="183"/>
      <c r="D71" s="184"/>
      <c r="E71" s="37" t="s">
        <v>63</v>
      </c>
      <c r="F71" s="37">
        <f>COUNTIFS(Calc!$P:$P,A52,Calc!$H:$H,A73,Calc!$L:$L,A54,Calc!$I:$I,E71)</f>
        <v>0</v>
      </c>
      <c r="G71" s="38" t="e">
        <f>F71/SUM(F70:F72)</f>
        <v>#DIV/0!</v>
      </c>
      <c r="H71" s="37">
        <f>COUNTIFS(Calc!$P:$P,A52,Calc!$H:$H,A73,Calc!$L:$L,A54,Calc!$I:$I,E71,Calc!$F:$F,F73)</f>
        <v>0</v>
      </c>
      <c r="I71" s="37">
        <f>COUNTIFS(Calc!$P:$P,A52,Calc!$H:$H,A73,Calc!$L:$L,A54,Calc!$I:$I,E71,Calc!$F:$F,F54)</f>
        <v>0</v>
      </c>
      <c r="K71" s="160"/>
      <c r="L71" s="160"/>
      <c r="M71" s="160"/>
      <c r="N71" s="160"/>
      <c r="O71" s="37" t="s">
        <v>63</v>
      </c>
      <c r="P71" s="37">
        <f>COUNTIFS(Calc!$P:$P,K52,Calc!$H:$H,K73,Calc!$L:$L,K54,Calc!$I:$I,O71)</f>
        <v>0</v>
      </c>
      <c r="Q71" s="38" t="e">
        <f>P71/SUM(P70:P72)</f>
        <v>#DIV/0!</v>
      </c>
      <c r="R71" s="37">
        <f>COUNTIFS(Calc!$P:$P,K52,Calc!$H:$H,K73,Calc!$L:$L,K54,Calc!$I:$I,O71,Calc!$F:$F,P73)</f>
        <v>0</v>
      </c>
      <c r="S71" s="37">
        <f>COUNTIFS(Calc!$P:$P,K52,Calc!$H:$H,K73,Calc!$L:$L,K54,Calc!$I:$I,O71,Calc!$F:$F,P54)</f>
        <v>0</v>
      </c>
    </row>
    <row r="72" spans="1:19" ht="18.600000000000001" thickTop="1" x14ac:dyDescent="0.45">
      <c r="A72" s="185"/>
      <c r="B72" s="186"/>
      <c r="C72" s="185"/>
      <c r="D72" s="186"/>
      <c r="E72" s="37" t="s">
        <v>61</v>
      </c>
      <c r="F72" s="37">
        <f>COUNTIFS(Calc!$P:$P,A52,Calc!$H:$H,A73,Calc!$L:$L,A54,Calc!$I:$I,E72)</f>
        <v>0</v>
      </c>
      <c r="G72" s="38" t="e">
        <f>F72/SUM(F70:F72)</f>
        <v>#DIV/0!</v>
      </c>
      <c r="H72" s="37">
        <f>COUNTIFS(Calc!$P:$P,A52,Calc!$H:$H,A73,Calc!$L:$L,A54,Calc!$I:$I,E72,Calc!$F:$F,F73)</f>
        <v>0</v>
      </c>
      <c r="I72" s="37">
        <f>COUNTIFS(Calc!$P:$P,A52,Calc!$H:$H,A73,Calc!$L:$L,A54,Calc!$I:$I,E72,Calc!$F:$F,F54)</f>
        <v>0</v>
      </c>
      <c r="K72" s="162"/>
      <c r="L72" s="162"/>
      <c r="M72" s="162"/>
      <c r="N72" s="162"/>
      <c r="O72" s="37" t="s">
        <v>61</v>
      </c>
      <c r="P72" s="37">
        <f>COUNTIFS(Calc!$P:$P,K52,Calc!$H:$H,K73,Calc!$L:$L,K54,Calc!$I:$I,O72)</f>
        <v>0</v>
      </c>
      <c r="Q72" s="38" t="e">
        <f>P72/SUM(P70:P72)</f>
        <v>#DIV/0!</v>
      </c>
      <c r="R72" s="37">
        <f>COUNTIFS(Calc!$P:$P,K52,Calc!$H:$H,K73,Calc!$L:$L,K54,Calc!$I:$I,O72,Calc!$F:$F,P73)</f>
        <v>0</v>
      </c>
      <c r="S72" s="37">
        <f>COUNTIFS(Calc!$P:$P,K52,Calc!$H:$H,K73,Calc!$L:$L,K54,Calc!$I:$I,O72,Calc!$F:$F,P54)</f>
        <v>0</v>
      </c>
    </row>
    <row r="73" spans="1:19" x14ac:dyDescent="0.45">
      <c r="A73" s="155" t="str">
        <f>Main!$D$8</f>
        <v>HIRANO Miu</v>
      </c>
      <c r="B73" s="155"/>
      <c r="C73" s="155"/>
      <c r="D73" s="155"/>
      <c r="E73" s="36" t="str">
        <f>Main!$F$8</f>
        <v>R</v>
      </c>
      <c r="F73" s="36" t="str">
        <f>Main!$B$8</f>
        <v>RedELF</v>
      </c>
      <c r="G73" s="45" t="str">
        <f>Main!$F$10</f>
        <v/>
      </c>
      <c r="H73" s="112"/>
      <c r="K73" s="155" t="str">
        <f>Main!$D$10</f>
        <v/>
      </c>
      <c r="L73" s="156"/>
      <c r="M73" s="156"/>
      <c r="N73" s="156"/>
      <c r="O73" s="36" t="str">
        <f>Main!$F$10</f>
        <v/>
      </c>
      <c r="P73" s="45" t="str">
        <f>Main!$B$8</f>
        <v>RedELF</v>
      </c>
      <c r="Q73" s="45" t="str">
        <f>Main!$F$8</f>
        <v>R</v>
      </c>
    </row>
    <row r="77" spans="1:19" x14ac:dyDescent="0.45">
      <c r="A77" s="139" t="s">
        <v>156</v>
      </c>
      <c r="B77" s="139"/>
      <c r="C77" s="139"/>
      <c r="D77" s="139"/>
      <c r="E77" s="139"/>
      <c r="F77" s="139"/>
      <c r="G77" s="139"/>
      <c r="H77" s="139"/>
      <c r="I77" s="139"/>
      <c r="J77" s="139"/>
      <c r="K77" s="139"/>
      <c r="L77" s="139"/>
      <c r="M77" s="139"/>
      <c r="N77" s="139"/>
      <c r="O77" s="139"/>
      <c r="P77" s="139"/>
      <c r="Q77" s="139"/>
      <c r="R77" s="139"/>
      <c r="S77" s="139"/>
    </row>
    <row r="78" spans="1:19" x14ac:dyDescent="0.45">
      <c r="A78" s="116">
        <v>2</v>
      </c>
      <c r="B78" s="114"/>
      <c r="C78" s="114"/>
      <c r="D78" s="114"/>
      <c r="E78" s="114"/>
      <c r="F78" s="114"/>
      <c r="G78" s="114"/>
      <c r="H78" s="114"/>
      <c r="I78" s="114"/>
      <c r="J78" s="114"/>
      <c r="K78" s="116">
        <v>2</v>
      </c>
      <c r="L78" s="114"/>
      <c r="M78" s="114"/>
      <c r="N78" s="114"/>
      <c r="O78" s="114"/>
      <c r="P78" s="114"/>
      <c r="Q78" s="114"/>
      <c r="R78" s="114"/>
      <c r="S78" s="114"/>
    </row>
    <row r="79" spans="1:19" x14ac:dyDescent="0.45">
      <c r="A79" t="s">
        <v>139</v>
      </c>
      <c r="K79" t="s">
        <v>139</v>
      </c>
    </row>
    <row r="80" spans="1:19" x14ac:dyDescent="0.45">
      <c r="A80" s="140" t="str">
        <f>Main!$D$8</f>
        <v>HIRANO Miu</v>
      </c>
      <c r="B80" s="141"/>
      <c r="C80" s="141"/>
      <c r="D80" s="141"/>
      <c r="E80" s="36" t="str">
        <f>Main!$F$8</f>
        <v>R</v>
      </c>
      <c r="F80" s="36" t="str">
        <f>Main!$B$8</f>
        <v>RedELF</v>
      </c>
      <c r="G80" s="44" t="str">
        <f>Main!$F$10</f>
        <v/>
      </c>
      <c r="H80" s="37" t="s">
        <v>109</v>
      </c>
      <c r="I80" s="37" t="s">
        <v>110</v>
      </c>
      <c r="K80" s="140" t="str">
        <f>Main!$D$10</f>
        <v/>
      </c>
      <c r="L80" s="141"/>
      <c r="M80" s="141"/>
      <c r="N80" s="141"/>
      <c r="O80" s="36" t="str">
        <f>Main!$F$10</f>
        <v/>
      </c>
      <c r="P80" s="36" t="str">
        <f>Main!$B$8</f>
        <v>RedELF</v>
      </c>
      <c r="Q80" s="36" t="str">
        <f>Main!$F$8</f>
        <v>R</v>
      </c>
      <c r="R80" s="37" t="s">
        <v>109</v>
      </c>
      <c r="S80" s="37" t="s">
        <v>110</v>
      </c>
    </row>
    <row r="81" spans="1:19" ht="18.600000000000001" thickBot="1" x14ac:dyDescent="0.5">
      <c r="A81" s="142" t="s">
        <v>81</v>
      </c>
      <c r="B81" s="143"/>
      <c r="C81" s="143"/>
      <c r="D81" s="82">
        <f>COUNTIFS(Calc!$P:$P,A78,Calc!$H:$H,A99,Calc!$L:$L,A80,Calc!$O:$O,"ネット")</f>
        <v>0</v>
      </c>
      <c r="E81" s="37" t="s">
        <v>14</v>
      </c>
      <c r="F81" s="37">
        <f>COUNTIFS(Calc!$P:$P,A78,Calc!$H:$H,A99,Calc!$L:$L,A80,Calc!$N:$N,E81)</f>
        <v>0</v>
      </c>
      <c r="G81" s="38" t="e">
        <f>F81/SUM(F81:F88)</f>
        <v>#DIV/0!</v>
      </c>
      <c r="H81" s="37">
        <f>COUNTIFS(Calc!$P:$P,A78,Calc!$H:$H,A99,Calc!$L:$L,A80,Calc!$N:$N,E81,Calc!$F:$F,F80)</f>
        <v>0</v>
      </c>
      <c r="I81" s="37">
        <f>COUNTIFS(Calc!$P:$P,A78,Calc!$H:$H,A99,Calc!$L:$L,A80,Calc!$N:$N,E81,Calc!$F:$F,F99)</f>
        <v>0</v>
      </c>
      <c r="K81" s="142" t="s">
        <v>81</v>
      </c>
      <c r="L81" s="143"/>
      <c r="M81" s="143"/>
      <c r="N81" s="82">
        <f>COUNTIFS(Calc!$P:$P,K78,Calc!$H:$H,K99,Calc!$L:$L,K80,Calc!$O:$O,"ネット")</f>
        <v>0</v>
      </c>
      <c r="O81" s="37" t="s">
        <v>14</v>
      </c>
      <c r="P81" s="37">
        <f>COUNTIFS(Calc!$P:$P,K78,Calc!$H:$H,K99,Calc!$L:$L,K80,Calc!$N:$N,O81)</f>
        <v>0</v>
      </c>
      <c r="Q81" s="38" t="e">
        <f>P81/SUM(P81:P88)</f>
        <v>#DIV/0!</v>
      </c>
      <c r="R81" s="37">
        <f>COUNTIFS(Calc!$P:$P,K78,Calc!$H:$H,K99,Calc!$L:$L,K80,Calc!$N:$N,O81,Calc!$F:$F,P80)</f>
        <v>0</v>
      </c>
      <c r="S81" s="37">
        <f>COUNTIFS(Calc!$P:$P,K78,Calc!$H:$H,K99,Calc!$L:$L,K80,Calc!$N:$N,O81,Calc!$F:$F,P99)</f>
        <v>0</v>
      </c>
    </row>
    <row r="82" spans="1:19" ht="18.600000000000001" thickTop="1" x14ac:dyDescent="0.45">
      <c r="A82" s="146" t="s">
        <v>176</v>
      </c>
      <c r="B82" s="147"/>
      <c r="C82" s="147"/>
      <c r="D82" s="109">
        <f>COUNTIFS(Calc!$P:$P,A78,Calc!$H:$H,A99,Calc!$L:$L,A80,Calc!$O:$O,"ネットイン")</f>
        <v>0</v>
      </c>
      <c r="E82" s="37" t="s">
        <v>15</v>
      </c>
      <c r="F82" s="37">
        <f>COUNTIFS(Calc!$P:$P,A78,Calc!$H:$H,A99,Calc!$L:$L,A80,Calc!$N:$N,E82)</f>
        <v>0</v>
      </c>
      <c r="G82" s="38" t="e">
        <f>F82/SUM(F81:F88)</f>
        <v>#DIV/0!</v>
      </c>
      <c r="H82" s="37">
        <f>COUNTIFS(Calc!$P:$P,A78,Calc!$H:$H,A99,Calc!$L:$L,A80,Calc!$N:$N,E82,Calc!$F:$F,F80)</f>
        <v>0</v>
      </c>
      <c r="I82" s="37">
        <f>COUNTIFS(Calc!$P:$P,A78,Calc!$H:$H,A99,Calc!$L:$L,A80,Calc!$N:$N,E82,Calc!$F:$F,F99)</f>
        <v>0</v>
      </c>
      <c r="K82" s="146" t="s">
        <v>176</v>
      </c>
      <c r="L82" s="147"/>
      <c r="M82" s="147"/>
      <c r="N82" s="109">
        <f>COUNTIFS(Calc!$P:$P,K78,Calc!$H:$H,K99,Calc!$L:$L,K80,Calc!$O:$O,"ネットイン")</f>
        <v>0</v>
      </c>
      <c r="O82" s="37" t="s">
        <v>15</v>
      </c>
      <c r="P82" s="37">
        <f>COUNTIFS(Calc!$P:$P,K78,Calc!$H:$H,K99,Calc!$L:$L,K80,Calc!$N:$N,O82)</f>
        <v>0</v>
      </c>
      <c r="Q82" s="38" t="e">
        <f>P82/SUM(P81:P88)</f>
        <v>#DIV/0!</v>
      </c>
      <c r="R82" s="37">
        <f>COUNTIFS(Calc!$P:$P,K78,Calc!$H:$H,K99,Calc!$L:$L,K80,Calc!$N:$N,O82,Calc!$F:$F,P80)</f>
        <v>0</v>
      </c>
      <c r="S82" s="37">
        <f>COUNTIFS(Calc!$P:$P,K78,Calc!$H:$H,K99,Calc!$L:$L,K80,Calc!$N:$N,O82,Calc!$F:$F,P99)</f>
        <v>0</v>
      </c>
    </row>
    <row r="83" spans="1:19" x14ac:dyDescent="0.45">
      <c r="A83" s="180">
        <f>COUNTIFS(Calc!$P:$P,A78,Calc!$H:$H,A99,Calc!$L:$L,A80,Calc!$O:$O,IF(G99="R","BS","FS"))</f>
        <v>0</v>
      </c>
      <c r="B83" s="180">
        <f>COUNTIFS(Calc!$P:$P,A78,Calc!$H:$H,A99,Calc!$L:$L,A80,Calc!$O:$O,IF(G99="R","BMS","FMS"))</f>
        <v>0</v>
      </c>
      <c r="C83" s="180">
        <f>COUNTIFS(Calc!$P:$P,A78,Calc!$H:$H,A99,Calc!$L:$L,A80,Calc!$O:$O,IF(G99="R","FMS","BMS"))</f>
        <v>0</v>
      </c>
      <c r="D83" s="180">
        <f>COUNTIFS(Calc!$P:$P,A78,Calc!$H:$H,A99,Calc!$L:$L,A80,Calc!$O:$O,IF(G99="R","FS","BS"))</f>
        <v>0</v>
      </c>
      <c r="E83" s="37" t="s">
        <v>17</v>
      </c>
      <c r="F83" s="37">
        <f>COUNTIFS(Calc!$P:$P,A78,Calc!$H:$H,A99,Calc!$L:$L,A80,Calc!$N:$N,E83)</f>
        <v>0</v>
      </c>
      <c r="G83" s="38" t="e">
        <f>F83/SUM(F81:F88)</f>
        <v>#DIV/0!</v>
      </c>
      <c r="H83" s="37">
        <f>COUNTIFS(Calc!$P:$P,A78,Calc!$H:$H,A99,Calc!$L:$L,A80,Calc!$N:$N,E83,Calc!$F:$F,F80)</f>
        <v>0</v>
      </c>
      <c r="I83" s="37">
        <f>COUNTIFS(Calc!$P:$P,A78,Calc!$H:$H,A99,Calc!$L:$L,A80,Calc!$N:$N,E83,Calc!$F:$F,F99)</f>
        <v>0</v>
      </c>
      <c r="K83" s="189">
        <f>COUNTIFS(Calc!$P:$P,K78,Calc!$H:$H,K99,Calc!$L:$L,K80,Calc!$O:$O,IF(Q99="R","BS","FS"))</f>
        <v>0</v>
      </c>
      <c r="L83" s="189">
        <f>COUNTIFS(Calc!$P:$P,K78,Calc!$H:$H,K99,Calc!$L:$L,K80,Calc!$O:$O,IF(Q99="R","BMS","FMS"))</f>
        <v>0</v>
      </c>
      <c r="M83" s="189">
        <f>COUNTIFS(Calc!$P:$P,K78,Calc!$H:$H,K99,Calc!$L:$L,K80,Calc!$O:$O,IF(Q99="R","FMS","BMS"))</f>
        <v>0</v>
      </c>
      <c r="N83" s="189">
        <f>COUNTIFS(Calc!$P:$P,K78,Calc!$H:$H,K99,Calc!$L:$L,K80,Calc!$O:$O,IF(Q99="R","FS","BS"))</f>
        <v>0</v>
      </c>
      <c r="O83" s="37" t="s">
        <v>17</v>
      </c>
      <c r="P83" s="37">
        <f>COUNTIFS(Calc!$P:$P,K78,Calc!$H:$H,K99,Calc!$L:$L,K80,Calc!$N:$N,O83)</f>
        <v>0</v>
      </c>
      <c r="Q83" s="38" t="e">
        <f>P83/SUM(P81:P88)</f>
        <v>#DIV/0!</v>
      </c>
      <c r="R83" s="37">
        <f>COUNTIFS(Calc!$P:$P,K78,Calc!$H:$H,K99,Calc!$L:$L,K80,Calc!$N:$N,O83,Calc!$F:$F,P80)</f>
        <v>0</v>
      </c>
      <c r="S83" s="37">
        <f>COUNTIFS(Calc!$P:$P,K78,Calc!$H:$H,K99,Calc!$L:$L,K80,Calc!$N:$N,O83,Calc!$F:$F,P99)</f>
        <v>0</v>
      </c>
    </row>
    <row r="84" spans="1:19" x14ac:dyDescent="0.45">
      <c r="A84" s="134"/>
      <c r="B84" s="134"/>
      <c r="C84" s="134"/>
      <c r="D84" s="134"/>
      <c r="E84" s="37" t="s">
        <v>16</v>
      </c>
      <c r="F84" s="37">
        <f>COUNTIFS(Calc!$P:$P,A78,Calc!$H:$H,A99,Calc!$L:$L,A80,Calc!$N:$N,E84)</f>
        <v>0</v>
      </c>
      <c r="G84" s="38" t="e">
        <f>F84/SUM(F81:F88)</f>
        <v>#DIV/0!</v>
      </c>
      <c r="H84" s="37">
        <f>COUNTIFS(Calc!$P:$P,A78,Calc!$H:$H,A99,Calc!$L:$L,A80,Calc!$N:$N,E84,Calc!$F:$F,F80)</f>
        <v>0</v>
      </c>
      <c r="I84" s="37">
        <f>COUNTIFS(Calc!$P:$P,A78,Calc!$H:$H,A99,Calc!$L:$L,A80,Calc!$N:$N,E84,Calc!$F:$F,F99)</f>
        <v>0</v>
      </c>
      <c r="K84" s="180"/>
      <c r="L84" s="180"/>
      <c r="M84" s="180"/>
      <c r="N84" s="180"/>
      <c r="O84" s="37" t="s">
        <v>16</v>
      </c>
      <c r="P84" s="37">
        <f>COUNTIFS(Calc!$P:$P,K78,Calc!$H:$H,K99,Calc!$L:$L,K80,Calc!$N:$N,O84)</f>
        <v>0</v>
      </c>
      <c r="Q84" s="38" t="e">
        <f>P84/SUM(P81:P88)</f>
        <v>#DIV/0!</v>
      </c>
      <c r="R84" s="37">
        <f>COUNTIFS(Calc!$P:$P,K78,Calc!$H:$H,K99,Calc!$L:$L,K80,Calc!$N:$N,O84,Calc!$F:$F,P80)</f>
        <v>0</v>
      </c>
      <c r="S84" s="37">
        <f>COUNTIFS(Calc!$P:$P,K78,Calc!$H:$H,K99,Calc!$L:$L,K80,Calc!$N:$N,O84,Calc!$F:$F,P99)</f>
        <v>0</v>
      </c>
    </row>
    <row r="85" spans="1:19" x14ac:dyDescent="0.45">
      <c r="A85" s="134">
        <f>COUNTIFS(Calc!$P:$P,A78,Calc!$H:$H,A99,Calc!$L:$L,A80,Calc!$O:$O,IF(G99="R","B","F"))</f>
        <v>0</v>
      </c>
      <c r="B85" s="134">
        <f>COUNTIFS(Calc!$P:$P,A78,Calc!$H:$H,A99,Calc!$L:$L,A80,Calc!$O:$O,IF(G99="R","BM","FM"))</f>
        <v>0</v>
      </c>
      <c r="C85" s="134">
        <f>COUNTIFS(Calc!$P:$P,A78,Calc!$H:$H,A99,Calc!$L:$L,A80,Calc!$O:$O,IF(G99="R","FM","BM"))</f>
        <v>0</v>
      </c>
      <c r="D85" s="134">
        <f>COUNTIFS(Calc!$P:$P,A78,Calc!$H:$H,A99,Calc!$L:$L,A80,Calc!$O:$O,IF(G99="R","F","B"))</f>
        <v>0</v>
      </c>
      <c r="E85" s="37" t="s">
        <v>103</v>
      </c>
      <c r="F85" s="37">
        <f>COUNTIFS(Calc!$P:$P,A78,Calc!$H:$H,A99,Calc!$L:$L,A80,Calc!$N:$N,E85)</f>
        <v>0</v>
      </c>
      <c r="G85" s="38" t="e">
        <f>F85/SUM(F81:F88)</f>
        <v>#DIV/0!</v>
      </c>
      <c r="H85" s="37">
        <f>COUNTIFS(Calc!$P:$P,A78,Calc!$H:$H,A99,Calc!$L:$L,A80,Calc!$N:$N,E85,Calc!$F:$F,F80)</f>
        <v>0</v>
      </c>
      <c r="I85" s="37">
        <f>COUNTIFS(Calc!$P:$P,A78,Calc!$H:$H,A99,Calc!$L:$L,A80,Calc!$N:$N,E85,Calc!$F:$F,F99)</f>
        <v>0</v>
      </c>
      <c r="K85" s="187">
        <f>COUNTIFS(Calc!$P:$P,K78,Calc!$H:$H,K99,Calc!$L:$L,K80,Calc!$O:$O,IF(Q99="R","B","F"))</f>
        <v>0</v>
      </c>
      <c r="L85" s="187">
        <f>COUNTIFS(Calc!$P:$P,K78,Calc!$H:$H,K99,Calc!$L:$L,K80,Calc!$O:$O,IF(Q99="R","BM","FM"))</f>
        <v>0</v>
      </c>
      <c r="M85" s="187">
        <f>COUNTIFS(Calc!$P:$P,K78,Calc!$H:$H,K99,Calc!$L:$L,K80,Calc!$O:$O,IF(Q99="R","FM","BM"))</f>
        <v>0</v>
      </c>
      <c r="N85" s="187">
        <f>COUNTIFS(Calc!$P:$P,K78,Calc!$H:$H,K99,Calc!$L:$L,K80,Calc!$O:$O,IF(Q99="R","F","B"))</f>
        <v>0</v>
      </c>
      <c r="O85" s="37" t="s">
        <v>103</v>
      </c>
      <c r="P85" s="37">
        <f>COUNTIFS(Calc!$P:$P,K78,Calc!$H:$H,K99,Calc!$L:$L,K80,Calc!$N:$N,O85)</f>
        <v>0</v>
      </c>
      <c r="Q85" s="38" t="e">
        <f>P85/SUM(P81:P88)</f>
        <v>#DIV/0!</v>
      </c>
      <c r="R85" s="37">
        <f>COUNTIFS(Calc!$P:$P,K78,Calc!$H:$H,K99,Calc!$L:$L,K80,Calc!$N:$N,O85,Calc!$F:$F,P80)</f>
        <v>0</v>
      </c>
      <c r="S85" s="37">
        <f>COUNTIFS(Calc!$P:$P,K78,Calc!$H:$H,K99,Calc!$L:$L,K80,Calc!$N:$N,O85,Calc!$F:$F,P99)</f>
        <v>0</v>
      </c>
    </row>
    <row r="86" spans="1:19" x14ac:dyDescent="0.45">
      <c r="A86" s="134"/>
      <c r="B86" s="134"/>
      <c r="C86" s="134"/>
      <c r="D86" s="134"/>
      <c r="E86" s="37" t="s">
        <v>82</v>
      </c>
      <c r="F86" s="37">
        <f>COUNTIFS(Calc!$P:$P,A78,Calc!$H:$H,A99,Calc!$L:$L,A80,Calc!$N:$N,E86)</f>
        <v>0</v>
      </c>
      <c r="G86" s="38" t="e">
        <f>F86/SUM(F81:F88)</f>
        <v>#DIV/0!</v>
      </c>
      <c r="H86" s="37">
        <f>COUNTIFS(Calc!$P:$P,A78,Calc!$H:$H,A99,Calc!$L:$L,A80,Calc!$N:$N,E86,Calc!$F:$F,F80)</f>
        <v>0</v>
      </c>
      <c r="I86" s="37">
        <f>COUNTIFS(Calc!$P:$P,A78,Calc!$H:$H,A99,Calc!$L:$L,A80,Calc!$N:$N,E86,Calc!$F:$F,F99)</f>
        <v>0</v>
      </c>
      <c r="K86" s="180"/>
      <c r="L86" s="180"/>
      <c r="M86" s="180"/>
      <c r="N86" s="180"/>
      <c r="O86" s="37" t="s">
        <v>82</v>
      </c>
      <c r="P86" s="37">
        <f>COUNTIFS(Calc!$P:$P,K78,Calc!$H:$H,K99,Calc!$L:$L,K80,Calc!$N:$N,O86)</f>
        <v>0</v>
      </c>
      <c r="Q86" s="38" t="e">
        <f>P86/SUM(P81:P88)</f>
        <v>#DIV/0!</v>
      </c>
      <c r="R86" s="37">
        <f>COUNTIFS(Calc!$P:$P,K78,Calc!$H:$H,K99,Calc!$L:$L,K80,Calc!$N:$N,O86,Calc!$F:$F,P80)</f>
        <v>0</v>
      </c>
      <c r="S86" s="37">
        <f>COUNTIFS(Calc!$P:$P,K78,Calc!$H:$H,K99,Calc!$L:$L,K80,Calc!$N:$N,O86,Calc!$F:$F,P99)</f>
        <v>0</v>
      </c>
    </row>
    <row r="87" spans="1:19" x14ac:dyDescent="0.45">
      <c r="A87" s="137" t="s">
        <v>80</v>
      </c>
      <c r="B87" s="137"/>
      <c r="C87" s="137"/>
      <c r="D87" s="137"/>
      <c r="E87" s="37" t="s">
        <v>83</v>
      </c>
      <c r="F87" s="37">
        <f>COUNTIFS(Calc!$P:$P,A78,Calc!$H:$H,A99,Calc!$L:$L,A80,Calc!$N:$N,E87)</f>
        <v>0</v>
      </c>
      <c r="G87" s="38" t="e">
        <f>F87/SUM(F81:F88)</f>
        <v>#DIV/0!</v>
      </c>
      <c r="H87" s="37">
        <f>COUNTIFS(Calc!$P:$P,A78,Calc!$H:$H,A99,Calc!$L:$L,A80,Calc!$N:$N,E87,Calc!$F:$F,F80)</f>
        <v>0</v>
      </c>
      <c r="I87" s="37">
        <f>COUNTIFS(Calc!$P:$P,A78,Calc!$H:$H,A99,Calc!$L:$L,A80,Calc!$N:$N,E87,Calc!$F:$F,F99)</f>
        <v>0</v>
      </c>
      <c r="K87" s="137" t="s">
        <v>80</v>
      </c>
      <c r="L87" s="137"/>
      <c r="M87" s="137"/>
      <c r="N87" s="137"/>
      <c r="O87" s="37" t="s">
        <v>83</v>
      </c>
      <c r="P87" s="37">
        <f>COUNTIFS(Calc!$P:$P,K78,Calc!$H:$H,K99,Calc!$L:$L,K80,Calc!$N:$N,O87)</f>
        <v>0</v>
      </c>
      <c r="Q87" s="38" t="e">
        <f>P87/SUM(P81:P88)</f>
        <v>#DIV/0!</v>
      </c>
      <c r="R87" s="37">
        <f>COUNTIFS(Calc!$P:$P,K78,Calc!$H:$H,K99,Calc!$L:$L,K80,Calc!$N:$N,O87,Calc!$F:$F,P80)</f>
        <v>0</v>
      </c>
      <c r="S87" s="37">
        <f>COUNTIFS(Calc!$P:$P,K78,Calc!$H:$H,K99,Calc!$L:$L,K80,Calc!$N:$N,O87,Calc!$F:$F,P99)</f>
        <v>0</v>
      </c>
    </row>
    <row r="88" spans="1:19" x14ac:dyDescent="0.45">
      <c r="A88" s="132">
        <f>COUNTIFS(Calc!$P:$P,A78,Calc!$H:$H,A99,Calc!$L:$L,A80,Calc!$O:$O,"オーバーミス")</f>
        <v>0</v>
      </c>
      <c r="B88" s="132"/>
      <c r="C88" s="132"/>
      <c r="D88" s="132"/>
      <c r="E88" s="37" t="s">
        <v>107</v>
      </c>
      <c r="F88" s="37">
        <f>COUNTIFS(Calc!$P:$P,A78,Calc!$H:$H,A99,Calc!$L:$L,A80,Calc!$N:$N,E88)</f>
        <v>0</v>
      </c>
      <c r="G88" s="38" t="e">
        <f>F88/SUM(F81:F88)</f>
        <v>#DIV/0!</v>
      </c>
      <c r="H88" s="37">
        <f>COUNTIFS(Calc!$P:$P,A78,Calc!$H:$H,A99,Calc!$L:$L,A80,Calc!$N:$N,E88,Calc!$F:$F,F80)</f>
        <v>0</v>
      </c>
      <c r="I88" s="37">
        <f>COUNTIFS(Calc!$P:$P,A78,Calc!$H:$H,A99,Calc!$L:$L,A80,Calc!$N:$N,E88,Calc!$F:$F,F99)</f>
        <v>0</v>
      </c>
      <c r="K88" s="132">
        <f>COUNTIFS(Calc!$P:$P,K78,Calc!$H:$H,K99,Calc!$L:$L,K80,Calc!$O:$O,"オーバーミス")</f>
        <v>0</v>
      </c>
      <c r="L88" s="132"/>
      <c r="M88" s="132"/>
      <c r="N88" s="132"/>
      <c r="O88" s="37" t="s">
        <v>107</v>
      </c>
      <c r="P88" s="37">
        <f>COUNTIFS(Calc!$P:$P,K78,Calc!$H:$H,K99,Calc!$L:$L,K80,Calc!$N:$N,O88)</f>
        <v>0</v>
      </c>
      <c r="Q88" s="38" t="e">
        <f>P88/SUM(P81:P88)</f>
        <v>#DIV/0!</v>
      </c>
      <c r="R88" s="37">
        <f>COUNTIFS(Calc!$P:$P,K78,Calc!$H:$H,K99,Calc!$L:$L,K80,Calc!$N:$N,O88,Calc!$F:$F,P80)</f>
        <v>0</v>
      </c>
      <c r="S88" s="37">
        <f>COUNTIFS(Calc!$P:$P,K78,Calc!$H:$H,K99,Calc!$L:$L,K80,Calc!$N:$N,O88,Calc!$F:$F,P99)</f>
        <v>0</v>
      </c>
    </row>
    <row r="89" spans="1:19" x14ac:dyDescent="0.45">
      <c r="A89" s="103"/>
      <c r="B89" s="103"/>
      <c r="C89" s="103"/>
      <c r="D89" s="103"/>
      <c r="E89" s="37"/>
      <c r="F89" s="37"/>
      <c r="G89" s="38"/>
      <c r="H89" s="37"/>
      <c r="I89" s="37"/>
      <c r="K89" s="104"/>
      <c r="L89" s="104"/>
      <c r="M89" s="104"/>
      <c r="N89" s="104"/>
      <c r="O89" s="40"/>
      <c r="P89" s="40"/>
      <c r="Q89" s="41"/>
      <c r="R89" s="40"/>
      <c r="S89" s="40"/>
    </row>
    <row r="90" spans="1:19" x14ac:dyDescent="0.45">
      <c r="A90" t="s">
        <v>179</v>
      </c>
      <c r="K90" t="s">
        <v>179</v>
      </c>
    </row>
    <row r="91" spans="1:19" x14ac:dyDescent="0.45">
      <c r="A91" s="164">
        <f>COUNTIFS(Calc!$P:$P,A78,Calc!$H:$H,A99,Calc!$L:$L,A80,Calc!$K:$K,IF(E80="R","F","B"))</f>
        <v>0</v>
      </c>
      <c r="B91" s="164">
        <f>COUNTIFS(Calc!$P:$P,A78,Calc!$H:$H,A99,Calc!$L:$L,A80,Calc!$K:$K,IF(E80="R","FM","BM"))</f>
        <v>0</v>
      </c>
      <c r="C91" s="164">
        <f>COUNTIFS(Calc!$P:$P,A78,Calc!$H:$H,A99,Calc!$L:$L,A80,Calc!$K:$K,IF(E80="R","BM","FM"))</f>
        <v>0</v>
      </c>
      <c r="D91" s="164">
        <f>COUNTIFS(Calc!$P:$P,A78,Calc!$H:$H,A99,Calc!$L:$L,A80,Calc!$K:$K,IF(E80="R","B","F"))</f>
        <v>0</v>
      </c>
      <c r="E91" s="40"/>
      <c r="F91" s="40"/>
      <c r="G91" s="41"/>
      <c r="H91" s="40"/>
      <c r="I91" s="40"/>
      <c r="K91" s="164">
        <f>COUNTIFS(Calc!$P:$P,K78,Calc!$H:$H,K99,Calc!$L:$L,K80,Calc!$K:$K,IF(O80="R","F","B"))</f>
        <v>0</v>
      </c>
      <c r="L91" s="164">
        <f>COUNTIFS(Calc!$P:$P,K78,Calc!$H:$H,K99,Calc!$L:$L,K80,Calc!$K:$K,IF(O80="R","FM","BM"))</f>
        <v>0</v>
      </c>
      <c r="M91" s="164">
        <f>COUNTIFS(Calc!$P:$P,K78,Calc!$H:$H,K99,Calc!$L:$L,K80,Calc!$K:$K,IF(O80="R","BM","FM"))</f>
        <v>0</v>
      </c>
      <c r="N91" s="164">
        <f>COUNTIFS(Calc!$P:$P,K78,Calc!$H:$H,K99,Calc!$L:$L,K80,Calc!$K:$K,IF(O80="R","B","F"))</f>
        <v>0</v>
      </c>
      <c r="O91" s="40"/>
      <c r="P91" s="40"/>
      <c r="Q91" s="41"/>
      <c r="R91" s="40"/>
      <c r="S91" s="40"/>
    </row>
    <row r="92" spans="1:19" x14ac:dyDescent="0.45">
      <c r="A92" s="164"/>
      <c r="B92" s="164"/>
      <c r="C92" s="164"/>
      <c r="D92" s="164"/>
      <c r="E92" s="40"/>
      <c r="F92" s="40"/>
      <c r="G92" s="41"/>
      <c r="H92" s="40"/>
      <c r="I92" s="40"/>
      <c r="K92" s="164"/>
      <c r="L92" s="164"/>
      <c r="M92" s="164"/>
      <c r="N92" s="164"/>
      <c r="O92" s="40"/>
      <c r="P92" s="40"/>
      <c r="Q92" s="41"/>
      <c r="R92" s="40"/>
      <c r="S92" s="40"/>
    </row>
    <row r="93" spans="1:19" ht="18.600000000000001" thickBot="1" x14ac:dyDescent="0.5">
      <c r="A93" s="157">
        <f>COUNTIFS(Calc!$P:$P,A78,Calc!$H:$H,A99,Calc!$L:$L,A80,Calc!$K:$K,IF(E80="R","FS","BS"))</f>
        <v>0</v>
      </c>
      <c r="B93" s="157">
        <f>COUNTIFS(Calc!$P:$P,A78,Calc!$H:$H,A99,Calc!$L:$L,A80,Calc!$K:$K,IF(E80="R","FMS","BMS"))</f>
        <v>0</v>
      </c>
      <c r="C93" s="157">
        <f>COUNTIFS(Calc!$P:$P,A78,Calc!$H:$H,A99,Calc!$L:$L,A80,Calc!$K:$K,IF(E80="R","BMS","FMS"))</f>
        <v>0</v>
      </c>
      <c r="D93" s="157">
        <f>COUNTIFS(Calc!$P:$P,A78,Calc!$H:$H,A99,Calc!$L:$L,A80,Calc!$K:$K,IF(E80="R","BS","FS"))</f>
        <v>0</v>
      </c>
      <c r="E93" s="40"/>
      <c r="F93" s="40"/>
      <c r="G93" s="41"/>
      <c r="H93" s="40"/>
      <c r="I93" s="40"/>
      <c r="K93" s="157">
        <f>COUNTIFS(Calc!$P:$P,K78,Calc!$H:$H,K99,Calc!$L:$L,K80,Calc!$K:$K,IF(O80="R","FS","BS"))</f>
        <v>0</v>
      </c>
      <c r="L93" s="157">
        <f>COUNTIFS(Calc!$P:$P,K78,Calc!$H:$H,K99,Calc!$L:$L,K80,Calc!$K:$K,IF(O80="R","FMS","BMS"))</f>
        <v>0</v>
      </c>
      <c r="M93" s="157">
        <f>COUNTIFS(Calc!$P:$P,K78,Calc!$H:$H,K99,Calc!$L:$L,K80,Calc!$K:$K,IF(O80="R","BMS","FMS"))</f>
        <v>0</v>
      </c>
      <c r="N93" s="157">
        <f>COUNTIFS(Calc!$P:$P,K78,Calc!$H:$H,K99,Calc!$L:$L,K80,Calc!$K:$K,IF(O80="R","BS","FS"))</f>
        <v>0</v>
      </c>
      <c r="O93" s="40"/>
      <c r="P93" s="40"/>
      <c r="Q93" s="41"/>
      <c r="R93" s="40"/>
      <c r="S93" s="40"/>
    </row>
    <row r="94" spans="1:19" ht="19.2" thickTop="1" thickBot="1" x14ac:dyDescent="0.5">
      <c r="A94" s="158"/>
      <c r="B94" s="158"/>
      <c r="C94" s="158"/>
      <c r="D94" s="158"/>
      <c r="E94" s="40"/>
      <c r="F94" s="40"/>
      <c r="G94" s="41"/>
      <c r="H94" s="40"/>
      <c r="I94" s="40"/>
      <c r="K94" s="158"/>
      <c r="L94" s="158"/>
      <c r="M94" s="158"/>
      <c r="N94" s="158"/>
      <c r="O94" s="40"/>
      <c r="P94" s="40"/>
      <c r="Q94" s="41"/>
      <c r="R94" s="40"/>
      <c r="S94" s="40"/>
    </row>
    <row r="95" spans="1:19" ht="19.2" thickTop="1" thickBot="1" x14ac:dyDescent="0.5">
      <c r="A95" s="158">
        <f>COUNTIFS(Calc!$P:$P,A78,Calc!$H:$H,A99,Calc!$L:$L,A80,Calc!$J:$J,IF(E99="R","B","F"))</f>
        <v>6</v>
      </c>
      <c r="B95" s="158"/>
      <c r="C95" s="158">
        <f>COUNTIFS(Calc!$P:$P,A78,Calc!$H:$H,A99,Calc!$L:$L,A80,Calc!$J:$J,IF(E99="R","F","B"))</f>
        <v>2</v>
      </c>
      <c r="D95" s="158"/>
      <c r="E95" s="40"/>
      <c r="F95" s="40"/>
      <c r="G95" s="41"/>
      <c r="H95" s="40" t="s">
        <v>177</v>
      </c>
      <c r="I95" s="40" t="s">
        <v>178</v>
      </c>
      <c r="K95" s="158">
        <f>COUNTIFS(Calc!$P:$P,K78,Calc!$H:$H,K99,Calc!$L:$L,K80,Calc!$J:$J,IF(O99="R","B","F"))</f>
        <v>0</v>
      </c>
      <c r="L95" s="158"/>
      <c r="M95" s="158">
        <f>COUNTIFS(Calc!$P:$P,K78,Calc!$H:$H,K99,Calc!$L:$L,K80,Calc!$J:$J,IF(O99="R","F","B"))</f>
        <v>0</v>
      </c>
      <c r="N95" s="158"/>
      <c r="O95" s="40"/>
      <c r="P95" s="40"/>
      <c r="Q95" s="41"/>
      <c r="R95" s="40" t="s">
        <v>177</v>
      </c>
      <c r="S95" s="40" t="s">
        <v>178</v>
      </c>
    </row>
    <row r="96" spans="1:19" ht="19.2" thickTop="1" thickBot="1" x14ac:dyDescent="0.5">
      <c r="A96" s="158"/>
      <c r="B96" s="158"/>
      <c r="C96" s="158"/>
      <c r="D96" s="158"/>
      <c r="E96" s="40" t="s">
        <v>174</v>
      </c>
      <c r="F96" s="40">
        <f>COUNTIFS(Calc!$P:$P,A78,Calc!$H:$H,A99,Calc!$L:$L,A80,Calc!$I:$I,E96)</f>
        <v>6</v>
      </c>
      <c r="G96" s="41">
        <f>F96/SUM(F96:F98)</f>
        <v>0.75</v>
      </c>
      <c r="H96" s="40">
        <f>COUNTIFS(Calc!$P:$P,A78,Calc!$H:$H,A99,Calc!$L:$L,A80,Calc!$I:$I,E96,Calc!$F:$F,F99)</f>
        <v>0</v>
      </c>
      <c r="I96" s="40">
        <f>COUNTIFS(Calc!$P:$P,A78,Calc!$H:$H,A99,Calc!$L:$L,A80,Calc!$I:$I,E96,Calc!$F:$F,F80)</f>
        <v>0</v>
      </c>
      <c r="K96" s="158"/>
      <c r="L96" s="158"/>
      <c r="M96" s="158"/>
      <c r="N96" s="158"/>
      <c r="O96" s="40" t="s">
        <v>174</v>
      </c>
      <c r="P96" s="40">
        <f>COUNTIFS(Calc!$P:$P,K78,Calc!$H:$H,K99,Calc!$L:$L,K80,Calc!$I:$I,O96)</f>
        <v>0</v>
      </c>
      <c r="Q96" s="41" t="e">
        <f>P96/SUM(P96:P98)</f>
        <v>#DIV/0!</v>
      </c>
      <c r="R96" s="40">
        <f>COUNTIFS(Calc!$P:$P,K78,Calc!$H:$H,K99,Calc!$L:$L,K80,Calc!$I:$I,O96,Calc!$F:$F,P99)</f>
        <v>0</v>
      </c>
      <c r="S96" s="40">
        <f>COUNTIFS(Calc!$P:$P,K78,Calc!$H:$H,K99,Calc!$L:$L,K80,Calc!$I:$I,O96,Calc!$F:$F,P80)</f>
        <v>0</v>
      </c>
    </row>
    <row r="97" spans="1:19" ht="19.2" thickTop="1" thickBot="1" x14ac:dyDescent="0.5">
      <c r="A97" s="158"/>
      <c r="B97" s="158"/>
      <c r="C97" s="158"/>
      <c r="D97" s="158"/>
      <c r="E97" s="40" t="s">
        <v>63</v>
      </c>
      <c r="F97" s="40">
        <f>COUNTIFS(Calc!$P:$P,A78,Calc!$H:$H,A99,Calc!$L:$L,A80,Calc!$I:$I,E97)</f>
        <v>0</v>
      </c>
      <c r="G97" s="41">
        <f>F97/SUM(F96:F98)</f>
        <v>0</v>
      </c>
      <c r="H97" s="40">
        <f>COUNTIFS(Calc!$P:$P,A78,Calc!$H:$H,A99,Calc!$L:$L,A80,Calc!$I:$I,E97,Calc!$F:$F,F99)</f>
        <v>0</v>
      </c>
      <c r="I97" s="40">
        <f>COUNTIFS(Calc!$P:$P,A78,Calc!$H:$H,A99,Calc!$L:$L,A80,Calc!$I:$I,E97,Calc!$F:$F,F80)</f>
        <v>0</v>
      </c>
      <c r="K97" s="158"/>
      <c r="L97" s="158"/>
      <c r="M97" s="158"/>
      <c r="N97" s="158"/>
      <c r="O97" s="40" t="s">
        <v>63</v>
      </c>
      <c r="P97" s="40">
        <f>COUNTIFS(Calc!$P:$P,K78,Calc!$H:$H,K99,Calc!$L:$L,K80,Calc!$I:$I,O97)</f>
        <v>0</v>
      </c>
      <c r="Q97" s="41" t="e">
        <f>P97/SUM(P96:P98)</f>
        <v>#DIV/0!</v>
      </c>
      <c r="R97" s="40">
        <f>COUNTIFS(Calc!$P:$P,K78,Calc!$H:$H,K99,Calc!$L:$L,K80,Calc!$I:$I,O97,Calc!$F:$F,P99)</f>
        <v>0</v>
      </c>
      <c r="S97" s="40">
        <f>COUNTIFS(Calc!$P:$P,K78,Calc!$H:$H,K99,Calc!$L:$L,K80,Calc!$I:$I,O97,Calc!$F:$F,P80)</f>
        <v>0</v>
      </c>
    </row>
    <row r="98" spans="1:19" ht="18.600000000000001" thickTop="1" x14ac:dyDescent="0.45">
      <c r="A98" s="161"/>
      <c r="B98" s="161"/>
      <c r="C98" s="161"/>
      <c r="D98" s="161"/>
      <c r="E98" s="40" t="s">
        <v>61</v>
      </c>
      <c r="F98" s="40">
        <f>COUNTIFS(Calc!$P:$P,A78,Calc!$H:$H,A99,Calc!$L:$L,A80,Calc!$I:$I,E98)</f>
        <v>2</v>
      </c>
      <c r="G98" s="41">
        <f>F98/SUM(F96:F98)</f>
        <v>0.25</v>
      </c>
      <c r="H98" s="40">
        <f>COUNTIFS(Calc!$P:$P,A78,Calc!$H:$H,A99,Calc!$L:$L,A80,Calc!$I:$I,E98,Calc!$F:$F,F99)</f>
        <v>0</v>
      </c>
      <c r="I98" s="40">
        <f>COUNTIFS(Calc!$P:$P,A78,Calc!$H:$H,A99,Calc!$L:$L,A80,Calc!$I:$I,E98,Calc!$F:$F,F80)</f>
        <v>0</v>
      </c>
      <c r="K98" s="161"/>
      <c r="L98" s="161"/>
      <c r="M98" s="161"/>
      <c r="N98" s="161"/>
      <c r="O98" s="40" t="s">
        <v>61</v>
      </c>
      <c r="P98" s="40">
        <f>COUNTIFS(Calc!$P:$P,K78,Calc!$H:$H,K99,Calc!$L:$L,K80,Calc!$I:$I,O98)</f>
        <v>0</v>
      </c>
      <c r="Q98" s="41" t="e">
        <f>P98/SUM(P96:P98)</f>
        <v>#DIV/0!</v>
      </c>
      <c r="R98" s="40">
        <f>COUNTIFS(Calc!$P:$P,K78,Calc!$H:$H,K99,Calc!$L:$L,K80,Calc!$I:$I,O98,Calc!$F:$F,P99)</f>
        <v>0</v>
      </c>
      <c r="S98" s="40">
        <f>COUNTIFS(Calc!$P:$P,K78,Calc!$H:$H,K99,Calc!$L:$L,K80,Calc!$I:$I,O98,Calc!$F:$F,P80)</f>
        <v>0</v>
      </c>
    </row>
    <row r="99" spans="1:19" x14ac:dyDescent="0.45">
      <c r="A99" s="155" t="str">
        <f>Main!$D$12</f>
        <v>NAMBA Yurika</v>
      </c>
      <c r="B99" s="156"/>
      <c r="C99" s="156"/>
      <c r="D99" s="156"/>
      <c r="E99" s="36" t="str">
        <f>Main!$F$12</f>
        <v>R</v>
      </c>
      <c r="F99" s="36" t="str">
        <f>Main!$B$12</f>
        <v>Mallets</v>
      </c>
      <c r="G99" s="36" t="str">
        <f>Main!$F$14</f>
        <v/>
      </c>
      <c r="H99" s="113"/>
      <c r="I99" s="113"/>
      <c r="J99" s="113"/>
      <c r="K99" s="155" t="str">
        <f>Main!$D$14</f>
        <v/>
      </c>
      <c r="L99" s="156"/>
      <c r="M99" s="156"/>
      <c r="N99" s="156"/>
      <c r="O99" s="36" t="str">
        <f>Main!$F$14</f>
        <v/>
      </c>
      <c r="P99" s="45" t="str">
        <f>Main!$B$12</f>
        <v>Mallets</v>
      </c>
      <c r="Q99" s="36" t="str">
        <f>Main!$F$12</f>
        <v>R</v>
      </c>
      <c r="R99" s="113"/>
      <c r="S99" s="112"/>
    </row>
    <row r="102" spans="1:19" x14ac:dyDescent="0.45">
      <c r="A102" s="111">
        <v>2</v>
      </c>
      <c r="K102" s="111">
        <v>2</v>
      </c>
    </row>
    <row r="103" spans="1:19" x14ac:dyDescent="0.45">
      <c r="A103" t="s">
        <v>139</v>
      </c>
      <c r="K103" t="s">
        <v>139</v>
      </c>
    </row>
    <row r="104" spans="1:19" x14ac:dyDescent="0.45">
      <c r="A104" s="190" t="str">
        <f>Main!$D$14</f>
        <v/>
      </c>
      <c r="B104" s="191"/>
      <c r="C104" s="191"/>
      <c r="D104" s="191"/>
      <c r="E104" s="117" t="str">
        <f>Main!$F$14</f>
        <v/>
      </c>
      <c r="F104" s="118" t="str">
        <f>Main!$B$12</f>
        <v>Mallets</v>
      </c>
      <c r="G104" s="117" t="str">
        <f>Main!$F$12</f>
        <v>R</v>
      </c>
      <c r="H104" s="115" t="s">
        <v>109</v>
      </c>
      <c r="I104" s="115" t="s">
        <v>110</v>
      </c>
      <c r="J104" s="43"/>
      <c r="K104" s="140" t="str">
        <f>Main!$D$12</f>
        <v>NAMBA Yurika</v>
      </c>
      <c r="L104" s="140"/>
      <c r="M104" s="140"/>
      <c r="N104" s="140"/>
      <c r="O104" s="36" t="str">
        <f>Main!$F$12</f>
        <v>R</v>
      </c>
      <c r="P104" s="36" t="str">
        <f>Main!$B$12</f>
        <v>Mallets</v>
      </c>
      <c r="Q104" s="36" t="str">
        <f>Main!$F$14</f>
        <v/>
      </c>
      <c r="R104" s="40" t="s">
        <v>109</v>
      </c>
      <c r="S104" s="40" t="s">
        <v>110</v>
      </c>
    </row>
    <row r="105" spans="1:19" ht="18.600000000000001" thickBot="1" x14ac:dyDescent="0.5">
      <c r="A105" s="144" t="s">
        <v>81</v>
      </c>
      <c r="B105" s="145"/>
      <c r="C105" s="145"/>
      <c r="D105" s="83">
        <f>COUNTIFS(Calc!$P:$P,A102,Calc!$H:$H,A123,Calc!$L:$L,A104,Calc!$O:$O,"ネット")</f>
        <v>0</v>
      </c>
      <c r="E105" s="40" t="s">
        <v>14</v>
      </c>
      <c r="F105" s="40">
        <f>COUNTIFS(Calc!$P:$P,A102,Calc!$H:$H,A123,Calc!$L:$L,A104,Calc!$N:$N,E105)</f>
        <v>0</v>
      </c>
      <c r="G105" s="41" t="e">
        <f>F105/SUM(F105:F112)</f>
        <v>#DIV/0!</v>
      </c>
      <c r="H105" s="40">
        <f>COUNTIFS(Calc!$P:$P,A102,Calc!$H:$H,A123,Calc!$L:$L,A104,Calc!$N:$N,E105,Calc!$F:$F,F104)</f>
        <v>0</v>
      </c>
      <c r="I105" s="40">
        <f>COUNTIFS(Calc!$P:$P,A102,Calc!$H:$H,A123,Calc!$L:$L,A104,Calc!$N:$N,E105,Calc!$F:$F,F123)</f>
        <v>0</v>
      </c>
      <c r="K105" s="144" t="s">
        <v>81</v>
      </c>
      <c r="L105" s="145"/>
      <c r="M105" s="145"/>
      <c r="N105" s="83">
        <f>COUNTIFS(Calc!$P:$P,K102,Calc!$H:$H,K123,Calc!$L:$L,K104,Calc!$O:$O,"ネット")</f>
        <v>0</v>
      </c>
      <c r="O105" s="40" t="s">
        <v>14</v>
      </c>
      <c r="P105" s="40">
        <f>COUNTIFS(Calc!$P:$P,K102,Calc!$H:$H,K123,Calc!$L:$L,K104,Calc!$N:$N,O105)</f>
        <v>0</v>
      </c>
      <c r="Q105" s="41" t="e">
        <f>P105/SUM(P105:P112)</f>
        <v>#DIV/0!</v>
      </c>
      <c r="R105" s="40">
        <f>COUNTIFS(Calc!$P:$P,K102,Calc!$H:$H,K123,Calc!$L:$L,K104,Calc!$N:$N,O105,Calc!$F:$F,P104)</f>
        <v>0</v>
      </c>
      <c r="S105" s="40">
        <f>COUNTIFS(Calc!$P:$P,K102,Calc!$H:$H,K123,Calc!$L:$L,K104,Calc!$N:$N,O105,Calc!$F:$F,P123)</f>
        <v>0</v>
      </c>
    </row>
    <row r="106" spans="1:19" ht="18.600000000000001" thickTop="1" x14ac:dyDescent="0.45">
      <c r="A106" s="148" t="s">
        <v>176</v>
      </c>
      <c r="B106" s="149"/>
      <c r="C106" s="149"/>
      <c r="D106" s="110">
        <f>COUNTIFS(Calc!$P:$P,A102,Calc!$H:$H,A123,Calc!$L:$L,A104,Calc!$O:$O,"ネットイン")</f>
        <v>0</v>
      </c>
      <c r="E106" s="40" t="s">
        <v>15</v>
      </c>
      <c r="F106" s="40">
        <f>COUNTIFS(Calc!$P:$P,A102,Calc!$H:$H,A123,Calc!$L:$L,A104,Calc!$N:$N,E106)</f>
        <v>0</v>
      </c>
      <c r="G106" s="41" t="e">
        <f>F106/SUM(F105:F112)</f>
        <v>#DIV/0!</v>
      </c>
      <c r="H106" s="40">
        <f>COUNTIFS(Calc!$P:$P,A102,Calc!$H:$H,A123,Calc!$L:$L,A104,Calc!$N:$N,E106,Calc!$F:$F,F104)</f>
        <v>0</v>
      </c>
      <c r="I106" s="40">
        <f>COUNTIFS(Calc!$P:$P,A102,Calc!$H:$H,A123,Calc!$L:$L,A104,Calc!$N:$N,E106,Calc!$F:$F,F123)</f>
        <v>0</v>
      </c>
      <c r="K106" s="148" t="s">
        <v>176</v>
      </c>
      <c r="L106" s="149"/>
      <c r="M106" s="149"/>
      <c r="N106" s="110">
        <f>COUNTIFS(Calc!$P:$P,K102,Calc!$H:$H,K123,Calc!$L:$L,K104,Calc!$O:$O,"ネットイン")</f>
        <v>0</v>
      </c>
      <c r="O106" s="40" t="s">
        <v>15</v>
      </c>
      <c r="P106" s="40">
        <f>COUNTIFS(Calc!$P:$P,K102,Calc!$H:$H,K123,Calc!$L:$L,K104,Calc!$N:$N,O106)</f>
        <v>0</v>
      </c>
      <c r="Q106" s="41" t="e">
        <f>P106/SUM(P105:P112)</f>
        <v>#DIV/0!</v>
      </c>
      <c r="R106" s="40">
        <f>COUNTIFS(Calc!$P:$P,K102,Calc!$H:$H,K123,Calc!$L:$L,K104,Calc!$N:$N,O106,Calc!$F:$F,P104)</f>
        <v>0</v>
      </c>
      <c r="S106" s="40">
        <f>COUNTIFS(Calc!$P:$P,K102,Calc!$H:$H,K123,Calc!$L:$L,K104,Calc!$N:$N,O106,Calc!$F:$F,P123)</f>
        <v>0</v>
      </c>
    </row>
    <row r="107" spans="1:19" x14ac:dyDescent="0.45">
      <c r="A107" s="150">
        <f>COUNTIFS(Calc!$P:$P,A102,Calc!$H:$H,A123,Calc!$L:$L,A104,Calc!$O:$O,IF(G123="R","BS","FS"))</f>
        <v>0</v>
      </c>
      <c r="B107" s="150">
        <f>COUNTIFS(Calc!$P:$P,A102,Calc!$H:$H,A123,Calc!$L:$L,A104,Calc!$O:$O,IF(G123="R","BMS","FMS"))</f>
        <v>0</v>
      </c>
      <c r="C107" s="150">
        <f>COUNTIFS(Calc!$P:$P,A102,Calc!$H:$H,A123,Calc!$L:$L,A104,Calc!$O:$O,IF(G123="R","FMS","BMS"))</f>
        <v>0</v>
      </c>
      <c r="D107" s="150">
        <f>COUNTIFS(Calc!$P:$P,A102,Calc!$H:$H,A123,Calc!$L:$L,A104,Calc!$O:$O,IF(G123="R","FS","BS"))</f>
        <v>0</v>
      </c>
      <c r="E107" s="40" t="s">
        <v>17</v>
      </c>
      <c r="F107" s="40">
        <f>COUNTIFS(Calc!$P:$P,A102,Calc!$H:$H,A123,Calc!$L:$L,A104,Calc!$N:$N,E107)</f>
        <v>0</v>
      </c>
      <c r="G107" s="41" t="e">
        <f>F107/SUM(F105:F112)</f>
        <v>#DIV/0!</v>
      </c>
      <c r="H107" s="40">
        <f>COUNTIFS(Calc!$P:$P,A102,Calc!$H:$H,A123,Calc!$L:$L,A104,Calc!$N:$N,E107,Calc!$F:$F,F104)</f>
        <v>0</v>
      </c>
      <c r="I107" s="40">
        <f>COUNTIFS(Calc!$P:$P,A102,Calc!$H:$H,A123,Calc!$L:$L,A104,Calc!$N:$N,E107,Calc!$F:$F,F123)</f>
        <v>0</v>
      </c>
      <c r="K107" s="150">
        <f>COUNTIFS(Calc!$P:$P,K102,Calc!$H:$H,K123,Calc!$L:$L,K104,Calc!$O:$O,IF(Q123="R","BS","FS"))</f>
        <v>0</v>
      </c>
      <c r="L107" s="150">
        <f>COUNTIFS(Calc!$P:$P,K102,Calc!$H:$H,K123,Calc!$L:$L,K104,Calc!$O:$O,IF(Q123="R","BMS","FMS"))</f>
        <v>0</v>
      </c>
      <c r="M107" s="150">
        <f>COUNTIFS(Calc!$P:$P,K102,Calc!$H:$H,K123,Calc!$L:$L,K104,Calc!$O:$O,IF(Q123="R","FMS","BMS"))</f>
        <v>0</v>
      </c>
      <c r="N107" s="150">
        <f>COUNTIFS(Calc!$P:$P,K102,Calc!$H:$H,K123,Calc!$L:$L,K104,Calc!$O:$O,IF(Q123="R","FS","BS"))</f>
        <v>0</v>
      </c>
      <c r="O107" s="40" t="s">
        <v>17</v>
      </c>
      <c r="P107" s="40">
        <f>COUNTIFS(Calc!$P:$P,K102,Calc!$H:$H,K123,Calc!$L:$L,K104,Calc!$N:$N,O107)</f>
        <v>0</v>
      </c>
      <c r="Q107" s="41" t="e">
        <f>P107/SUM(P105:P112)</f>
        <v>#DIV/0!</v>
      </c>
      <c r="R107" s="40">
        <f>COUNTIFS(Calc!$P:$P,K102,Calc!$H:$H,K123,Calc!$L:$L,K104,Calc!$N:$N,O107,Calc!$F:$F,P104)</f>
        <v>0</v>
      </c>
      <c r="S107" s="40">
        <f>COUNTIFS(Calc!$P:$P,K102,Calc!$H:$H,K123,Calc!$L:$L,K104,Calc!$N:$N,O107,Calc!$F:$F,P123)</f>
        <v>0</v>
      </c>
    </row>
    <row r="108" spans="1:19" x14ac:dyDescent="0.45">
      <c r="A108" s="136"/>
      <c r="B108" s="136"/>
      <c r="C108" s="136"/>
      <c r="D108" s="136"/>
      <c r="E108" s="40" t="s">
        <v>16</v>
      </c>
      <c r="F108" s="40">
        <f>COUNTIFS(Calc!$P:$P,A102,Calc!$H:$H,A123,Calc!$L:$L,A104,Calc!$N:$N,E108)</f>
        <v>0</v>
      </c>
      <c r="G108" s="41" t="e">
        <f>F108/SUM(F105:F112)</f>
        <v>#DIV/0!</v>
      </c>
      <c r="H108" s="40">
        <f>COUNTIFS(Calc!$P:$P,A102,Calc!$H:$H,A123,Calc!$L:$L,A104,Calc!$N:$N,E108,Calc!$F:$F,F104)</f>
        <v>0</v>
      </c>
      <c r="I108" s="40">
        <f>COUNTIFS(Calc!$P:$P,A102,Calc!$H:$H,A123,Calc!$L:$L,A104,Calc!$N:$N,E108,Calc!$F:$F,F123)</f>
        <v>0</v>
      </c>
      <c r="K108" s="136"/>
      <c r="L108" s="136"/>
      <c r="M108" s="136"/>
      <c r="N108" s="136"/>
      <c r="O108" s="40" t="s">
        <v>16</v>
      </c>
      <c r="P108" s="40">
        <f>COUNTIFS(Calc!$P:$P,K102,Calc!$H:$H,K123,Calc!$L:$L,K104,Calc!$N:$N,O108)</f>
        <v>0</v>
      </c>
      <c r="Q108" s="41" t="e">
        <f>P108/SUM(P105:P112)</f>
        <v>#DIV/0!</v>
      </c>
      <c r="R108" s="40">
        <f>COUNTIFS(Calc!$P:$P,K102,Calc!$H:$H,K123,Calc!$L:$L,K104,Calc!$N:$N,O108,Calc!$F:$F,P104)</f>
        <v>0</v>
      </c>
      <c r="S108" s="40">
        <f>COUNTIFS(Calc!$P:$P,K102,Calc!$H:$H,K123,Calc!$L:$L,K104,Calc!$N:$N,O108,Calc!$F:$F,P123)</f>
        <v>0</v>
      </c>
    </row>
    <row r="109" spans="1:19" x14ac:dyDescent="0.45">
      <c r="A109" s="135">
        <f>COUNTIFS(Calc!$P:$P,A102,Calc!$H:$H,A123,Calc!$L:$L,A104,Calc!$O:$O,IF(G123="R","B","F"))</f>
        <v>0</v>
      </c>
      <c r="B109" s="135">
        <f>COUNTIFS(Calc!$P:$P,A102,Calc!$H:$H,A123,Calc!$L:$L,A104,Calc!$O:$O,IF(G123="R","BM","FM"))</f>
        <v>0</v>
      </c>
      <c r="C109" s="135">
        <f>COUNTIFS(Calc!$P:$P,A102,Calc!$H:$H,A123,Calc!$L:$L,A104,Calc!$O:$O,IF(G123="R","FM","BM"))</f>
        <v>0</v>
      </c>
      <c r="D109" s="135">
        <f>COUNTIFS(Calc!$P:$P,A102,Calc!$H:$H,A123,Calc!$L:$L,A104,Calc!$O:$O,IF(G123="R","F","B"))</f>
        <v>0</v>
      </c>
      <c r="E109" s="40" t="s">
        <v>103</v>
      </c>
      <c r="F109" s="40">
        <f>COUNTIFS(Calc!$P:$P,A102,Calc!$H:$H,A123,Calc!$L:$L,A104,Calc!$N:$N,E109)</f>
        <v>0</v>
      </c>
      <c r="G109" s="41" t="e">
        <f>F109/SUM(F105:F112)</f>
        <v>#DIV/0!</v>
      </c>
      <c r="H109" s="40">
        <f>COUNTIFS(Calc!$P:$P,A102,Calc!$H:$H,A123,Calc!$L:$L,A104,Calc!$N:$N,E109,Calc!$F:$F,F104)</f>
        <v>0</v>
      </c>
      <c r="I109" s="40">
        <f>COUNTIFS(Calc!$P:$P,A102,Calc!$H:$H,A123,Calc!$L:$L,A104,Calc!$N:$N,E109,Calc!$F:$F,F123)</f>
        <v>0</v>
      </c>
      <c r="K109" s="135">
        <f>COUNTIFS(Calc!$P:$P,K102,Calc!$H:$H,K123,Calc!$L:$L,K104,Calc!$O:$O,IF(Q123="R","B","F"))</f>
        <v>0</v>
      </c>
      <c r="L109" s="135">
        <f>COUNTIFS(Calc!$P:$P,K102,Calc!$H:$H,K123,Calc!$L:$L,K104,Calc!$O:$O,IF(Q123="R","BM","FM"))</f>
        <v>0</v>
      </c>
      <c r="M109" s="135">
        <f>COUNTIFS(Calc!$P:$P,K102,Calc!$H:$H,K123,Calc!$L:$L,K104,Calc!$O:$O,IF(Q123="R","FM","BM"))</f>
        <v>0</v>
      </c>
      <c r="N109" s="135">
        <f>COUNTIFS(Calc!$P:$P,K102,Calc!$H:$H,K123,Calc!$L:$L,K104,Calc!$O:$O,IF(Q123="R","F","B"))</f>
        <v>0</v>
      </c>
      <c r="O109" s="40" t="s">
        <v>103</v>
      </c>
      <c r="P109" s="40">
        <f>COUNTIFS(Calc!$P:$P,K102,Calc!$H:$H,K123,Calc!$L:$L,K104,Calc!$N:$N,O109)</f>
        <v>0</v>
      </c>
      <c r="Q109" s="41" t="e">
        <f>P109/SUM(P105:P112)</f>
        <v>#DIV/0!</v>
      </c>
      <c r="R109" s="40">
        <f>COUNTIFS(Calc!$P:$P,K102,Calc!$H:$H,K123,Calc!$L:$L,K104,Calc!$N:$N,O109,Calc!$F:$F,P104)</f>
        <v>0</v>
      </c>
      <c r="S109" s="40">
        <f>COUNTIFS(Calc!$P:$P,K102,Calc!$H:$H,K123,Calc!$L:$L,K104,Calc!$N:$N,O109,Calc!$F:$F,P123)</f>
        <v>0</v>
      </c>
    </row>
    <row r="110" spans="1:19" x14ac:dyDescent="0.45">
      <c r="A110" s="136"/>
      <c r="B110" s="136"/>
      <c r="C110" s="136"/>
      <c r="D110" s="136"/>
      <c r="E110" s="40" t="s">
        <v>82</v>
      </c>
      <c r="F110" s="40">
        <f>COUNTIFS(Calc!$P:$P,A102,Calc!$H:$H,A123,Calc!$L:$L,A104,Calc!$N:$N,E110)</f>
        <v>0</v>
      </c>
      <c r="G110" s="41" t="e">
        <f>F110/SUM(F105:F112)</f>
        <v>#DIV/0!</v>
      </c>
      <c r="H110" s="40">
        <f>COUNTIFS(Calc!$P:$P,A102,Calc!$H:$H,A123,Calc!$L:$L,A104,Calc!$N:$N,E110,Calc!$F:$F,F104)</f>
        <v>0</v>
      </c>
      <c r="I110" s="40">
        <f>COUNTIFS(Calc!$P:$P,A102,Calc!$H:$H,A123,Calc!$L:$L,A104,Calc!$N:$N,E110,Calc!$F:$F,F123)</f>
        <v>0</v>
      </c>
      <c r="K110" s="136"/>
      <c r="L110" s="136"/>
      <c r="M110" s="136"/>
      <c r="N110" s="136"/>
      <c r="O110" s="40" t="s">
        <v>82</v>
      </c>
      <c r="P110" s="40">
        <f>COUNTIFS(Calc!$P:$P,K102,Calc!$H:$H,K123,Calc!$L:$L,K104,Calc!$N:$N,O110)</f>
        <v>0</v>
      </c>
      <c r="Q110" s="41" t="e">
        <f>P110/SUM(P105:P112)</f>
        <v>#DIV/0!</v>
      </c>
      <c r="R110" s="40">
        <f>COUNTIFS(Calc!$P:$P,K102,Calc!$H:$H,K123,Calc!$L:$L,K104,Calc!$N:$N,O110,Calc!$F:$F,P104)</f>
        <v>0</v>
      </c>
      <c r="S110" s="40">
        <f>COUNTIFS(Calc!$P:$P,K102,Calc!$H:$H,K123,Calc!$L:$L,K104,Calc!$N:$N,O110,Calc!$F:$F,P123)</f>
        <v>0</v>
      </c>
    </row>
    <row r="111" spans="1:19" x14ac:dyDescent="0.45">
      <c r="A111" s="138" t="s">
        <v>80</v>
      </c>
      <c r="B111" s="138"/>
      <c r="C111" s="138"/>
      <c r="D111" s="138"/>
      <c r="E111" s="40" t="s">
        <v>83</v>
      </c>
      <c r="F111" s="40">
        <f>COUNTIFS(Calc!$P:$P,A102,Calc!$H:$H,A123,Calc!$L:$L,A104,Calc!$N:$N,E111)</f>
        <v>0</v>
      </c>
      <c r="G111" s="41" t="e">
        <f>F111/SUM(F105:F112)</f>
        <v>#DIV/0!</v>
      </c>
      <c r="H111" s="40">
        <f>COUNTIFS(Calc!$P:$P,A102,Calc!$H:$H,A123,Calc!$L:$L,A104,Calc!$N:$N,E111,Calc!$F:$F,F104)</f>
        <v>0</v>
      </c>
      <c r="I111" s="40">
        <f>COUNTIFS(Calc!$P:$P,A102,Calc!$H:$H,A123,Calc!$L:$L,A104,Calc!$N:$N,E111,Calc!$F:$F,F123)</f>
        <v>0</v>
      </c>
      <c r="K111" s="138" t="s">
        <v>80</v>
      </c>
      <c r="L111" s="138"/>
      <c r="M111" s="138"/>
      <c r="N111" s="138"/>
      <c r="O111" s="40" t="s">
        <v>83</v>
      </c>
      <c r="P111" s="40">
        <f>COUNTIFS(Calc!$P:$P,K102,Calc!$H:$H,K123,Calc!$L:$L,K104,Calc!$N:$N,O111)</f>
        <v>0</v>
      </c>
      <c r="Q111" s="41" t="e">
        <f>P111/SUM(P105:P112)</f>
        <v>#DIV/0!</v>
      </c>
      <c r="R111" s="40">
        <f>COUNTIFS(Calc!$P:$P,K102,Calc!$H:$H,K123,Calc!$L:$L,K104,Calc!$N:$N,O111,Calc!$F:$F,P104)</f>
        <v>0</v>
      </c>
      <c r="S111" s="40">
        <f>COUNTIFS(Calc!$P:$P,K102,Calc!$H:$H,K123,Calc!$L:$L,K104,Calc!$N:$N,O111,Calc!$F:$F,P123)</f>
        <v>0</v>
      </c>
    </row>
    <row r="112" spans="1:19" x14ac:dyDescent="0.45">
      <c r="A112" s="133">
        <f>COUNTIFS(Calc!$P:$P,A102,Calc!$H:$H,A123,Calc!$L:$L,A104,Calc!$O:$O,"オーバーミス")</f>
        <v>0</v>
      </c>
      <c r="B112" s="133"/>
      <c r="C112" s="133"/>
      <c r="D112" s="133"/>
      <c r="E112" s="40" t="s">
        <v>107</v>
      </c>
      <c r="F112" s="40">
        <f>COUNTIFS(Calc!$P:$P,A102,Calc!$H:$H,A123,Calc!$L:$L,A104,Calc!$N:$N,E112)</f>
        <v>0</v>
      </c>
      <c r="G112" s="41" t="e">
        <f>F112/SUM(F105:F112)</f>
        <v>#DIV/0!</v>
      </c>
      <c r="H112" s="40">
        <f>COUNTIFS(Calc!$P:$P,A102,Calc!$H:$H,A123,Calc!$L:$L,A104,Calc!$N:$N,E112,Calc!$F:$F,F104)</f>
        <v>0</v>
      </c>
      <c r="I112" s="40">
        <f>COUNTIFS(Calc!$P:$P,A102,Calc!$H:$H,A123,Calc!$L:$L,A104,Calc!$N:$N,E112,Calc!$F:$F,F123)</f>
        <v>0</v>
      </c>
      <c r="K112" s="133">
        <f>COUNTIFS(Calc!$P:$P,K102,Calc!$H:$H,K123,Calc!$L:$L,K104,Calc!$O:$O,"オーバーミス")</f>
        <v>0</v>
      </c>
      <c r="L112" s="133"/>
      <c r="M112" s="133"/>
      <c r="N112" s="133"/>
      <c r="O112" s="40" t="s">
        <v>107</v>
      </c>
      <c r="P112" s="40">
        <f>COUNTIFS(Calc!$P:$P,K102,Calc!$H:$H,K123,Calc!$L:$L,K104,Calc!$N:$N,O112)</f>
        <v>0</v>
      </c>
      <c r="Q112" s="41" t="e">
        <f>P112/SUM(P105:P112)</f>
        <v>#DIV/0!</v>
      </c>
      <c r="R112" s="40">
        <f>COUNTIFS(Calc!$P:$P,K102,Calc!$H:$H,K123,Calc!$L:$L,K104,Calc!$N:$N,O112,Calc!$F:$F,P104)</f>
        <v>0</v>
      </c>
      <c r="S112" s="40">
        <f>COUNTIFS(Calc!$P:$P,K102,Calc!$H:$H,K123,Calc!$L:$L,K104,Calc!$N:$N,O112,Calc!$F:$F,P123)</f>
        <v>0</v>
      </c>
    </row>
    <row r="113" spans="1:19" x14ac:dyDescent="0.45">
      <c r="A113" s="103"/>
      <c r="B113" s="103"/>
      <c r="C113" s="103"/>
      <c r="D113" s="103"/>
      <c r="E113" s="37"/>
      <c r="F113" s="37"/>
      <c r="G113" s="38"/>
      <c r="H113" s="37"/>
      <c r="I113" s="37"/>
      <c r="K113" s="104"/>
      <c r="L113" s="104"/>
      <c r="M113" s="104"/>
      <c r="N113" s="104"/>
      <c r="O113" s="40"/>
      <c r="P113" s="40"/>
      <c r="Q113" s="41"/>
      <c r="R113" s="40"/>
      <c r="S113" s="40"/>
    </row>
    <row r="114" spans="1:19" x14ac:dyDescent="0.45">
      <c r="A114" t="s">
        <v>179</v>
      </c>
      <c r="K114" t="s">
        <v>179</v>
      </c>
    </row>
    <row r="115" spans="1:19" x14ac:dyDescent="0.45">
      <c r="A115" s="187">
        <f>COUNTIFS(Calc!$P:$P,A102,Calc!$H:$H,A123,Calc!$L:$L,A104,Calc!$K:$K,IF(E104="R","F","B"))</f>
        <v>0</v>
      </c>
      <c r="B115" s="187">
        <f>COUNTIFS(Calc!$P:$P,A102,Calc!$H:$H,A123,Calc!$L:$L,A104,Calc!$K:$K,IF(E104="R","FM","BM"))</f>
        <v>0</v>
      </c>
      <c r="C115" s="187">
        <f>COUNTIFS(Calc!$P:$P,A102,Calc!$H:$H,A123,Calc!$L:$L,A104,Calc!$K:$K,IF(E104="R","BM","FM"))</f>
        <v>0</v>
      </c>
      <c r="D115" s="187">
        <f>COUNTIFS(Calc!$P:$P,A102,Calc!$H:$H,A123,Calc!$L:$L,A104,Calc!$K:$K,IF(E104="R","B","F"))</f>
        <v>0</v>
      </c>
      <c r="E115" s="37"/>
      <c r="F115" s="37"/>
      <c r="G115" s="38"/>
      <c r="H115" s="37"/>
      <c r="I115" s="37"/>
      <c r="K115" s="134">
        <f>COUNTIFS(Calc!$P:$P,K102,Calc!$H:$H,K123,Calc!$L:$L,K104,Calc!$K:$K,IF(O104="R","F","B"))</f>
        <v>0</v>
      </c>
      <c r="L115" s="134">
        <f>COUNTIFS(Calc!$P:$P,K102,Calc!$H:$H,K123,Calc!$L:$L,K104,Calc!$K:$K,IF(O104="R","FM","BM"))</f>
        <v>0</v>
      </c>
      <c r="M115" s="134">
        <f>COUNTIFS(Calc!$P:$P,K102,Calc!$H:$H,K123,Calc!$L:$L,K104,Calc!$K:$K,IF(O104="R","BM","FM"))</f>
        <v>0</v>
      </c>
      <c r="N115" s="134">
        <f>COUNTIFS(Calc!$P:$P,K102,Calc!$H:$H,K123,Calc!$L:$L,K104,Calc!$K:$K,IF(O104="R","B","F"))</f>
        <v>0</v>
      </c>
      <c r="O115" s="37"/>
      <c r="P115" s="37"/>
      <c r="Q115" s="38"/>
      <c r="R115" s="37"/>
      <c r="S115" s="37"/>
    </row>
    <row r="116" spans="1:19" x14ac:dyDescent="0.45">
      <c r="A116" s="180"/>
      <c r="B116" s="180"/>
      <c r="C116" s="180"/>
      <c r="D116" s="180"/>
      <c r="E116" s="37"/>
      <c r="F116" s="37"/>
      <c r="G116" s="38"/>
      <c r="H116" s="37"/>
      <c r="I116" s="37"/>
      <c r="K116" s="134"/>
      <c r="L116" s="134"/>
      <c r="M116" s="134"/>
      <c r="N116" s="134"/>
      <c r="O116" s="37"/>
      <c r="P116" s="37"/>
      <c r="Q116" s="38"/>
      <c r="R116" s="37"/>
      <c r="S116" s="37"/>
    </row>
    <row r="117" spans="1:19" ht="18.600000000000001" thickBot="1" x14ac:dyDescent="0.5">
      <c r="A117" s="187">
        <f>COUNTIFS(Calc!$P:$P,A102,Calc!$H:$H,A123,Calc!$L:$L,A104,Calc!$K:$K,IF(E104="R","FS","BS"))</f>
        <v>0</v>
      </c>
      <c r="B117" s="187">
        <f>COUNTIFS(Calc!$P:$P,A102,Calc!$H:$H,A123,Calc!$L:$L,A104,Calc!$K:$K,IF(E104="R","FMS","BMS"))</f>
        <v>0</v>
      </c>
      <c r="C117" s="187">
        <f>COUNTIFS(Calc!$P:$P,A102,Calc!$H:$H,A123,Calc!$L:$L,A104,Calc!$K:$K,IF(E104="R","BMS","FMS"))</f>
        <v>0</v>
      </c>
      <c r="D117" s="187">
        <f>COUNTIFS(Calc!$P:$P,A102,Calc!$H:$H,A123,Calc!$L:$L,A104,Calc!$K:$K,IF(E104="R","BS","FS"))</f>
        <v>0</v>
      </c>
      <c r="E117" s="37"/>
      <c r="F117" s="37"/>
      <c r="G117" s="38"/>
      <c r="H117" s="37"/>
      <c r="I117" s="37"/>
      <c r="K117" s="159">
        <f>COUNTIFS(Calc!$P:$P,K102,Calc!$H:$H,K123,Calc!$L:$L,K104,Calc!$K:$K,IF(O104="R","FS","BS"))</f>
        <v>0</v>
      </c>
      <c r="L117" s="159">
        <f>COUNTIFS(Calc!$P:$P,K102,Calc!$H:$H,K123,Calc!$L:$L,K104,Calc!$K:$K,IF(O104="R","FMS","BMS"))</f>
        <v>0</v>
      </c>
      <c r="M117" s="159">
        <f>COUNTIFS(Calc!$P:$P,K102,Calc!$H:$H,K123,Calc!$L:$L,K104,Calc!$K:$K,IF(O104="R","BMS","FMS"))</f>
        <v>0</v>
      </c>
      <c r="N117" s="159">
        <f>COUNTIFS(Calc!$P:$P,K102,Calc!$H:$H,K123,Calc!$L:$L,K104,Calc!$K:$K,IF(O104="R","BS","FS"))</f>
        <v>0</v>
      </c>
      <c r="O117" s="37"/>
      <c r="P117" s="37"/>
      <c r="Q117" s="38"/>
      <c r="R117" s="37"/>
      <c r="S117" s="37"/>
    </row>
    <row r="118" spans="1:19" ht="19.2" thickTop="1" thickBot="1" x14ac:dyDescent="0.5">
      <c r="A118" s="188"/>
      <c r="B118" s="188"/>
      <c r="C118" s="188"/>
      <c r="D118" s="188"/>
      <c r="E118" s="37"/>
      <c r="F118" s="37"/>
      <c r="G118" s="38"/>
      <c r="H118" s="37"/>
      <c r="I118" s="37"/>
      <c r="K118" s="160"/>
      <c r="L118" s="160"/>
      <c r="M118" s="160"/>
      <c r="N118" s="160"/>
      <c r="O118" s="37"/>
      <c r="P118" s="37"/>
      <c r="Q118" s="38"/>
      <c r="R118" s="37"/>
      <c r="S118" s="37"/>
    </row>
    <row r="119" spans="1:19" ht="19.2" thickTop="1" thickBot="1" x14ac:dyDescent="0.5">
      <c r="A119" s="181">
        <f>COUNTIFS(Calc!$P:$P,A102,Calc!$H:$H,A123,Calc!$L:$L,A104,Calc!$J:$J,IF(E123="R","B","F"))</f>
        <v>0</v>
      </c>
      <c r="B119" s="182"/>
      <c r="C119" s="181">
        <f>COUNTIFS(Calc!$P:$P,A102,Calc!$H:$H,A123,Calc!$L:$L,A104,Calc!$J:$J,IF(E123="R","F","B"))</f>
        <v>0</v>
      </c>
      <c r="D119" s="182"/>
      <c r="E119" s="37"/>
      <c r="F119" s="37"/>
      <c r="G119" s="38"/>
      <c r="H119" s="37" t="s">
        <v>177</v>
      </c>
      <c r="I119" s="37" t="s">
        <v>178</v>
      </c>
      <c r="K119" s="160">
        <f>COUNTIFS(Calc!$P:$P,K102,Calc!$H:$H,K123,Calc!$L:$L,K104,Calc!$J:$J,IF(O123="R","B","F"))</f>
        <v>0</v>
      </c>
      <c r="L119" s="160"/>
      <c r="M119" s="160">
        <f>COUNTIFS(Calc!$P:$P,K102,Calc!$H:$H,K123,Calc!$L:$L,K104,Calc!$J:$J,IF(O123="R","F","B"))</f>
        <v>0</v>
      </c>
      <c r="N119" s="160"/>
      <c r="O119" s="37"/>
      <c r="P119" s="37"/>
      <c r="Q119" s="38"/>
      <c r="R119" s="37" t="s">
        <v>177</v>
      </c>
      <c r="S119" s="37" t="s">
        <v>178</v>
      </c>
    </row>
    <row r="120" spans="1:19" ht="19.2" thickTop="1" thickBot="1" x14ac:dyDescent="0.5">
      <c r="A120" s="183"/>
      <c r="B120" s="184"/>
      <c r="C120" s="183"/>
      <c r="D120" s="184"/>
      <c r="E120" s="37" t="s">
        <v>174</v>
      </c>
      <c r="F120" s="37">
        <f>COUNTIFS(Calc!$P:$P,A102,Calc!$H:$H,A123,Calc!$L:$L,A104,Calc!$I:$I,E120)</f>
        <v>0</v>
      </c>
      <c r="G120" s="38" t="e">
        <f>F120/SUM(F120:F122)</f>
        <v>#DIV/0!</v>
      </c>
      <c r="H120" s="37">
        <f>COUNTIFS(Calc!$P:$P,A102,Calc!$H:$H,A123,Calc!$L:$L,A104,Calc!$I:$I,E120,Calc!$F:$F,F123)</f>
        <v>0</v>
      </c>
      <c r="I120" s="37">
        <f>COUNTIFS(Calc!$P:$P,A102,Calc!$H:$H,A123,Calc!$L:$L,A104,Calc!$I:$I,E120,Calc!$F:$F,F104)</f>
        <v>0</v>
      </c>
      <c r="K120" s="160"/>
      <c r="L120" s="160"/>
      <c r="M120" s="160"/>
      <c r="N120" s="160"/>
      <c r="O120" s="37" t="s">
        <v>174</v>
      </c>
      <c r="P120" s="37">
        <f>COUNTIFS(Calc!$P:$P,K102,Calc!$H:$H,K123,Calc!$L:$L,K104,Calc!$I:$I,O120)</f>
        <v>0</v>
      </c>
      <c r="Q120" s="38" t="e">
        <f>P120/SUM(P120:P122)</f>
        <v>#DIV/0!</v>
      </c>
      <c r="R120" s="37">
        <f>COUNTIFS(Calc!$P:$P,K102,Calc!$H:$H,K123,Calc!$L:$L,K104,Calc!$I:$I,O120,Calc!$F:$F,P123)</f>
        <v>0</v>
      </c>
      <c r="S120" s="37">
        <f>COUNTIFS(Calc!$P:$P,K102,Calc!$H:$H,K123,Calc!$L:$L,K104,Calc!$I:$I,O120,Calc!$F:$F,P104)</f>
        <v>0</v>
      </c>
    </row>
    <row r="121" spans="1:19" ht="19.2" thickTop="1" thickBot="1" x14ac:dyDescent="0.5">
      <c r="A121" s="183"/>
      <c r="B121" s="184"/>
      <c r="C121" s="183"/>
      <c r="D121" s="184"/>
      <c r="E121" s="37" t="s">
        <v>63</v>
      </c>
      <c r="F121" s="37">
        <f>COUNTIFS(Calc!$P:$P,A102,Calc!$H:$H,A123,Calc!$L:$L,A104,Calc!$I:$I,E121)</f>
        <v>0</v>
      </c>
      <c r="G121" s="38" t="e">
        <f>F121/SUM(F120:F122)</f>
        <v>#DIV/0!</v>
      </c>
      <c r="H121" s="37">
        <f>COUNTIFS(Calc!$P:$P,A102,Calc!$H:$H,A123,Calc!$L:$L,A104,Calc!$I:$I,E121,Calc!$F:$F,F123)</f>
        <v>0</v>
      </c>
      <c r="I121" s="37">
        <f>COUNTIFS(Calc!$P:$P,A102,Calc!$H:$H,A123,Calc!$L:$L,A104,Calc!$I:$I,E121,Calc!$F:$F,F104)</f>
        <v>0</v>
      </c>
      <c r="K121" s="160"/>
      <c r="L121" s="160"/>
      <c r="M121" s="160"/>
      <c r="N121" s="160"/>
      <c r="O121" s="37" t="s">
        <v>63</v>
      </c>
      <c r="P121" s="37">
        <f>COUNTIFS(Calc!$P:$P,K102,Calc!$H:$H,K123,Calc!$L:$L,K104,Calc!$I:$I,O121)</f>
        <v>0</v>
      </c>
      <c r="Q121" s="38" t="e">
        <f>P121/SUM(P120:P122)</f>
        <v>#DIV/0!</v>
      </c>
      <c r="R121" s="37">
        <f>COUNTIFS(Calc!$P:$P,K102,Calc!$H:$H,K123,Calc!$L:$L,K104,Calc!$I:$I,O121,Calc!$F:$F,P123)</f>
        <v>0</v>
      </c>
      <c r="S121" s="37">
        <f>COUNTIFS(Calc!$P:$P,K102,Calc!$H:$H,K123,Calc!$L:$L,K104,Calc!$I:$I,O121,Calc!$F:$F,P104)</f>
        <v>0</v>
      </c>
    </row>
    <row r="122" spans="1:19" ht="18.600000000000001" thickTop="1" x14ac:dyDescent="0.45">
      <c r="A122" s="185"/>
      <c r="B122" s="186"/>
      <c r="C122" s="185"/>
      <c r="D122" s="186"/>
      <c r="E122" s="37" t="s">
        <v>61</v>
      </c>
      <c r="F122" s="37">
        <f>COUNTIFS(Calc!$P:$P,A102,Calc!$H:$H,A123,Calc!$L:$L,A104,Calc!$I:$I,E122)</f>
        <v>0</v>
      </c>
      <c r="G122" s="38" t="e">
        <f>F122/SUM(F120:F122)</f>
        <v>#DIV/0!</v>
      </c>
      <c r="H122" s="37">
        <f>COUNTIFS(Calc!$P:$P,A102,Calc!$H:$H,A123,Calc!$L:$L,A104,Calc!$I:$I,E122,Calc!$F:$F,F123)</f>
        <v>0</v>
      </c>
      <c r="I122" s="37">
        <f>COUNTIFS(Calc!$P:$P,A102,Calc!$H:$H,A123,Calc!$L:$L,A104,Calc!$I:$I,E122,Calc!$F:$F,F104)</f>
        <v>0</v>
      </c>
      <c r="K122" s="162"/>
      <c r="L122" s="162"/>
      <c r="M122" s="162"/>
      <c r="N122" s="162"/>
      <c r="O122" s="37" t="s">
        <v>61</v>
      </c>
      <c r="P122" s="37">
        <f>COUNTIFS(Calc!$P:$P,K102,Calc!$H:$H,K123,Calc!$L:$L,K104,Calc!$I:$I,O122)</f>
        <v>0</v>
      </c>
      <c r="Q122" s="38" t="e">
        <f>P122/SUM(P120:P122)</f>
        <v>#DIV/0!</v>
      </c>
      <c r="R122" s="37">
        <f>COUNTIFS(Calc!$P:$P,K102,Calc!$H:$H,K123,Calc!$L:$L,K104,Calc!$I:$I,O122,Calc!$F:$F,P123)</f>
        <v>0</v>
      </c>
      <c r="S122" s="37">
        <f>COUNTIFS(Calc!$P:$P,K102,Calc!$H:$H,K123,Calc!$L:$L,K104,Calc!$I:$I,O122,Calc!$F:$F,P104)</f>
        <v>0</v>
      </c>
    </row>
    <row r="123" spans="1:19" x14ac:dyDescent="0.45">
      <c r="A123" s="155" t="str">
        <f>Main!$D$8</f>
        <v>HIRANO Miu</v>
      </c>
      <c r="B123" s="155"/>
      <c r="C123" s="155"/>
      <c r="D123" s="155"/>
      <c r="E123" s="36" t="str">
        <f>Main!$F$8</f>
        <v>R</v>
      </c>
      <c r="F123" s="36" t="str">
        <f>Main!$B$8</f>
        <v>RedELF</v>
      </c>
      <c r="G123" s="45" t="str">
        <f>Main!$F$10</f>
        <v/>
      </c>
      <c r="H123" s="112"/>
      <c r="K123" s="155" t="str">
        <f>Main!$D$10</f>
        <v/>
      </c>
      <c r="L123" s="156"/>
      <c r="M123" s="156"/>
      <c r="N123" s="156"/>
      <c r="O123" s="36" t="str">
        <f>Main!$F$10</f>
        <v/>
      </c>
      <c r="P123" s="45" t="str">
        <f>Main!$B$8</f>
        <v>RedELF</v>
      </c>
      <c r="Q123" s="45" t="str">
        <f>Main!$F$8</f>
        <v>R</v>
      </c>
    </row>
    <row r="127" spans="1:19" x14ac:dyDescent="0.45">
      <c r="A127" s="139" t="s">
        <v>157</v>
      </c>
      <c r="B127" s="139"/>
      <c r="C127" s="139"/>
      <c r="D127" s="139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</row>
    <row r="128" spans="1:19" x14ac:dyDescent="0.45">
      <c r="A128" s="116">
        <v>3</v>
      </c>
      <c r="B128" s="114"/>
      <c r="C128" s="114"/>
      <c r="D128" s="114"/>
      <c r="E128" s="114"/>
      <c r="F128" s="114"/>
      <c r="G128" s="114"/>
      <c r="H128" s="114"/>
      <c r="I128" s="114"/>
      <c r="J128" s="114"/>
      <c r="K128" s="116">
        <v>3</v>
      </c>
      <c r="L128" s="114"/>
      <c r="M128" s="114"/>
      <c r="N128" s="114"/>
      <c r="O128" s="114"/>
      <c r="P128" s="114"/>
      <c r="Q128" s="114"/>
      <c r="R128" s="114"/>
      <c r="S128" s="114"/>
    </row>
    <row r="129" spans="1:19" x14ac:dyDescent="0.45">
      <c r="A129" t="s">
        <v>139</v>
      </c>
      <c r="K129" t="s">
        <v>139</v>
      </c>
    </row>
    <row r="130" spans="1:19" x14ac:dyDescent="0.45">
      <c r="A130" s="140" t="str">
        <f>Main!$D$8</f>
        <v>HIRANO Miu</v>
      </c>
      <c r="B130" s="141"/>
      <c r="C130" s="141"/>
      <c r="D130" s="141"/>
      <c r="E130" s="36" t="str">
        <f>Main!$F$8</f>
        <v>R</v>
      </c>
      <c r="F130" s="36" t="str">
        <f>Main!$B$8</f>
        <v>RedELF</v>
      </c>
      <c r="G130" s="44" t="str">
        <f>Main!$F$10</f>
        <v/>
      </c>
      <c r="H130" s="37" t="s">
        <v>109</v>
      </c>
      <c r="I130" s="37" t="s">
        <v>110</v>
      </c>
      <c r="K130" s="140" t="str">
        <f>Main!$D$10</f>
        <v/>
      </c>
      <c r="L130" s="141"/>
      <c r="M130" s="141"/>
      <c r="N130" s="141"/>
      <c r="O130" s="36" t="str">
        <f>Main!$F$10</f>
        <v/>
      </c>
      <c r="P130" s="36" t="str">
        <f>Main!$B$8</f>
        <v>RedELF</v>
      </c>
      <c r="Q130" s="36" t="str">
        <f>Main!$F$8</f>
        <v>R</v>
      </c>
      <c r="R130" s="37" t="s">
        <v>109</v>
      </c>
      <c r="S130" s="37" t="s">
        <v>110</v>
      </c>
    </row>
    <row r="131" spans="1:19" ht="18.600000000000001" thickBot="1" x14ac:dyDescent="0.5">
      <c r="A131" s="142" t="s">
        <v>97</v>
      </c>
      <c r="B131" s="143"/>
      <c r="C131" s="143"/>
      <c r="D131" s="82">
        <f>COUNTIFS(Calc!$P:$P,A128,Calc!$H:$H,A149,Calc!$L:$L,A130,Calc!$O:$O,"ネット")</f>
        <v>0</v>
      </c>
      <c r="E131" s="37" t="s">
        <v>99</v>
      </c>
      <c r="F131" s="37">
        <f>COUNTIFS(Calc!$P:$P,A128,Calc!$H:$H,A149,Calc!$L:$L,A130,Calc!$N:$N,E131)</f>
        <v>0</v>
      </c>
      <c r="G131" s="38" t="e">
        <f>F131/SUM(F131:F138)</f>
        <v>#DIV/0!</v>
      </c>
      <c r="H131" s="37">
        <f>COUNTIFS(Calc!$P:$P,A128,Calc!$H:$H,A149,Calc!$L:$L,A130,Calc!$N:$N,E131,Calc!$F:$F,F130)</f>
        <v>0</v>
      </c>
      <c r="I131" s="37">
        <f>COUNTIFS(Calc!$P:$P,A128,Calc!$H:$H,A149,Calc!$L:$L,A130,Calc!$N:$N,E131,Calc!$F:$F,F149)</f>
        <v>0</v>
      </c>
      <c r="K131" s="142" t="s">
        <v>81</v>
      </c>
      <c r="L131" s="143"/>
      <c r="M131" s="143"/>
      <c r="N131" s="82">
        <f>COUNTIFS(Calc!$P:$P,K128,Calc!$H:$H,K149,Calc!$L:$L,K130,Calc!$O:$O,"ネット")</f>
        <v>0</v>
      </c>
      <c r="O131" s="37" t="s">
        <v>14</v>
      </c>
      <c r="P131" s="37">
        <f>COUNTIFS(Calc!$P:$P,K128,Calc!$H:$H,K149,Calc!$L:$L,K130,Calc!$N:$N,O131)</f>
        <v>0</v>
      </c>
      <c r="Q131" s="38" t="e">
        <f>P131/SUM(P131:P138)</f>
        <v>#DIV/0!</v>
      </c>
      <c r="R131" s="37">
        <f>COUNTIFS(Calc!$P:$P,K128,Calc!$H:$H,K149,Calc!$L:$L,K130,Calc!$N:$N,O131,Calc!$F:$F,P130)</f>
        <v>0</v>
      </c>
      <c r="S131" s="37">
        <f>COUNTIFS(Calc!$P:$P,K128,Calc!$H:$H,K149,Calc!$L:$L,K130,Calc!$N:$N,O131,Calc!$F:$F,P149)</f>
        <v>0</v>
      </c>
    </row>
    <row r="132" spans="1:19" ht="18.600000000000001" thickTop="1" x14ac:dyDescent="0.45">
      <c r="A132" s="146" t="s">
        <v>114</v>
      </c>
      <c r="B132" s="147"/>
      <c r="C132" s="147"/>
      <c r="D132" s="109">
        <f>COUNTIFS(Calc!$P:$P,A128,Calc!$H:$H,A149,Calc!$L:$L,A130,Calc!$O:$O,"ネットイン")</f>
        <v>0</v>
      </c>
      <c r="E132" s="37" t="s">
        <v>100</v>
      </c>
      <c r="F132" s="37">
        <f>COUNTIFS(Calc!$P:$P,A128,Calc!$H:$H,A149,Calc!$L:$L,A130,Calc!$N:$N,E132)</f>
        <v>0</v>
      </c>
      <c r="G132" s="38" t="e">
        <f>F132/SUM(F131:F138)</f>
        <v>#DIV/0!</v>
      </c>
      <c r="H132" s="37">
        <f>COUNTIFS(Calc!$P:$P,A128,Calc!$H:$H,A149,Calc!$L:$L,A130,Calc!$N:$N,E132,Calc!$F:$F,F130)</f>
        <v>0</v>
      </c>
      <c r="I132" s="37">
        <f>COUNTIFS(Calc!$P:$P,A128,Calc!$H:$H,A149,Calc!$L:$L,A130,Calc!$N:$N,E132,Calc!$F:$F,F149)</f>
        <v>0</v>
      </c>
      <c r="K132" s="146" t="s">
        <v>176</v>
      </c>
      <c r="L132" s="147"/>
      <c r="M132" s="147"/>
      <c r="N132" s="109">
        <f>COUNTIFS(Calc!$P:$P,K128,Calc!$H:$H,K149,Calc!$L:$L,K130,Calc!$O:$O,"ネットイン")</f>
        <v>0</v>
      </c>
      <c r="O132" s="37" t="s">
        <v>15</v>
      </c>
      <c r="P132" s="37">
        <f>COUNTIFS(Calc!$P:$P,K128,Calc!$H:$H,K149,Calc!$L:$L,K130,Calc!$N:$N,O132)</f>
        <v>0</v>
      </c>
      <c r="Q132" s="38" t="e">
        <f>P132/SUM(P131:P138)</f>
        <v>#DIV/0!</v>
      </c>
      <c r="R132" s="37">
        <f>COUNTIFS(Calc!$P:$P,K128,Calc!$H:$H,K149,Calc!$L:$L,K130,Calc!$N:$N,O132,Calc!$F:$F,P130)</f>
        <v>0</v>
      </c>
      <c r="S132" s="37">
        <f>COUNTIFS(Calc!$P:$P,K128,Calc!$H:$H,K149,Calc!$L:$L,K130,Calc!$N:$N,O132,Calc!$F:$F,P149)</f>
        <v>0</v>
      </c>
    </row>
    <row r="133" spans="1:19" x14ac:dyDescent="0.45">
      <c r="A133" s="180">
        <f>COUNTIFS(Calc!$P:$P,A128,Calc!$H:$H,A149,Calc!$L:$L,A130,Calc!$O:$O,IF(G149="R","BS","FS"))</f>
        <v>0</v>
      </c>
      <c r="B133" s="180">
        <f>COUNTIFS(Calc!$P:$P,A128,Calc!$H:$H,A149,Calc!$L:$L,A130,Calc!$O:$O,IF(G149="R","BMS","FMS"))</f>
        <v>0</v>
      </c>
      <c r="C133" s="180">
        <f>COUNTIFS(Calc!$P:$P,A128,Calc!$H:$H,A149,Calc!$L:$L,A130,Calc!$O:$O,IF(G149="R","FMS","BMS"))</f>
        <v>0</v>
      </c>
      <c r="D133" s="180">
        <f>COUNTIFS(Calc!$P:$P,A128,Calc!$H:$H,A149,Calc!$L:$L,A130,Calc!$O:$O,IF(G149="R","FS","BS"))</f>
        <v>0</v>
      </c>
      <c r="E133" s="37" t="s">
        <v>101</v>
      </c>
      <c r="F133" s="37">
        <f>COUNTIFS(Calc!$P:$P,A128,Calc!$H:$H,A149,Calc!$L:$L,A130,Calc!$N:$N,E133)</f>
        <v>0</v>
      </c>
      <c r="G133" s="38" t="e">
        <f>F133/SUM(F131:F138)</f>
        <v>#DIV/0!</v>
      </c>
      <c r="H133" s="37">
        <f>COUNTIFS(Calc!$P:$P,A128,Calc!$H:$H,A149,Calc!$L:$L,A130,Calc!$N:$N,E133,Calc!$F:$F,F130)</f>
        <v>0</v>
      </c>
      <c r="I133" s="37">
        <f>COUNTIFS(Calc!$P:$P,A128,Calc!$H:$H,A149,Calc!$L:$L,A130,Calc!$N:$N,E133,Calc!$F:$F,F149)</f>
        <v>0</v>
      </c>
      <c r="K133" s="180">
        <f>COUNTIFS(Calc!$P:$P,K128,Calc!$H:$H,K149,Calc!$L:$L,K130,Calc!$O:$O,IF(Q149="R","BS","FS"))</f>
        <v>0</v>
      </c>
      <c r="L133" s="180">
        <f>COUNTIFS(Calc!$P:$P,K128,Calc!$H:$H,K149,Calc!$L:$L,K130,Calc!$O:$O,IF(Q149="R","BMS","FMS"))</f>
        <v>0</v>
      </c>
      <c r="M133" s="180">
        <f>COUNTIFS(Calc!$P:$P,K128,Calc!$H:$H,K149,Calc!$L:$L,K130,Calc!$O:$O,IF(Q149="R","FMS","BMS"))</f>
        <v>0</v>
      </c>
      <c r="N133" s="180">
        <f>COUNTIFS(Calc!$P:$P,K128,Calc!$H:$H,K149,Calc!$L:$L,K130,Calc!$O:$O,IF(Q149="R","FS","BS"))</f>
        <v>0</v>
      </c>
      <c r="O133" s="37" t="s">
        <v>17</v>
      </c>
      <c r="P133" s="37">
        <f>COUNTIFS(Calc!$P:$P,K128,Calc!$H:$H,K149,Calc!$L:$L,K130,Calc!$N:$N,O133)</f>
        <v>0</v>
      </c>
      <c r="Q133" s="38" t="e">
        <f>P133/SUM(P131:P138)</f>
        <v>#DIV/0!</v>
      </c>
      <c r="R133" s="37">
        <f>COUNTIFS(Calc!$P:$P,K128,Calc!$H:$H,K149,Calc!$L:$L,K130,Calc!$N:$N,O133,Calc!$F:$F,P130)</f>
        <v>0</v>
      </c>
      <c r="S133" s="37">
        <f>COUNTIFS(Calc!$P:$P,K128,Calc!$H:$H,K149,Calc!$L:$L,K130,Calc!$N:$N,O133,Calc!$F:$F,P149)</f>
        <v>0</v>
      </c>
    </row>
    <row r="134" spans="1:19" x14ac:dyDescent="0.45">
      <c r="A134" s="134"/>
      <c r="B134" s="134"/>
      <c r="C134" s="134"/>
      <c r="D134" s="134"/>
      <c r="E134" s="37" t="s">
        <v>102</v>
      </c>
      <c r="F134" s="37">
        <f>COUNTIFS(Calc!$P:$P,A128,Calc!$H:$H,A149,Calc!$L:$L,A130,Calc!$N:$N,E134)</f>
        <v>0</v>
      </c>
      <c r="G134" s="38" t="e">
        <f>F134/SUM(F131:F138)</f>
        <v>#DIV/0!</v>
      </c>
      <c r="H134" s="37">
        <f>COUNTIFS(Calc!$P:$P,A128,Calc!$H:$H,A149,Calc!$L:$L,A130,Calc!$N:$N,E134,Calc!$F:$F,F130)</f>
        <v>0</v>
      </c>
      <c r="I134" s="37">
        <f>COUNTIFS(Calc!$P:$P,A128,Calc!$H:$H,A149,Calc!$L:$L,A130,Calc!$N:$N,E134,Calc!$F:$F,F149)</f>
        <v>0</v>
      </c>
      <c r="K134" s="134"/>
      <c r="L134" s="134"/>
      <c r="M134" s="134"/>
      <c r="N134" s="134"/>
      <c r="O134" s="37" t="s">
        <v>16</v>
      </c>
      <c r="P134" s="37">
        <f>COUNTIFS(Calc!$P:$P,K128,Calc!$H:$H,K149,Calc!$L:$L,K130,Calc!$N:$N,O134)</f>
        <v>0</v>
      </c>
      <c r="Q134" s="38" t="e">
        <f>P134/SUM(P131:P138)</f>
        <v>#DIV/0!</v>
      </c>
      <c r="R134" s="37">
        <f>COUNTIFS(Calc!$P:$P,K128,Calc!$H:$H,K149,Calc!$L:$L,K130,Calc!$N:$N,O134,Calc!$F:$F,P130)</f>
        <v>0</v>
      </c>
      <c r="S134" s="37">
        <f>COUNTIFS(Calc!$P:$P,K128,Calc!$H:$H,K149,Calc!$L:$L,K130,Calc!$N:$N,O134,Calc!$F:$F,P149)</f>
        <v>0</v>
      </c>
    </row>
    <row r="135" spans="1:19" x14ac:dyDescent="0.45">
      <c r="A135" s="134">
        <f>COUNTIFS(Calc!$P:$P,A128,Calc!$H:$H,A149,Calc!$L:$L,A130,Calc!$O:$O,IF(G149="R","B","F"))</f>
        <v>0</v>
      </c>
      <c r="B135" s="134">
        <f>COUNTIFS(Calc!$P:$P,A128,Calc!$H:$H,A149,Calc!$L:$L,A130,Calc!$O:$O,IF(G149="R","BM","FM"))</f>
        <v>0</v>
      </c>
      <c r="C135" s="134">
        <f>COUNTIFS(Calc!$P:$P,A128,Calc!$H:$H,A149,Calc!$L:$L,A130,Calc!$O:$O,IF(G149="R","FM","BM"))</f>
        <v>0</v>
      </c>
      <c r="D135" s="134">
        <f>COUNTIFS(Calc!$P:$P,A128,Calc!$H:$H,A149,Calc!$L:$L,A130,Calc!$O:$O,IF(G149="R","F","B"))</f>
        <v>0</v>
      </c>
      <c r="E135" s="37" t="s">
        <v>104</v>
      </c>
      <c r="F135" s="37">
        <f>COUNTIFS(Calc!$P:$P,A128,Calc!$H:$H,A149,Calc!$L:$L,A130,Calc!$N:$N,E135)</f>
        <v>0</v>
      </c>
      <c r="G135" s="38" t="e">
        <f>F135/SUM(F131:F138)</f>
        <v>#DIV/0!</v>
      </c>
      <c r="H135" s="37">
        <f>COUNTIFS(Calc!$P:$P,A128,Calc!$H:$H,A149,Calc!$L:$L,A130,Calc!$N:$N,E135,Calc!$F:$F,F130)</f>
        <v>0</v>
      </c>
      <c r="I135" s="37">
        <f>COUNTIFS(Calc!$P:$P,A128,Calc!$H:$H,A149,Calc!$L:$L,A130,Calc!$N:$N,E135,Calc!$F:$F,F149)</f>
        <v>0</v>
      </c>
      <c r="K135" s="134">
        <f>COUNTIFS(Calc!$P:$P,K128,Calc!$H:$H,K149,Calc!$L:$L,K130,Calc!$O:$O,IF(Q149="R","B","F"))</f>
        <v>0</v>
      </c>
      <c r="L135" s="134">
        <f>COUNTIFS(Calc!$P:$P,K128,Calc!$H:$H,K149,Calc!$L:$L,K130,Calc!$O:$O,IF(Q149="R","BM","FM"))</f>
        <v>0</v>
      </c>
      <c r="M135" s="134">
        <f>COUNTIFS(Calc!$P:$P,K128,Calc!$H:$H,K149,Calc!$L:$L,K130,Calc!$O:$O,IF(Q149="R","FM","BM"))</f>
        <v>0</v>
      </c>
      <c r="N135" s="134">
        <f>COUNTIFS(Calc!$P:$P,K128,Calc!$H:$H,K149,Calc!$L:$L,K130,Calc!$O:$O,IF(Q149="R","F","B"))</f>
        <v>0</v>
      </c>
      <c r="O135" s="37" t="s">
        <v>103</v>
      </c>
      <c r="P135" s="37">
        <f>COUNTIFS(Calc!$P:$P,K128,Calc!$H:$H,K149,Calc!$L:$L,K130,Calc!$N:$N,O135)</f>
        <v>0</v>
      </c>
      <c r="Q135" s="38" t="e">
        <f>P135/SUM(P131:P138)</f>
        <v>#DIV/0!</v>
      </c>
      <c r="R135" s="37">
        <f>COUNTIFS(Calc!$P:$P,K128,Calc!$H:$H,K149,Calc!$L:$L,K130,Calc!$N:$N,O135,Calc!$F:$F,P130)</f>
        <v>0</v>
      </c>
      <c r="S135" s="37">
        <f>COUNTIFS(Calc!$P:$P,K128,Calc!$H:$H,K149,Calc!$L:$L,K130,Calc!$N:$N,O135,Calc!$F:$F,P149)</f>
        <v>0</v>
      </c>
    </row>
    <row r="136" spans="1:19" x14ac:dyDescent="0.45">
      <c r="A136" s="134"/>
      <c r="B136" s="134"/>
      <c r="C136" s="134"/>
      <c r="D136" s="134"/>
      <c r="E136" s="37" t="s">
        <v>105</v>
      </c>
      <c r="F136" s="37">
        <f>COUNTIFS(Calc!$P:$P,A128,Calc!$H:$H,A149,Calc!$L:$L,A130,Calc!$N:$N,E136)</f>
        <v>0</v>
      </c>
      <c r="G136" s="38" t="e">
        <f>F136/SUM(F131:F138)</f>
        <v>#DIV/0!</v>
      </c>
      <c r="H136" s="37">
        <f>COUNTIFS(Calc!$P:$P,A128,Calc!$H:$H,A149,Calc!$L:$L,A130,Calc!$N:$N,E136,Calc!$F:$F,F130)</f>
        <v>0</v>
      </c>
      <c r="I136" s="37">
        <f>COUNTIFS(Calc!$P:$P,A128,Calc!$H:$H,A149,Calc!$L:$L,A130,Calc!$N:$N,E136,Calc!$F:$F,F149)</f>
        <v>0</v>
      </c>
      <c r="K136" s="134"/>
      <c r="L136" s="134"/>
      <c r="M136" s="134"/>
      <c r="N136" s="134"/>
      <c r="O136" s="37" t="s">
        <v>82</v>
      </c>
      <c r="P136" s="37">
        <f>COUNTIFS(Calc!$P:$P,K128,Calc!$H:$H,K149,Calc!$L:$L,K130,Calc!$N:$N,O136)</f>
        <v>0</v>
      </c>
      <c r="Q136" s="38" t="e">
        <f>P136/SUM(P131:P138)</f>
        <v>#DIV/0!</v>
      </c>
      <c r="R136" s="37">
        <f>COUNTIFS(Calc!$P:$P,K128,Calc!$H:$H,K149,Calc!$L:$L,K130,Calc!$N:$N,O136,Calc!$F:$F,P130)</f>
        <v>0</v>
      </c>
      <c r="S136" s="37">
        <f>COUNTIFS(Calc!$P:$P,K128,Calc!$H:$H,K149,Calc!$L:$L,K130,Calc!$N:$N,O136,Calc!$F:$F,P149)</f>
        <v>0</v>
      </c>
    </row>
    <row r="137" spans="1:19" x14ac:dyDescent="0.45">
      <c r="A137" s="137" t="s">
        <v>98</v>
      </c>
      <c r="B137" s="137"/>
      <c r="C137" s="137"/>
      <c r="D137" s="137"/>
      <c r="E137" s="37" t="s">
        <v>106</v>
      </c>
      <c r="F137" s="37">
        <f>COUNTIFS(Calc!$P:$P,A128,Calc!$H:$H,A149,Calc!$L:$L,A130,Calc!$N:$N,E137)</f>
        <v>0</v>
      </c>
      <c r="G137" s="38" t="e">
        <f>F137/SUM(F131:F138)</f>
        <v>#DIV/0!</v>
      </c>
      <c r="H137" s="37">
        <f>COUNTIFS(Calc!$P:$P,A128,Calc!$H:$H,A149,Calc!$L:$L,A130,Calc!$N:$N,E137,Calc!$F:$F,F130)</f>
        <v>0</v>
      </c>
      <c r="I137" s="37">
        <f>COUNTIFS(Calc!$P:$P,A128,Calc!$H:$H,A149,Calc!$L:$L,A130,Calc!$N:$N,E137,Calc!$F:$F,F149)</f>
        <v>0</v>
      </c>
      <c r="K137" s="137" t="s">
        <v>80</v>
      </c>
      <c r="L137" s="137"/>
      <c r="M137" s="137"/>
      <c r="N137" s="137"/>
      <c r="O137" s="37" t="s">
        <v>83</v>
      </c>
      <c r="P137" s="37">
        <f>COUNTIFS(Calc!$P:$P,K128,Calc!$H:$H,K149,Calc!$L:$L,K130,Calc!$N:$N,O137)</f>
        <v>0</v>
      </c>
      <c r="Q137" s="38" t="e">
        <f>P137/SUM(P131:P138)</f>
        <v>#DIV/0!</v>
      </c>
      <c r="R137" s="37">
        <f>COUNTIFS(Calc!$P:$P,K128,Calc!$H:$H,K149,Calc!$L:$L,K130,Calc!$N:$N,O137,Calc!$F:$F,P130)</f>
        <v>0</v>
      </c>
      <c r="S137" s="37">
        <f>COUNTIFS(Calc!$P:$P,K128,Calc!$H:$H,K149,Calc!$L:$L,K130,Calc!$N:$N,O137,Calc!$F:$F,P149)</f>
        <v>0</v>
      </c>
    </row>
    <row r="138" spans="1:19" x14ac:dyDescent="0.45">
      <c r="A138" s="132">
        <f>COUNTIFS(Calc!$P:$P,A128,Calc!$H:$H,A149,Calc!$L:$L,A130,Calc!$O:$O,"オーバーミス")</f>
        <v>0</v>
      </c>
      <c r="B138" s="132"/>
      <c r="C138" s="132"/>
      <c r="D138" s="132"/>
      <c r="E138" s="37" t="s">
        <v>108</v>
      </c>
      <c r="F138" s="37">
        <f>COUNTIFS(Calc!$P:$P,A128,Calc!$H:$H,A149,Calc!$L:$L,A130,Calc!$N:$N,E138)</f>
        <v>0</v>
      </c>
      <c r="G138" s="38" t="e">
        <f>F138/SUM(F131:F138)</f>
        <v>#DIV/0!</v>
      </c>
      <c r="H138" s="37">
        <f>COUNTIFS(Calc!$P:$P,A128,Calc!$H:$H,A149,Calc!$L:$L,A130,Calc!$N:$N,E138,Calc!$F:$F,F130)</f>
        <v>0</v>
      </c>
      <c r="I138" s="37">
        <f>COUNTIFS(Calc!$P:$P,A128,Calc!$H:$H,A149,Calc!$L:$L,A130,Calc!$N:$N,E138,Calc!$F:$F,F149)</f>
        <v>0</v>
      </c>
      <c r="K138" s="132">
        <f>COUNTIFS(Calc!$P:$P,K128,Calc!$H:$H,K149,Calc!$L:$L,K130,Calc!$O:$O,"オーバーミス")</f>
        <v>0</v>
      </c>
      <c r="L138" s="132"/>
      <c r="M138" s="132"/>
      <c r="N138" s="132"/>
      <c r="O138" s="37" t="s">
        <v>107</v>
      </c>
      <c r="P138" s="37">
        <f>COUNTIFS(Calc!$P:$P,K128,Calc!$H:$H,K149,Calc!$L:$L,K130,Calc!$N:$N,O138)</f>
        <v>0</v>
      </c>
      <c r="Q138" s="38" t="e">
        <f>P138/SUM(P131:P138)</f>
        <v>#DIV/0!</v>
      </c>
      <c r="R138" s="37">
        <f>COUNTIFS(Calc!$P:$P,K128,Calc!$H:$H,K149,Calc!$L:$L,K130,Calc!$N:$N,O138,Calc!$F:$F,P130)</f>
        <v>0</v>
      </c>
      <c r="S138" s="37">
        <f>COUNTIFS(Calc!$P:$P,K128,Calc!$H:$H,K149,Calc!$L:$L,K130,Calc!$N:$N,O138,Calc!$F:$F,P149)</f>
        <v>0</v>
      </c>
    </row>
    <row r="139" spans="1:19" x14ac:dyDescent="0.45">
      <c r="A139" s="103"/>
      <c r="B139" s="103"/>
      <c r="C139" s="103"/>
      <c r="D139" s="103"/>
      <c r="E139" s="37"/>
      <c r="F139" s="37"/>
      <c r="G139" s="38"/>
      <c r="H139" s="37"/>
      <c r="I139" s="37"/>
      <c r="K139" s="104"/>
      <c r="L139" s="104"/>
      <c r="M139" s="104"/>
      <c r="N139" s="104"/>
      <c r="O139" s="40"/>
      <c r="P139" s="40"/>
      <c r="Q139" s="41"/>
      <c r="R139" s="40"/>
      <c r="S139" s="40"/>
    </row>
    <row r="140" spans="1:19" x14ac:dyDescent="0.45">
      <c r="A140" t="s">
        <v>140</v>
      </c>
      <c r="K140" t="s">
        <v>140</v>
      </c>
    </row>
    <row r="141" spans="1:19" x14ac:dyDescent="0.45">
      <c r="A141" s="164">
        <f>COUNTIFS(Calc!$P:$P,A128,Calc!$H:$H,A149,Calc!$L:$L,A130,Calc!$K:$K,IF(E130="R","F","B"))</f>
        <v>0</v>
      </c>
      <c r="B141" s="164">
        <f>COUNTIFS(Calc!$P:$P,A128,Calc!$H:$H,A149,Calc!$L:$L,A130,Calc!$K:$K,IF(E130="R","FM","BM"))</f>
        <v>0</v>
      </c>
      <c r="C141" s="164">
        <f>COUNTIFS(Calc!$P:$P,A128,Calc!$H:$H,A149,Calc!$L:$L,A130,Calc!$K:$K,IF(E130="R","BM","FM"))</f>
        <v>0</v>
      </c>
      <c r="D141" s="164">
        <f>COUNTIFS(Calc!$P:$P,A128,Calc!$H:$H,A149,Calc!$L:$L,A130,Calc!$K:$K,IF(E130="R","B","F"))</f>
        <v>0</v>
      </c>
      <c r="E141" s="40"/>
      <c r="F141" s="40"/>
      <c r="G141" s="41"/>
      <c r="H141" s="40"/>
      <c r="I141" s="40"/>
      <c r="K141" s="164">
        <f>COUNTIFS(Calc!$P:$P,K128,Calc!$H:$H,K149,Calc!$L:$L,K130,Calc!$K:$K,IF(O130="R","F","B"))</f>
        <v>0</v>
      </c>
      <c r="L141" s="164">
        <f>COUNTIFS(Calc!$P:$P,K128,Calc!$H:$H,K149,Calc!$L:$L,K130,Calc!$K:$K,IF(O130="R","FM","BM"))</f>
        <v>0</v>
      </c>
      <c r="M141" s="164">
        <f>COUNTIFS(Calc!$P:$P,K128,Calc!$H:$H,K149,Calc!$L:$L,K130,Calc!$K:$K,IF(O130="R","BM","FM"))</f>
        <v>0</v>
      </c>
      <c r="N141" s="164">
        <f>COUNTIFS(Calc!$P:$P,K128,Calc!$H:$H,K149,Calc!$L:$L,K130,Calc!$K:$K,IF(O130="R","B","F"))</f>
        <v>0</v>
      </c>
      <c r="O141" s="40"/>
      <c r="P141" s="40"/>
      <c r="Q141" s="41"/>
      <c r="R141" s="40"/>
      <c r="S141" s="40"/>
    </row>
    <row r="142" spans="1:19" x14ac:dyDescent="0.45">
      <c r="A142" s="164"/>
      <c r="B142" s="164"/>
      <c r="C142" s="164"/>
      <c r="D142" s="164"/>
      <c r="E142" s="40"/>
      <c r="F142" s="40"/>
      <c r="G142" s="41"/>
      <c r="H142" s="40"/>
      <c r="I142" s="40"/>
      <c r="K142" s="164"/>
      <c r="L142" s="164"/>
      <c r="M142" s="164"/>
      <c r="N142" s="164"/>
      <c r="O142" s="40"/>
      <c r="P142" s="40"/>
      <c r="Q142" s="41"/>
      <c r="R142" s="40"/>
      <c r="S142" s="40"/>
    </row>
    <row r="143" spans="1:19" ht="18.600000000000001" thickBot="1" x14ac:dyDescent="0.5">
      <c r="A143" s="157">
        <f>COUNTIFS(Calc!$P:$P,A128,Calc!$H:$H,A149,Calc!$L:$L,A130,Calc!$K:$K,IF(E130="R","FS","BS"))</f>
        <v>0</v>
      </c>
      <c r="B143" s="157">
        <f>COUNTIFS(Calc!$P:$P,A128,Calc!$H:$H,A149,Calc!$L:$L,A130,Calc!$K:$K,IF(E130="R","FMS","BMS"))</f>
        <v>0</v>
      </c>
      <c r="C143" s="157">
        <f>COUNTIFS(Calc!$P:$P,A128,Calc!$H:$H,A149,Calc!$L:$L,A130,Calc!$K:$K,IF(E130="R","BMS","FMS"))</f>
        <v>0</v>
      </c>
      <c r="D143" s="157">
        <f>COUNTIFS(Calc!$P:$P,A128,Calc!$H:$H,A149,Calc!$L:$L,A130,Calc!$K:$K,IF(E130="R","BS","FS"))</f>
        <v>0</v>
      </c>
      <c r="E143" s="40"/>
      <c r="F143" s="40"/>
      <c r="G143" s="41"/>
      <c r="H143" s="40"/>
      <c r="I143" s="40"/>
      <c r="K143" s="157">
        <f>COUNTIFS(Calc!$P:$P,K128,Calc!$H:$H,K149,Calc!$L:$L,K130,Calc!$K:$K,IF(O130="R","FS","BS"))</f>
        <v>0</v>
      </c>
      <c r="L143" s="157">
        <f>COUNTIFS(Calc!$P:$P,K128,Calc!$H:$H,K149,Calc!$L:$L,K130,Calc!$K:$K,IF(O130="R","FMS","BMS"))</f>
        <v>0</v>
      </c>
      <c r="M143" s="157">
        <f>COUNTIFS(Calc!$P:$P,K128,Calc!$H:$H,K149,Calc!$L:$L,K130,Calc!$K:$K,IF(O130="R","BMS","FMS"))</f>
        <v>0</v>
      </c>
      <c r="N143" s="157">
        <f>COUNTIFS(Calc!$P:$P,K128,Calc!$H:$H,K149,Calc!$L:$L,K130,Calc!$K:$K,IF(O130="R","BS","FS"))</f>
        <v>0</v>
      </c>
      <c r="O143" s="40"/>
      <c r="P143" s="40"/>
      <c r="Q143" s="41"/>
      <c r="R143" s="40"/>
      <c r="S143" s="40"/>
    </row>
    <row r="144" spans="1:19" ht="19.2" thickTop="1" thickBot="1" x14ac:dyDescent="0.5">
      <c r="A144" s="158"/>
      <c r="B144" s="158"/>
      <c r="C144" s="158"/>
      <c r="D144" s="158"/>
      <c r="E144" s="40"/>
      <c r="F144" s="40"/>
      <c r="G144" s="41"/>
      <c r="H144" s="40"/>
      <c r="I144" s="40"/>
      <c r="K144" s="158"/>
      <c r="L144" s="158"/>
      <c r="M144" s="158"/>
      <c r="N144" s="158"/>
      <c r="O144" s="40"/>
      <c r="P144" s="40"/>
      <c r="Q144" s="41"/>
      <c r="R144" s="40"/>
      <c r="S144" s="40"/>
    </row>
    <row r="145" spans="1:19" ht="19.2" thickTop="1" thickBot="1" x14ac:dyDescent="0.5">
      <c r="A145" s="158">
        <f>COUNTIFS(Calc!$P:$P,A128,Calc!$H:$H,A149,Calc!$L:$L,A130,Calc!$J:$J,IF(E149="R","B","F"))</f>
        <v>0</v>
      </c>
      <c r="B145" s="158"/>
      <c r="C145" s="158">
        <f>COUNTIFS(Calc!$P:$P,A128,Calc!$H:$H,A149,Calc!$L:$L,A130,Calc!$J:$J,IF(E149="R","F","B"))</f>
        <v>0</v>
      </c>
      <c r="D145" s="158"/>
      <c r="E145" s="40"/>
      <c r="F145" s="40"/>
      <c r="G145" s="41"/>
      <c r="H145" s="40" t="s">
        <v>109</v>
      </c>
      <c r="I145" s="40" t="s">
        <v>110</v>
      </c>
      <c r="K145" s="158">
        <f>COUNTIFS(Calc!$P:$P,K128,Calc!$H:$H,K149,Calc!$L:$L,K130,Calc!$J:$J,IF(O149="R","B","F"))</f>
        <v>0</v>
      </c>
      <c r="L145" s="158"/>
      <c r="M145" s="158">
        <f>COUNTIFS(Calc!$P:$P,K128,Calc!$H:$H,K149,Calc!$L:$L,K130,Calc!$J:$J,IF(O149="R","F","B"))</f>
        <v>0</v>
      </c>
      <c r="N145" s="158"/>
      <c r="O145" s="40"/>
      <c r="P145" s="40"/>
      <c r="Q145" s="41"/>
      <c r="R145" s="40" t="s">
        <v>177</v>
      </c>
      <c r="S145" s="40" t="s">
        <v>178</v>
      </c>
    </row>
    <row r="146" spans="1:19" ht="19.2" thickTop="1" thickBot="1" x14ac:dyDescent="0.5">
      <c r="A146" s="158"/>
      <c r="B146" s="158"/>
      <c r="C146" s="158"/>
      <c r="D146" s="158"/>
      <c r="E146" s="40" t="s">
        <v>111</v>
      </c>
      <c r="F146" s="40">
        <f>COUNTIFS(Calc!$P:$P,A128,Calc!$H:$H,A149,Calc!$L:$L,A130,Calc!$I:$I,E146)</f>
        <v>0</v>
      </c>
      <c r="G146" s="41" t="e">
        <f>F146/SUM(F146:F148)</f>
        <v>#DIV/0!</v>
      </c>
      <c r="H146" s="40">
        <f>COUNTIFS(Calc!$P:$P,A128,Calc!$H:$H,A149,Calc!$L:$L,A130,Calc!$I:$I,E146,Calc!$F:$F,F149)</f>
        <v>0</v>
      </c>
      <c r="I146" s="40">
        <f>COUNTIFS(Calc!$P:$P,A128,Calc!$H:$H,A149,Calc!$L:$L,A130,Calc!$I:$I,E146,Calc!$F:$F,F130)</f>
        <v>0</v>
      </c>
      <c r="K146" s="158"/>
      <c r="L146" s="158"/>
      <c r="M146" s="158"/>
      <c r="N146" s="158"/>
      <c r="O146" s="40" t="s">
        <v>174</v>
      </c>
      <c r="P146" s="40">
        <f>COUNTIFS(Calc!$P:$P,K128,Calc!$H:$H,K149,Calc!$L:$L,K130,Calc!$I:$I,O146)</f>
        <v>0</v>
      </c>
      <c r="Q146" s="41" t="e">
        <f>P146/SUM(P146:P148)</f>
        <v>#DIV/0!</v>
      </c>
      <c r="R146" s="40">
        <f>COUNTIFS(Calc!$P:$P,K128,Calc!$H:$H,K149,Calc!$L:$L,K130,Calc!$I:$I,O146,Calc!$F:$F,P149)</f>
        <v>0</v>
      </c>
      <c r="S146" s="40">
        <f>COUNTIFS(Calc!$P:$P,K128,Calc!$H:$H,K149,Calc!$L:$L,K130,Calc!$I:$I,O146,Calc!$F:$F,P130)</f>
        <v>0</v>
      </c>
    </row>
    <row r="147" spans="1:19" ht="19.2" thickTop="1" thickBot="1" x14ac:dyDescent="0.5">
      <c r="A147" s="158"/>
      <c r="B147" s="158"/>
      <c r="C147" s="158"/>
      <c r="D147" s="158"/>
      <c r="E147" s="40" t="s">
        <v>112</v>
      </c>
      <c r="F147" s="40">
        <f>COUNTIFS(Calc!$P:$P,A128,Calc!$H:$H,A149,Calc!$L:$L,A130,Calc!$I:$I,E147)</f>
        <v>0</v>
      </c>
      <c r="G147" s="41" t="e">
        <f>F147/SUM(F146:F148)</f>
        <v>#DIV/0!</v>
      </c>
      <c r="H147" s="40">
        <f>COUNTIFS(Calc!$P:$P,A128,Calc!$H:$H,A149,Calc!$L:$L,A130,Calc!$I:$I,E147,Calc!$F:$F,F149)</f>
        <v>0</v>
      </c>
      <c r="I147" s="40">
        <f>COUNTIFS(Calc!$P:$P,A128,Calc!$H:$H,A149,Calc!$L:$L,A130,Calc!$I:$I,E147,Calc!$F:$F,F130)</f>
        <v>0</v>
      </c>
      <c r="K147" s="158"/>
      <c r="L147" s="158"/>
      <c r="M147" s="158"/>
      <c r="N147" s="158"/>
      <c r="O147" s="40" t="s">
        <v>63</v>
      </c>
      <c r="P147" s="40">
        <f>COUNTIFS(Calc!$P:$P,K128,Calc!$H:$H,K149,Calc!$L:$L,K130,Calc!$I:$I,O147)</f>
        <v>0</v>
      </c>
      <c r="Q147" s="41" t="e">
        <f>P147/SUM(P146:P148)</f>
        <v>#DIV/0!</v>
      </c>
      <c r="R147" s="40">
        <f>COUNTIFS(Calc!$P:$P,K128,Calc!$H:$H,K149,Calc!$L:$L,K130,Calc!$I:$I,O147,Calc!$F:$F,P149)</f>
        <v>0</v>
      </c>
      <c r="S147" s="40">
        <f>COUNTIFS(Calc!$P:$P,K128,Calc!$H:$H,K149,Calc!$L:$L,K130,Calc!$I:$I,O147,Calc!$F:$F,P130)</f>
        <v>0</v>
      </c>
    </row>
    <row r="148" spans="1:19" ht="18.600000000000001" thickTop="1" x14ac:dyDescent="0.45">
      <c r="A148" s="161"/>
      <c r="B148" s="161"/>
      <c r="C148" s="161"/>
      <c r="D148" s="161"/>
      <c r="E148" s="40" t="s">
        <v>113</v>
      </c>
      <c r="F148" s="40">
        <f>COUNTIFS(Calc!$P:$P,A128,Calc!$H:$H,A149,Calc!$L:$L,A130,Calc!$I:$I,E148)</f>
        <v>0</v>
      </c>
      <c r="G148" s="41" t="e">
        <f>F148/SUM(F146:F148)</f>
        <v>#DIV/0!</v>
      </c>
      <c r="H148" s="40">
        <f>COUNTIFS(Calc!$P:$P,A128,Calc!$H:$H,A149,Calc!$L:$L,A130,Calc!$I:$I,E148,Calc!$F:$F,F149)</f>
        <v>0</v>
      </c>
      <c r="I148" s="40">
        <f>COUNTIFS(Calc!$P:$P,A128,Calc!$H:$H,A149,Calc!$L:$L,A130,Calc!$I:$I,E148,Calc!$F:$F,F130)</f>
        <v>0</v>
      </c>
      <c r="K148" s="161"/>
      <c r="L148" s="161"/>
      <c r="M148" s="161"/>
      <c r="N148" s="161"/>
      <c r="O148" s="40" t="s">
        <v>61</v>
      </c>
      <c r="P148" s="40">
        <f>COUNTIFS(Calc!$P:$P,K128,Calc!$H:$H,K149,Calc!$L:$L,K130,Calc!$I:$I,O148)</f>
        <v>0</v>
      </c>
      <c r="Q148" s="41" t="e">
        <f>P148/SUM(P146:P148)</f>
        <v>#DIV/0!</v>
      </c>
      <c r="R148" s="40">
        <f>COUNTIFS(Calc!$P:$P,K128,Calc!$H:$H,K149,Calc!$L:$L,K130,Calc!$I:$I,O148,Calc!$F:$F,P149)</f>
        <v>0</v>
      </c>
      <c r="S148" s="40">
        <f>COUNTIFS(Calc!$P:$P,K128,Calc!$H:$H,K149,Calc!$L:$L,K130,Calc!$I:$I,O148,Calc!$F:$F,P130)</f>
        <v>0</v>
      </c>
    </row>
    <row r="149" spans="1:19" x14ac:dyDescent="0.45">
      <c r="A149" s="155" t="str">
        <f>Main!$D$14</f>
        <v/>
      </c>
      <c r="B149" s="156"/>
      <c r="C149" s="156"/>
      <c r="D149" s="156"/>
      <c r="E149" s="45" t="str">
        <f>Main!$F$14</f>
        <v/>
      </c>
      <c r="F149" s="45" t="str">
        <f>Main!$B$12</f>
        <v>Mallets</v>
      </c>
      <c r="G149" s="45" t="str">
        <f>Main!$F$12</f>
        <v>R</v>
      </c>
      <c r="H149" s="113"/>
      <c r="I149" s="113"/>
      <c r="J149" s="113"/>
      <c r="K149" s="155" t="str">
        <f>Main!$D$12</f>
        <v>NAMBA Yurika</v>
      </c>
      <c r="L149" s="156"/>
      <c r="M149" s="156"/>
      <c r="N149" s="156"/>
      <c r="O149" s="36" t="str">
        <f>Main!$F$12</f>
        <v>R</v>
      </c>
      <c r="P149" s="36" t="str">
        <f>Main!$B$12</f>
        <v>Mallets</v>
      </c>
      <c r="Q149" s="36" t="str">
        <f>Main!$F$14</f>
        <v/>
      </c>
      <c r="R149" s="112"/>
      <c r="S149" s="112"/>
    </row>
    <row r="152" spans="1:19" x14ac:dyDescent="0.45">
      <c r="A152" s="111">
        <v>3</v>
      </c>
      <c r="K152" s="111">
        <v>3</v>
      </c>
    </row>
    <row r="153" spans="1:19" x14ac:dyDescent="0.45">
      <c r="A153" t="s">
        <v>139</v>
      </c>
      <c r="K153" t="s">
        <v>139</v>
      </c>
    </row>
    <row r="154" spans="1:19" x14ac:dyDescent="0.45">
      <c r="A154" s="140" t="str">
        <f>Main!$D$12</f>
        <v>NAMBA Yurika</v>
      </c>
      <c r="B154" s="141"/>
      <c r="C154" s="141"/>
      <c r="D154" s="141"/>
      <c r="E154" s="36" t="str">
        <f>Main!$F$12</f>
        <v>R</v>
      </c>
      <c r="F154" s="36" t="str">
        <f>Main!$B$12</f>
        <v>Mallets</v>
      </c>
      <c r="G154" s="36" t="str">
        <f>Main!$F$14</f>
        <v/>
      </c>
      <c r="H154" s="40" t="s">
        <v>109</v>
      </c>
      <c r="I154" s="40" t="s">
        <v>110</v>
      </c>
      <c r="K154" s="140" t="str">
        <f>Main!$D$14</f>
        <v/>
      </c>
      <c r="L154" s="141"/>
      <c r="M154" s="141"/>
      <c r="N154" s="141"/>
      <c r="O154" s="36" t="str">
        <f>Main!$F$14</f>
        <v/>
      </c>
      <c r="P154" s="36" t="str">
        <f>Main!$B$12</f>
        <v>Mallets</v>
      </c>
      <c r="Q154" s="44" t="str">
        <f>Main!$F$12</f>
        <v>R</v>
      </c>
      <c r="R154" s="40" t="s">
        <v>109</v>
      </c>
      <c r="S154" s="40" t="s">
        <v>110</v>
      </c>
    </row>
    <row r="155" spans="1:19" ht="18.600000000000001" thickBot="1" x14ac:dyDescent="0.5">
      <c r="A155" s="144" t="s">
        <v>81</v>
      </c>
      <c r="B155" s="145"/>
      <c r="C155" s="145"/>
      <c r="D155" s="83">
        <f>COUNTIFS(Calc!$P:$P,A152,Calc!$H:$H,A173,Calc!$L:$L,A154,Calc!$O:$O,"ネット")</f>
        <v>0</v>
      </c>
      <c r="E155" s="40" t="s">
        <v>14</v>
      </c>
      <c r="F155" s="40">
        <f>COUNTIFS(Calc!$P:$P,A152,Calc!$H:$H,A173,Calc!$L:$L,A154,Calc!$N:$N,E155)</f>
        <v>0</v>
      </c>
      <c r="G155" s="41" t="e">
        <f>F155/SUM(F155:F162)</f>
        <v>#DIV/0!</v>
      </c>
      <c r="H155" s="40">
        <f>COUNTIFS(Calc!$P:$P,A152,Calc!$H:$H,A173,Calc!$L:$L,A154,Calc!$N:$N,E155,Calc!$F:$F,F154)</f>
        <v>0</v>
      </c>
      <c r="I155" s="40">
        <f>COUNTIFS(Calc!$P:$P,A152,Calc!$H:$H,A173,Calc!$L:$L,A154,Calc!$N:$N,E155,Calc!$F:$F,F173)</f>
        <v>0</v>
      </c>
      <c r="K155" s="144" t="s">
        <v>81</v>
      </c>
      <c r="L155" s="145"/>
      <c r="M155" s="145"/>
      <c r="N155" s="83">
        <f>COUNTIFS(Calc!$P:$P,K152,Calc!$H:$H,K173,Calc!$L:$L,K154,Calc!$O:$O,"ネット")</f>
        <v>0</v>
      </c>
      <c r="O155" s="40" t="s">
        <v>14</v>
      </c>
      <c r="P155" s="40">
        <f>COUNTIFS(Calc!$P:$P,K152,Calc!$H:$H,K173,Calc!$L:$L,K154,Calc!$N:$N,O155)</f>
        <v>0</v>
      </c>
      <c r="Q155" s="41" t="e">
        <f>P155/SUM(P155:P162)</f>
        <v>#DIV/0!</v>
      </c>
      <c r="R155" s="40">
        <f>COUNTIFS(Calc!$P:$P,K152,Calc!$H:$H,K173,Calc!$L:$L,K154,Calc!$N:$N,O155,Calc!$F:$F,P154)</f>
        <v>0</v>
      </c>
      <c r="S155" s="40">
        <f>COUNTIFS(Calc!$P:$P,K152,Calc!$H:$H,K173,Calc!$L:$L,K154,Calc!$N:$N,O155,Calc!$F:$F,P173)</f>
        <v>0</v>
      </c>
    </row>
    <row r="156" spans="1:19" ht="18.600000000000001" thickTop="1" x14ac:dyDescent="0.45">
      <c r="A156" s="148" t="s">
        <v>176</v>
      </c>
      <c r="B156" s="149"/>
      <c r="C156" s="149"/>
      <c r="D156" s="110">
        <f>COUNTIFS(Calc!$P:$P,A152,Calc!$H:$H,A173,Calc!$L:$L,A154,Calc!$O:$O,"ネットイン")</f>
        <v>0</v>
      </c>
      <c r="E156" s="40" t="s">
        <v>15</v>
      </c>
      <c r="F156" s="40">
        <f>COUNTIFS(Calc!$P:$P,A152,Calc!$H:$H,A173,Calc!$L:$L,A154,Calc!$N:$N,E156)</f>
        <v>0</v>
      </c>
      <c r="G156" s="41" t="e">
        <f>F156/SUM(F155:F162)</f>
        <v>#DIV/0!</v>
      </c>
      <c r="H156" s="40">
        <f>COUNTIFS(Calc!$P:$P,A152,Calc!$H:$H,A173,Calc!$L:$L,A154,Calc!$N:$N,E156,Calc!$F:$F,F154)</f>
        <v>0</v>
      </c>
      <c r="I156" s="40">
        <f>COUNTIFS(Calc!$P:$P,A152,Calc!$H:$H,A173,Calc!$L:$L,A154,Calc!$N:$N,E156,Calc!$F:$F,F173)</f>
        <v>0</v>
      </c>
      <c r="K156" s="148" t="s">
        <v>176</v>
      </c>
      <c r="L156" s="149"/>
      <c r="M156" s="149"/>
      <c r="N156" s="110">
        <f>COUNTIFS(Calc!$P:$P,K152,Calc!$H:$H,K173,Calc!$L:$L,K154,Calc!$O:$O,"ネットイン")</f>
        <v>0</v>
      </c>
      <c r="O156" s="40" t="s">
        <v>15</v>
      </c>
      <c r="P156" s="40">
        <f>COUNTIFS(Calc!$P:$P,K152,Calc!$H:$H,K173,Calc!$L:$L,K154,Calc!$N:$N,O156)</f>
        <v>0</v>
      </c>
      <c r="Q156" s="41" t="e">
        <f>P156/SUM(P155:P162)</f>
        <v>#DIV/0!</v>
      </c>
      <c r="R156" s="40">
        <f>COUNTIFS(Calc!$P:$P,K152,Calc!$H:$H,K173,Calc!$L:$L,K154,Calc!$N:$N,O156,Calc!$F:$F,P154)</f>
        <v>0</v>
      </c>
      <c r="S156" s="40">
        <f>COUNTIFS(Calc!$P:$P,K152,Calc!$H:$H,K173,Calc!$L:$L,K154,Calc!$N:$N,O156,Calc!$F:$F,P173)</f>
        <v>0</v>
      </c>
    </row>
    <row r="157" spans="1:19" x14ac:dyDescent="0.45">
      <c r="A157" s="150">
        <f>COUNTIFS(Calc!$P:$P,A152,Calc!$H:$H,A173,Calc!$L:$L,A154,Calc!$O:$O,IF(G173="R","BS","FS"))</f>
        <v>0</v>
      </c>
      <c r="B157" s="150">
        <f>COUNTIFS(Calc!$P:$P,A152,Calc!$H:$H,A173,Calc!$L:$L,A154,Calc!$O:$O,IF(G173="R","BMS","FMS"))</f>
        <v>0</v>
      </c>
      <c r="C157" s="150">
        <f>COUNTIFS(Calc!$P:$P,A152,Calc!$H:$H,A173,Calc!$L:$L,A154,Calc!$O:$O,IF(G173="R","FMS","BMS"))</f>
        <v>0</v>
      </c>
      <c r="D157" s="150">
        <f>COUNTIFS(Calc!$P:$P,A152,Calc!$H:$H,A173,Calc!$L:$L,A154,Calc!$O:$O,IF(G173="R","FS","BS"))</f>
        <v>0</v>
      </c>
      <c r="E157" s="40" t="s">
        <v>17</v>
      </c>
      <c r="F157" s="40">
        <f>COUNTIFS(Calc!$P:$P,A152,Calc!$H:$H,A173,Calc!$L:$L,A154,Calc!$N:$N,E157)</f>
        <v>0</v>
      </c>
      <c r="G157" s="41" t="e">
        <f>F157/SUM(F155:F162)</f>
        <v>#DIV/0!</v>
      </c>
      <c r="H157" s="40">
        <f>COUNTIFS(Calc!$P:$P,A152,Calc!$H:$H,A173,Calc!$L:$L,A154,Calc!$N:$N,E157,Calc!$F:$F,F154)</f>
        <v>0</v>
      </c>
      <c r="I157" s="40">
        <f>COUNTIFS(Calc!$P:$P,A152,Calc!$H:$H,A173,Calc!$L:$L,A154,Calc!$N:$N,E157,Calc!$F:$F,F173)</f>
        <v>0</v>
      </c>
      <c r="K157" s="150">
        <f>COUNTIFS(Calc!$P:$P,K152,Calc!$H:$H,K173,Calc!$L:$L,K154,Calc!$O:$O,IF(Q173="R","BS","FS"))</f>
        <v>0</v>
      </c>
      <c r="L157" s="150">
        <f>COUNTIFS(Calc!$P:$P,K152,Calc!$H:$H,K173,Calc!$L:$L,K154,Calc!$O:$O,IF(Q173="R","BMS","FMS"))</f>
        <v>0</v>
      </c>
      <c r="M157" s="150">
        <f>COUNTIFS(Calc!$P:$P,K152,Calc!$H:$H,K173,Calc!$L:$L,K154,Calc!$O:$O,IF(Q173="R","FMS","BMS"))</f>
        <v>0</v>
      </c>
      <c r="N157" s="150">
        <f>COUNTIFS(Calc!$P:$P,K152,Calc!$H:$H,K173,Calc!$L:$L,K154,Calc!$O:$O,IF(Q173="R","FS","BS"))</f>
        <v>0</v>
      </c>
      <c r="O157" s="40" t="s">
        <v>17</v>
      </c>
      <c r="P157" s="40">
        <f>COUNTIFS(Calc!$P:$P,K152,Calc!$H:$H,K173,Calc!$L:$L,K154,Calc!$N:$N,O157)</f>
        <v>0</v>
      </c>
      <c r="Q157" s="41" t="e">
        <f>P157/SUM(P155:P162)</f>
        <v>#DIV/0!</v>
      </c>
      <c r="R157" s="40">
        <f>COUNTIFS(Calc!$P:$P,K152,Calc!$H:$H,K173,Calc!$L:$L,K154,Calc!$N:$N,O157,Calc!$F:$F,P154)</f>
        <v>0</v>
      </c>
      <c r="S157" s="40">
        <f>COUNTIFS(Calc!$P:$P,K152,Calc!$H:$H,K173,Calc!$L:$L,K154,Calc!$N:$N,O157,Calc!$F:$F,P173)</f>
        <v>0</v>
      </c>
    </row>
    <row r="158" spans="1:19" x14ac:dyDescent="0.45">
      <c r="A158" s="136"/>
      <c r="B158" s="136"/>
      <c r="C158" s="136"/>
      <c r="D158" s="136"/>
      <c r="E158" s="40" t="s">
        <v>16</v>
      </c>
      <c r="F158" s="40">
        <f>COUNTIFS(Calc!$P:$P,A152,Calc!$H:$H,A173,Calc!$L:$L,A154,Calc!$N:$N,E158)</f>
        <v>0</v>
      </c>
      <c r="G158" s="41" t="e">
        <f>F158/SUM(F155:F162)</f>
        <v>#DIV/0!</v>
      </c>
      <c r="H158" s="40">
        <f>COUNTIFS(Calc!$P:$P,A152,Calc!$H:$H,A173,Calc!$L:$L,A154,Calc!$N:$N,E158,Calc!$F:$F,F154)</f>
        <v>0</v>
      </c>
      <c r="I158" s="40">
        <f>COUNTIFS(Calc!$P:$P,A152,Calc!$H:$H,A173,Calc!$L:$L,A154,Calc!$N:$N,E158,Calc!$F:$F,F173)</f>
        <v>0</v>
      </c>
      <c r="K158" s="136"/>
      <c r="L158" s="136"/>
      <c r="M158" s="136"/>
      <c r="N158" s="136"/>
      <c r="O158" s="40" t="s">
        <v>16</v>
      </c>
      <c r="P158" s="40">
        <f>COUNTIFS(Calc!$P:$P,K152,Calc!$H:$H,K173,Calc!$L:$L,K154,Calc!$N:$N,O158)</f>
        <v>0</v>
      </c>
      <c r="Q158" s="41" t="e">
        <f>P158/SUM(P155:P162)</f>
        <v>#DIV/0!</v>
      </c>
      <c r="R158" s="40">
        <f>COUNTIFS(Calc!$P:$P,K152,Calc!$H:$H,K173,Calc!$L:$L,K154,Calc!$N:$N,O158,Calc!$F:$F,P154)</f>
        <v>0</v>
      </c>
      <c r="S158" s="40">
        <f>COUNTIFS(Calc!$P:$P,K152,Calc!$H:$H,K173,Calc!$L:$L,K154,Calc!$N:$N,O158,Calc!$F:$F,P173)</f>
        <v>0</v>
      </c>
    </row>
    <row r="159" spans="1:19" x14ac:dyDescent="0.45">
      <c r="A159" s="135">
        <f>COUNTIFS(Calc!$P:$P,A152,Calc!$H:$H,A173,Calc!$L:$L,A154,Calc!$O:$O,IF(G173="R","B","F"))</f>
        <v>0</v>
      </c>
      <c r="B159" s="135">
        <f>COUNTIFS(Calc!$P:$P,A152,Calc!$H:$H,A173,Calc!$L:$L,A154,Calc!$O:$O,IF(G173="R","BM","FM"))</f>
        <v>0</v>
      </c>
      <c r="C159" s="135">
        <f>COUNTIFS(Calc!$P:$P,A152,Calc!$H:$H,A173,Calc!$L:$L,A154,Calc!$O:$O,IF(G173="R","FM","BM"))</f>
        <v>0</v>
      </c>
      <c r="D159" s="135">
        <f>COUNTIFS(Calc!$P:$P,A152,Calc!$H:$H,A173,Calc!$L:$L,A154,Calc!$O:$O,IF(G173="R","F","B"))</f>
        <v>0</v>
      </c>
      <c r="E159" s="40" t="s">
        <v>103</v>
      </c>
      <c r="F159" s="40">
        <f>COUNTIFS(Calc!$P:$P,A152,Calc!$H:$H,A173,Calc!$L:$L,A154,Calc!$N:$N,E159)</f>
        <v>0</v>
      </c>
      <c r="G159" s="41" t="e">
        <f>F159/SUM(F155:F162)</f>
        <v>#DIV/0!</v>
      </c>
      <c r="H159" s="40">
        <f>COUNTIFS(Calc!$P:$P,A152,Calc!$H:$H,A173,Calc!$L:$L,A154,Calc!$N:$N,E159,Calc!$F:$F,F154)</f>
        <v>0</v>
      </c>
      <c r="I159" s="40">
        <f>COUNTIFS(Calc!$P:$P,A152,Calc!$H:$H,A173,Calc!$L:$L,A154,Calc!$N:$N,E159,Calc!$F:$F,F173)</f>
        <v>0</v>
      </c>
      <c r="K159" s="135">
        <f>COUNTIFS(Calc!$P:$P,K152,Calc!$H:$H,K173,Calc!$L:$L,K154,Calc!$O:$O,IF(Q173="R","B","F"))</f>
        <v>0</v>
      </c>
      <c r="L159" s="135">
        <f>COUNTIFS(Calc!$P:$P,K152,Calc!$H:$H,K173,Calc!$L:$L,K154,Calc!$O:$O,IF(Q173="R","BM","FM"))</f>
        <v>0</v>
      </c>
      <c r="M159" s="135">
        <f>COUNTIFS(Calc!$P:$P,K152,Calc!$H:$H,K173,Calc!$L:$L,K154,Calc!$O:$O,IF(Q173="R","FM","BM"))</f>
        <v>0</v>
      </c>
      <c r="N159" s="135">
        <f>COUNTIFS(Calc!$P:$P,K152,Calc!$H:$H,K173,Calc!$L:$L,K154,Calc!$O:$O,IF(Q173="R","F","B"))</f>
        <v>0</v>
      </c>
      <c r="O159" s="40" t="s">
        <v>103</v>
      </c>
      <c r="P159" s="40">
        <f>COUNTIFS(Calc!$P:$P,K152,Calc!$H:$H,K173,Calc!$L:$L,K154,Calc!$N:$N,O159)</f>
        <v>0</v>
      </c>
      <c r="Q159" s="41" t="e">
        <f>P159/SUM(P155:P162)</f>
        <v>#DIV/0!</v>
      </c>
      <c r="R159" s="40">
        <f>COUNTIFS(Calc!$P:$P,K152,Calc!$H:$H,K173,Calc!$L:$L,K154,Calc!$N:$N,O159,Calc!$F:$F,P154)</f>
        <v>0</v>
      </c>
      <c r="S159" s="40">
        <f>COUNTIFS(Calc!$P:$P,K152,Calc!$H:$H,K173,Calc!$L:$L,K154,Calc!$N:$N,O159,Calc!$F:$F,P173)</f>
        <v>0</v>
      </c>
    </row>
    <row r="160" spans="1:19" x14ac:dyDescent="0.45">
      <c r="A160" s="136"/>
      <c r="B160" s="136"/>
      <c r="C160" s="136"/>
      <c r="D160" s="136"/>
      <c r="E160" s="40" t="s">
        <v>82</v>
      </c>
      <c r="F160" s="40">
        <f>COUNTIFS(Calc!$P:$P,A152,Calc!$H:$H,A173,Calc!$L:$L,A154,Calc!$N:$N,E160)</f>
        <v>0</v>
      </c>
      <c r="G160" s="41" t="e">
        <f>F160/SUM(F155:F162)</f>
        <v>#DIV/0!</v>
      </c>
      <c r="H160" s="40">
        <f>COUNTIFS(Calc!$P:$P,A152,Calc!$H:$H,A173,Calc!$L:$L,A154,Calc!$N:$N,E160,Calc!$F:$F,F154)</f>
        <v>0</v>
      </c>
      <c r="I160" s="40">
        <f>COUNTIFS(Calc!$P:$P,A152,Calc!$H:$H,A173,Calc!$L:$L,A154,Calc!$N:$N,E160,Calc!$F:$F,F173)</f>
        <v>0</v>
      </c>
      <c r="K160" s="136"/>
      <c r="L160" s="136"/>
      <c r="M160" s="136"/>
      <c r="N160" s="136"/>
      <c r="O160" s="40" t="s">
        <v>82</v>
      </c>
      <c r="P160" s="40">
        <f>COUNTIFS(Calc!$P:$P,K152,Calc!$H:$H,K173,Calc!$L:$L,K154,Calc!$N:$N,O160)</f>
        <v>0</v>
      </c>
      <c r="Q160" s="41" t="e">
        <f>P160/SUM(P155:P162)</f>
        <v>#DIV/0!</v>
      </c>
      <c r="R160" s="40">
        <f>COUNTIFS(Calc!$P:$P,K152,Calc!$H:$H,K173,Calc!$L:$L,K154,Calc!$N:$N,O160,Calc!$F:$F,P154)</f>
        <v>0</v>
      </c>
      <c r="S160" s="40">
        <f>COUNTIFS(Calc!$P:$P,K152,Calc!$H:$H,K173,Calc!$L:$L,K154,Calc!$N:$N,O160,Calc!$F:$F,P173)</f>
        <v>0</v>
      </c>
    </row>
    <row r="161" spans="1:19" x14ac:dyDescent="0.45">
      <c r="A161" s="138" t="s">
        <v>80</v>
      </c>
      <c r="B161" s="138"/>
      <c r="C161" s="138"/>
      <c r="D161" s="138"/>
      <c r="E161" s="40" t="s">
        <v>83</v>
      </c>
      <c r="F161" s="40">
        <f>COUNTIFS(Calc!$P:$P,A152,Calc!$H:$H,A173,Calc!$L:$L,A154,Calc!$N:$N,E161)</f>
        <v>0</v>
      </c>
      <c r="G161" s="41" t="e">
        <f>F161/SUM(F155:F162)</f>
        <v>#DIV/0!</v>
      </c>
      <c r="H161" s="40">
        <f>COUNTIFS(Calc!$P:$P,A152,Calc!$H:$H,A173,Calc!$L:$L,A154,Calc!$N:$N,E161,Calc!$F:$F,F154)</f>
        <v>0</v>
      </c>
      <c r="I161" s="40">
        <f>COUNTIFS(Calc!$P:$P,A152,Calc!$H:$H,A173,Calc!$L:$L,A154,Calc!$N:$N,E161,Calc!$F:$F,F173)</f>
        <v>0</v>
      </c>
      <c r="K161" s="138" t="s">
        <v>80</v>
      </c>
      <c r="L161" s="138"/>
      <c r="M161" s="138"/>
      <c r="N161" s="138"/>
      <c r="O161" s="40" t="s">
        <v>83</v>
      </c>
      <c r="P161" s="40">
        <f>COUNTIFS(Calc!$P:$P,K152,Calc!$H:$H,K173,Calc!$L:$L,K154,Calc!$N:$N,O161)</f>
        <v>0</v>
      </c>
      <c r="Q161" s="41" t="e">
        <f>P161/SUM(P155:P162)</f>
        <v>#DIV/0!</v>
      </c>
      <c r="R161" s="40">
        <f>COUNTIFS(Calc!$P:$P,K152,Calc!$H:$H,K173,Calc!$L:$L,K154,Calc!$N:$N,O161,Calc!$F:$F,P154)</f>
        <v>0</v>
      </c>
      <c r="S161" s="40">
        <f>COUNTIFS(Calc!$P:$P,K152,Calc!$H:$H,K173,Calc!$L:$L,K154,Calc!$N:$N,O161,Calc!$F:$F,P173)</f>
        <v>0</v>
      </c>
    </row>
    <row r="162" spans="1:19" x14ac:dyDescent="0.45">
      <c r="A162" s="133">
        <f>COUNTIFS(Calc!$P:$P,A152,Calc!$H:$H,A173,Calc!$L:$L,A154,Calc!$O:$O,"オーバーミス")</f>
        <v>0</v>
      </c>
      <c r="B162" s="133"/>
      <c r="C162" s="133"/>
      <c r="D162" s="133"/>
      <c r="E162" s="40" t="s">
        <v>107</v>
      </c>
      <c r="F162" s="40">
        <f>COUNTIFS(Calc!$P:$P,A152,Calc!$H:$H,A173,Calc!$L:$L,A154,Calc!$N:$N,E162)</f>
        <v>0</v>
      </c>
      <c r="G162" s="41" t="e">
        <f>F162/SUM(F155:F162)</f>
        <v>#DIV/0!</v>
      </c>
      <c r="H162" s="40">
        <f>COUNTIFS(Calc!$P:$P,A152,Calc!$H:$H,A173,Calc!$L:$L,A154,Calc!$N:$N,E162,Calc!$F:$F,F154)</f>
        <v>0</v>
      </c>
      <c r="I162" s="40">
        <f>COUNTIFS(Calc!$P:$P,A152,Calc!$H:$H,A173,Calc!$L:$L,A154,Calc!$N:$N,E162,Calc!$F:$F,F173)</f>
        <v>0</v>
      </c>
      <c r="K162" s="133">
        <f>COUNTIFS(Calc!$P:$P,K152,Calc!$H:$H,K173,Calc!$L:$L,K154,Calc!$O:$O,"オーバーミス")</f>
        <v>0</v>
      </c>
      <c r="L162" s="133"/>
      <c r="M162" s="133"/>
      <c r="N162" s="133"/>
      <c r="O162" s="40" t="s">
        <v>107</v>
      </c>
      <c r="P162" s="40">
        <f>COUNTIFS(Calc!$P:$P,K152,Calc!$H:$H,K173,Calc!$L:$L,K154,Calc!$N:$N,O162)</f>
        <v>0</v>
      </c>
      <c r="Q162" s="41" t="e">
        <f>P162/SUM(P155:P162)</f>
        <v>#DIV/0!</v>
      </c>
      <c r="R162" s="40">
        <f>COUNTIFS(Calc!$P:$P,K152,Calc!$H:$H,K173,Calc!$L:$L,K154,Calc!$N:$N,O162,Calc!$F:$F,P154)</f>
        <v>0</v>
      </c>
      <c r="S162" s="40">
        <f>COUNTIFS(Calc!$P:$P,K152,Calc!$H:$H,K173,Calc!$L:$L,K154,Calc!$N:$N,O162,Calc!$F:$F,P173)</f>
        <v>0</v>
      </c>
    </row>
    <row r="163" spans="1:19" x14ac:dyDescent="0.45">
      <c r="A163" s="103"/>
      <c r="B163" s="103"/>
      <c r="C163" s="103"/>
      <c r="D163" s="103"/>
      <c r="E163" s="37"/>
      <c r="F163" s="37"/>
      <c r="G163" s="38"/>
      <c r="H163" s="37"/>
      <c r="I163" s="37"/>
      <c r="K163" s="104"/>
      <c r="L163" s="104"/>
      <c r="M163" s="104"/>
      <c r="N163" s="104"/>
      <c r="O163" s="40"/>
      <c r="P163" s="40"/>
      <c r="Q163" s="41"/>
      <c r="R163" s="40"/>
      <c r="S163" s="40"/>
    </row>
    <row r="164" spans="1:19" x14ac:dyDescent="0.45">
      <c r="A164" t="s">
        <v>179</v>
      </c>
      <c r="K164" t="s">
        <v>179</v>
      </c>
    </row>
    <row r="165" spans="1:19" x14ac:dyDescent="0.45">
      <c r="A165" s="187">
        <f>COUNTIFS(Calc!$P:$P,A152,Calc!$H:$H,A173,Calc!$L:$L,A154,Calc!$K:$K,IF(E154="R","F","B"))</f>
        <v>0</v>
      </c>
      <c r="B165" s="187">
        <f>COUNTIFS(Calc!$P:$P,A152,Calc!$H:$H,A173,Calc!$L:$L,A154,Calc!$K:$K,IF(E154="R","FM","BM"))</f>
        <v>0</v>
      </c>
      <c r="C165" s="187">
        <f>COUNTIFS(Calc!$P:$P,A152,Calc!$H:$H,A173,Calc!$L:$L,A154,Calc!$K:$K,IF(E154="R","BM","FM"))</f>
        <v>0</v>
      </c>
      <c r="D165" s="187">
        <f>COUNTIFS(Calc!$P:$P,A152,Calc!$H:$H,A173,Calc!$L:$L,A154,Calc!$K:$K,IF(E154="R","B","F"))</f>
        <v>0</v>
      </c>
      <c r="E165" s="37"/>
      <c r="F165" s="37"/>
      <c r="G165" s="38"/>
      <c r="H165" s="37"/>
      <c r="I165" s="37"/>
      <c r="K165" s="134">
        <f>COUNTIFS(Calc!$P:$P,K152,Calc!$H:$H,K173,Calc!$L:$L,K154,Calc!$K:$K,IF(O154="R","F","B"))</f>
        <v>0</v>
      </c>
      <c r="L165" s="134">
        <f>COUNTIFS(Calc!$P:$P,K152,Calc!$H:$H,K173,Calc!$L:$L,K154,Calc!$K:$K,IF(O154="R","FM","BM"))</f>
        <v>0</v>
      </c>
      <c r="M165" s="134">
        <f>COUNTIFS(Calc!$P:$P,K152,Calc!$H:$H,K173,Calc!$L:$L,K154,Calc!$K:$K,IF(O154="R","BM","FM"))</f>
        <v>0</v>
      </c>
      <c r="N165" s="134">
        <f>COUNTIFS(Calc!$P:$P,K152,Calc!$H:$H,K173,Calc!$L:$L,K154,Calc!$K:$K,IF(O154="R","B","F"))</f>
        <v>0</v>
      </c>
      <c r="O165" s="37"/>
      <c r="P165" s="37"/>
      <c r="Q165" s="38"/>
      <c r="R165" s="37"/>
      <c r="S165" s="37"/>
    </row>
    <row r="166" spans="1:19" x14ac:dyDescent="0.45">
      <c r="A166" s="180"/>
      <c r="B166" s="180"/>
      <c r="C166" s="180"/>
      <c r="D166" s="180"/>
      <c r="E166" s="37"/>
      <c r="F166" s="37"/>
      <c r="G166" s="38"/>
      <c r="H166" s="37"/>
      <c r="I166" s="37"/>
      <c r="K166" s="134"/>
      <c r="L166" s="134"/>
      <c r="M166" s="134"/>
      <c r="N166" s="134"/>
      <c r="O166" s="37"/>
      <c r="P166" s="37"/>
      <c r="Q166" s="38"/>
      <c r="R166" s="37"/>
      <c r="S166" s="37"/>
    </row>
    <row r="167" spans="1:19" ht="18.600000000000001" thickBot="1" x14ac:dyDescent="0.5">
      <c r="A167" s="187">
        <f>COUNTIFS(Calc!$P:$P,A152,Calc!$H:$H,A173,Calc!$L:$L,A154,Calc!$K:$K,IF(E154="R","FS","BS"))</f>
        <v>0</v>
      </c>
      <c r="B167" s="187">
        <f>COUNTIFS(Calc!$P:$P,A152,Calc!$H:$H,A173,Calc!$L:$L,A154,Calc!$K:$K,IF(E154="R","FMS","BMS"))</f>
        <v>0</v>
      </c>
      <c r="C167" s="187">
        <f>COUNTIFS(Calc!$P:$P,A152,Calc!$H:$H,A173,Calc!$L:$L,A154,Calc!$K:$K,IF(E154="R","BMS","FMS"))</f>
        <v>0</v>
      </c>
      <c r="D167" s="187">
        <f>COUNTIFS(Calc!$P:$P,A152,Calc!$H:$H,A173,Calc!$L:$L,A154,Calc!$K:$K,IF(E154="R","BS","FS"))</f>
        <v>0</v>
      </c>
      <c r="E167" s="37"/>
      <c r="F167" s="37"/>
      <c r="G167" s="38"/>
      <c r="H167" s="37"/>
      <c r="I167" s="37"/>
      <c r="K167" s="159">
        <f>COUNTIFS(Calc!$P:$P,K152,Calc!$H:$H,K173,Calc!$L:$L,K154,Calc!$K:$K,IF(O154="R","FS","BS"))</f>
        <v>0</v>
      </c>
      <c r="L167" s="159">
        <f>COUNTIFS(Calc!$P:$P,K152,Calc!$H:$H,K173,Calc!$L:$L,K154,Calc!$K:$K,IF(O154="R","FMS","BMS"))</f>
        <v>0</v>
      </c>
      <c r="M167" s="159">
        <f>COUNTIFS(Calc!$P:$P,K152,Calc!$H:$H,K173,Calc!$L:$L,K154,Calc!$K:$K,IF(O154="R","BMS","FMS"))</f>
        <v>0</v>
      </c>
      <c r="N167" s="159">
        <f>COUNTIFS(Calc!$P:$P,K152,Calc!$H:$H,K173,Calc!$L:$L,K154,Calc!$K:$K,IF(O154="R","BS","FS"))</f>
        <v>0</v>
      </c>
      <c r="O167" s="37"/>
      <c r="P167" s="37"/>
      <c r="Q167" s="38"/>
      <c r="R167" s="37"/>
      <c r="S167" s="37"/>
    </row>
    <row r="168" spans="1:19" ht="19.2" thickTop="1" thickBot="1" x14ac:dyDescent="0.5">
      <c r="A168" s="188"/>
      <c r="B168" s="188"/>
      <c r="C168" s="188"/>
      <c r="D168" s="188"/>
      <c r="E168" s="37"/>
      <c r="F168" s="37"/>
      <c r="G168" s="38"/>
      <c r="H168" s="37"/>
      <c r="I168" s="37"/>
      <c r="K168" s="160"/>
      <c r="L168" s="160"/>
      <c r="M168" s="160"/>
      <c r="N168" s="160"/>
      <c r="O168" s="37"/>
      <c r="P168" s="37"/>
      <c r="Q168" s="38"/>
      <c r="R168" s="37"/>
      <c r="S168" s="37"/>
    </row>
    <row r="169" spans="1:19" ht="19.2" thickTop="1" thickBot="1" x14ac:dyDescent="0.5">
      <c r="A169" s="181">
        <f>COUNTIFS(Calc!$P:$P,A152,Calc!$H:$H,A173,Calc!$L:$L,A154,Calc!$J:$J,IF(E173="R","B","F"))</f>
        <v>0</v>
      </c>
      <c r="B169" s="182"/>
      <c r="C169" s="181">
        <f>COUNTIFS(Calc!$P:$P,A152,Calc!$H:$H,A173,Calc!$L:$L,A154,Calc!$J:$J,IF(E173="R","F","B"))</f>
        <v>0</v>
      </c>
      <c r="D169" s="182"/>
      <c r="E169" s="37"/>
      <c r="F169" s="37"/>
      <c r="G169" s="38"/>
      <c r="H169" s="37" t="s">
        <v>177</v>
      </c>
      <c r="I169" s="37" t="s">
        <v>178</v>
      </c>
      <c r="K169" s="160">
        <f>COUNTIFS(Calc!$P:$P,K152,Calc!$H:$H,K173,Calc!$L:$L,K154,Calc!$J:$J,IF(O173="R","B","F"))</f>
        <v>0</v>
      </c>
      <c r="L169" s="160"/>
      <c r="M169" s="160">
        <f>COUNTIFS(Calc!$P:$P,K152,Calc!$H:$H,K173,Calc!$L:$L,K154,Calc!$J:$J,IF(O173="R","F","B"))</f>
        <v>0</v>
      </c>
      <c r="N169" s="160"/>
      <c r="O169" s="37"/>
      <c r="P169" s="37"/>
      <c r="Q169" s="38"/>
      <c r="R169" s="37" t="s">
        <v>177</v>
      </c>
      <c r="S169" s="37" t="s">
        <v>178</v>
      </c>
    </row>
    <row r="170" spans="1:19" ht="19.2" thickTop="1" thickBot="1" x14ac:dyDescent="0.5">
      <c r="A170" s="183"/>
      <c r="B170" s="184"/>
      <c r="C170" s="183"/>
      <c r="D170" s="184"/>
      <c r="E170" s="37" t="s">
        <v>174</v>
      </c>
      <c r="F170" s="37">
        <f>COUNTIFS(Calc!$P:$P,A152,Calc!$H:$H,A173,Calc!$L:$L,A154,Calc!$I:$I,E170)</f>
        <v>0</v>
      </c>
      <c r="G170" s="38" t="e">
        <f>F170/SUM(F170:F172)</f>
        <v>#DIV/0!</v>
      </c>
      <c r="H170" s="37">
        <f>COUNTIFS(Calc!$P:$P,A152,Calc!$H:$H,A173,Calc!$L:$L,A154,Calc!$I:$I,E170,Calc!$F:$F,F173)</f>
        <v>0</v>
      </c>
      <c r="I170" s="37">
        <f>COUNTIFS(Calc!$P:$P,A152,Calc!$H:$H,A173,Calc!$L:$L,A154,Calc!$I:$I,E170,Calc!$F:$F,F154)</f>
        <v>0</v>
      </c>
      <c r="K170" s="160"/>
      <c r="L170" s="160"/>
      <c r="M170" s="160"/>
      <c r="N170" s="160"/>
      <c r="O170" s="37" t="s">
        <v>174</v>
      </c>
      <c r="P170" s="37">
        <f>COUNTIFS(Calc!$P:$P,K152,Calc!$H:$H,K173,Calc!$L:$L,K154,Calc!$I:$I,O170)</f>
        <v>0</v>
      </c>
      <c r="Q170" s="38" t="e">
        <f>P170/SUM(P170:P172)</f>
        <v>#DIV/0!</v>
      </c>
      <c r="R170" s="37">
        <f>COUNTIFS(Calc!$P:$P,K152,Calc!$H:$H,K173,Calc!$L:$L,K154,Calc!$I:$I,O170,Calc!$F:$F,P173)</f>
        <v>0</v>
      </c>
      <c r="S170" s="37">
        <f>COUNTIFS(Calc!$P:$P,K152,Calc!$H:$H,K173,Calc!$L:$L,K154,Calc!$I:$I,O170,Calc!$F:$F,P154)</f>
        <v>0</v>
      </c>
    </row>
    <row r="171" spans="1:19" ht="19.2" thickTop="1" thickBot="1" x14ac:dyDescent="0.5">
      <c r="A171" s="183"/>
      <c r="B171" s="184"/>
      <c r="C171" s="183"/>
      <c r="D171" s="184"/>
      <c r="E171" s="37" t="s">
        <v>63</v>
      </c>
      <c r="F171" s="37">
        <f>COUNTIFS(Calc!$P:$P,A152,Calc!$H:$H,A173,Calc!$L:$L,A154,Calc!$I:$I,E171)</f>
        <v>0</v>
      </c>
      <c r="G171" s="38" t="e">
        <f>F171/SUM(F170:F172)</f>
        <v>#DIV/0!</v>
      </c>
      <c r="H171" s="37">
        <f>COUNTIFS(Calc!$P:$P,A152,Calc!$H:$H,A173,Calc!$L:$L,A154,Calc!$I:$I,E171,Calc!$F:$F,F173)</f>
        <v>0</v>
      </c>
      <c r="I171" s="37">
        <f>COUNTIFS(Calc!$P:$P,A152,Calc!$H:$H,A173,Calc!$L:$L,A154,Calc!$I:$I,E171,Calc!$F:$F,F154)</f>
        <v>0</v>
      </c>
      <c r="K171" s="160"/>
      <c r="L171" s="160"/>
      <c r="M171" s="160"/>
      <c r="N171" s="160"/>
      <c r="O171" s="37" t="s">
        <v>63</v>
      </c>
      <c r="P171" s="37">
        <f>COUNTIFS(Calc!$P:$P,K152,Calc!$H:$H,K173,Calc!$L:$L,K154,Calc!$I:$I,O171)</f>
        <v>0</v>
      </c>
      <c r="Q171" s="38" t="e">
        <f>P171/SUM(P170:P172)</f>
        <v>#DIV/0!</v>
      </c>
      <c r="R171" s="37">
        <f>COUNTIFS(Calc!$P:$P,K152,Calc!$H:$H,K173,Calc!$L:$L,K154,Calc!$I:$I,O171,Calc!$F:$F,P173)</f>
        <v>0</v>
      </c>
      <c r="S171" s="37">
        <f>COUNTIFS(Calc!$P:$P,K152,Calc!$H:$H,K173,Calc!$L:$L,K154,Calc!$I:$I,O171,Calc!$F:$F,P154)</f>
        <v>0</v>
      </c>
    </row>
    <row r="172" spans="1:19" ht="18.600000000000001" thickTop="1" x14ac:dyDescent="0.45">
      <c r="A172" s="185"/>
      <c r="B172" s="186"/>
      <c r="C172" s="185"/>
      <c r="D172" s="186"/>
      <c r="E172" s="37" t="s">
        <v>61</v>
      </c>
      <c r="F172" s="37">
        <f>COUNTIFS(Calc!$P:$P,A152,Calc!$H:$H,A173,Calc!$L:$L,A154,Calc!$I:$I,E172)</f>
        <v>0</v>
      </c>
      <c r="G172" s="38" t="e">
        <f>F172/SUM(F170:F172)</f>
        <v>#DIV/0!</v>
      </c>
      <c r="H172" s="37">
        <f>COUNTIFS(Calc!$P:$P,A152,Calc!$H:$H,A173,Calc!$L:$L,A154,Calc!$I:$I,E172,Calc!$F:$F,F173)</f>
        <v>0</v>
      </c>
      <c r="I172" s="37">
        <f>COUNTIFS(Calc!$P:$P,A152,Calc!$H:$H,A173,Calc!$L:$L,A154,Calc!$I:$I,E172,Calc!$F:$F,F154)</f>
        <v>0</v>
      </c>
      <c r="K172" s="162"/>
      <c r="L172" s="162"/>
      <c r="M172" s="162"/>
      <c r="N172" s="162"/>
      <c r="O172" s="37" t="s">
        <v>61</v>
      </c>
      <c r="P172" s="37">
        <f>COUNTIFS(Calc!$P:$P,K152,Calc!$H:$H,K173,Calc!$L:$L,K154,Calc!$I:$I,O172)</f>
        <v>0</v>
      </c>
      <c r="Q172" s="38" t="e">
        <f>P172/SUM(P170:P172)</f>
        <v>#DIV/0!</v>
      </c>
      <c r="R172" s="37">
        <f>COUNTIFS(Calc!$P:$P,K152,Calc!$H:$H,K173,Calc!$L:$L,K154,Calc!$I:$I,O172,Calc!$F:$F,P173)</f>
        <v>0</v>
      </c>
      <c r="S172" s="37">
        <f>COUNTIFS(Calc!$P:$P,K152,Calc!$H:$H,K173,Calc!$L:$L,K154,Calc!$I:$I,O172,Calc!$F:$F,P154)</f>
        <v>0</v>
      </c>
    </row>
    <row r="173" spans="1:19" x14ac:dyDescent="0.45">
      <c r="A173" s="155" t="str">
        <f>Main!$D$8</f>
        <v>HIRANO Miu</v>
      </c>
      <c r="B173" s="155"/>
      <c r="C173" s="155"/>
      <c r="D173" s="155"/>
      <c r="E173" s="36" t="str">
        <f>Main!$F$8</f>
        <v>R</v>
      </c>
      <c r="F173" s="36" t="str">
        <f>Main!$B$8</f>
        <v>RedELF</v>
      </c>
      <c r="G173" s="45" t="str">
        <f>Main!$F$10</f>
        <v/>
      </c>
      <c r="H173" s="112"/>
      <c r="K173" s="155" t="str">
        <f>Main!$D$10</f>
        <v/>
      </c>
      <c r="L173" s="156"/>
      <c r="M173" s="156"/>
      <c r="N173" s="156"/>
      <c r="O173" s="36" t="str">
        <f>Main!$F$10</f>
        <v/>
      </c>
      <c r="P173" s="45" t="str">
        <f>Main!$B$8</f>
        <v>RedELF</v>
      </c>
      <c r="Q173" s="45" t="str">
        <f>Main!$F$8</f>
        <v>R</v>
      </c>
    </row>
    <row r="177" spans="1:19" x14ac:dyDescent="0.45">
      <c r="A177" s="139" t="s">
        <v>158</v>
      </c>
      <c r="B177" s="139"/>
      <c r="C177" s="139"/>
      <c r="D177" s="139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</row>
    <row r="178" spans="1:19" x14ac:dyDescent="0.45">
      <c r="A178" s="116">
        <v>4</v>
      </c>
      <c r="B178" s="114"/>
      <c r="C178" s="114"/>
      <c r="D178" s="114"/>
      <c r="E178" s="114"/>
      <c r="F178" s="114"/>
      <c r="G178" s="114"/>
      <c r="H178" s="114"/>
      <c r="I178" s="114"/>
      <c r="J178" s="114"/>
      <c r="K178" s="116">
        <v>4</v>
      </c>
      <c r="L178" s="114"/>
      <c r="M178" s="114"/>
      <c r="N178" s="114"/>
      <c r="O178" s="114"/>
      <c r="P178" s="114"/>
      <c r="Q178" s="114"/>
      <c r="R178" s="114"/>
      <c r="S178" s="114"/>
    </row>
    <row r="179" spans="1:19" x14ac:dyDescent="0.45">
      <c r="A179" t="s">
        <v>139</v>
      </c>
      <c r="K179" t="s">
        <v>139</v>
      </c>
    </row>
    <row r="180" spans="1:19" x14ac:dyDescent="0.45">
      <c r="A180" s="140" t="str">
        <f>Main!$D$8</f>
        <v>HIRANO Miu</v>
      </c>
      <c r="B180" s="141"/>
      <c r="C180" s="141"/>
      <c r="D180" s="141"/>
      <c r="E180" s="36" t="str">
        <f>Main!$F$8</f>
        <v>R</v>
      </c>
      <c r="F180" s="36" t="str">
        <f>Main!$B$8</f>
        <v>RedELF</v>
      </c>
      <c r="G180" s="44" t="str">
        <f>Main!$F$10</f>
        <v/>
      </c>
      <c r="H180" s="37" t="s">
        <v>109</v>
      </c>
      <c r="I180" s="37" t="s">
        <v>110</v>
      </c>
      <c r="K180" s="140" t="str">
        <f>Main!$D$10</f>
        <v/>
      </c>
      <c r="L180" s="141"/>
      <c r="M180" s="141"/>
      <c r="N180" s="141"/>
      <c r="O180" s="36" t="str">
        <f>Main!$F$10</f>
        <v/>
      </c>
      <c r="P180" s="36" t="str">
        <f>Main!$B$8</f>
        <v>RedELF</v>
      </c>
      <c r="Q180" s="36" t="str">
        <f>Main!$F$8</f>
        <v>R</v>
      </c>
      <c r="R180" s="37" t="s">
        <v>109</v>
      </c>
      <c r="S180" s="37" t="s">
        <v>110</v>
      </c>
    </row>
    <row r="181" spans="1:19" ht="18.600000000000001" thickBot="1" x14ac:dyDescent="0.5">
      <c r="A181" s="142" t="s">
        <v>81</v>
      </c>
      <c r="B181" s="143"/>
      <c r="C181" s="143"/>
      <c r="D181" s="82">
        <f>COUNTIFS(Calc!$P:$P,A178,Calc!$H:$H,A199,Calc!$L:$L,A180,Calc!$O:$O,"ネット")</f>
        <v>0</v>
      </c>
      <c r="E181" s="37" t="s">
        <v>14</v>
      </c>
      <c r="F181" s="37">
        <f>COUNTIFS(Calc!$P:$P,A178,Calc!$H:$H,A199,Calc!$L:$L,A180,Calc!$N:$N,E181)</f>
        <v>0</v>
      </c>
      <c r="G181" s="38" t="e">
        <f>F181/SUM(F181:F188)</f>
        <v>#DIV/0!</v>
      </c>
      <c r="H181" s="37">
        <f>COUNTIFS(Calc!$P:$P,A178,Calc!$H:$H,A199,Calc!$L:$L,A180,Calc!$N:$N,E181,Calc!$F:$F,F180)</f>
        <v>0</v>
      </c>
      <c r="I181" s="37">
        <f>COUNTIFS(Calc!$P:$P,A178,Calc!$H:$H,A199,Calc!$L:$L,A180,Calc!$N:$N,E181,Calc!$F:$F,F199)</f>
        <v>0</v>
      </c>
      <c r="K181" s="142" t="s">
        <v>81</v>
      </c>
      <c r="L181" s="143"/>
      <c r="M181" s="143"/>
      <c r="N181" s="82">
        <f>COUNTIFS(Calc!$P:$P,K178,Calc!$H:$H,K199,Calc!$L:$L,K180,Calc!$O:$O,"ネット")</f>
        <v>0</v>
      </c>
      <c r="O181" s="37" t="s">
        <v>14</v>
      </c>
      <c r="P181" s="37">
        <f>COUNTIFS(Calc!$P:$P,K178,Calc!$H:$H,K199,Calc!$L:$L,K180,Calc!$N:$N,O181)</f>
        <v>0</v>
      </c>
      <c r="Q181" s="38" t="e">
        <f>P181/SUM(P181:P188)</f>
        <v>#DIV/0!</v>
      </c>
      <c r="R181" s="37">
        <f>COUNTIFS(Calc!$P:$P,K178,Calc!$H:$H,K199,Calc!$L:$L,K180,Calc!$N:$N,O181,Calc!$F:$F,P180)</f>
        <v>0</v>
      </c>
      <c r="S181" s="37">
        <f>COUNTIFS(Calc!$P:$P,K178,Calc!$H:$H,K199,Calc!$L:$L,K180,Calc!$N:$N,O181,Calc!$F:$F,P199)</f>
        <v>0</v>
      </c>
    </row>
    <row r="182" spans="1:19" ht="18.600000000000001" thickTop="1" x14ac:dyDescent="0.45">
      <c r="A182" s="146" t="s">
        <v>176</v>
      </c>
      <c r="B182" s="147"/>
      <c r="C182" s="147"/>
      <c r="D182" s="109">
        <f>COUNTIFS(Calc!$P:$P,A178,Calc!$H:$H,A199,Calc!$L:$L,A180,Calc!$O:$O,"ネットイン")</f>
        <v>0</v>
      </c>
      <c r="E182" s="37" t="s">
        <v>15</v>
      </c>
      <c r="F182" s="37">
        <f>COUNTIFS(Calc!$P:$P,A178,Calc!$H:$H,A199,Calc!$L:$L,A180,Calc!$N:$N,E182)</f>
        <v>0</v>
      </c>
      <c r="G182" s="38" t="e">
        <f>F182/SUM(F181:F188)</f>
        <v>#DIV/0!</v>
      </c>
      <c r="H182" s="37">
        <f>COUNTIFS(Calc!$P:$P,A178,Calc!$H:$H,A199,Calc!$L:$L,A180,Calc!$N:$N,E182,Calc!$F:$F,F180)</f>
        <v>0</v>
      </c>
      <c r="I182" s="37">
        <f>COUNTIFS(Calc!$P:$P,A178,Calc!$H:$H,A199,Calc!$L:$L,A180,Calc!$N:$N,E182,Calc!$F:$F,F199)</f>
        <v>0</v>
      </c>
      <c r="K182" s="146" t="s">
        <v>176</v>
      </c>
      <c r="L182" s="147"/>
      <c r="M182" s="147"/>
      <c r="N182" s="109">
        <f>COUNTIFS(Calc!$P:$P,K178,Calc!$H:$H,K199,Calc!$L:$L,K180,Calc!$O:$O,"ネットイン")</f>
        <v>0</v>
      </c>
      <c r="O182" s="37" t="s">
        <v>15</v>
      </c>
      <c r="P182" s="37">
        <f>COUNTIFS(Calc!$P:$P,K178,Calc!$H:$H,K199,Calc!$L:$L,K180,Calc!$N:$N,O182)</f>
        <v>0</v>
      </c>
      <c r="Q182" s="38" t="e">
        <f>P182/SUM(P181:P188)</f>
        <v>#DIV/0!</v>
      </c>
      <c r="R182" s="37">
        <f>COUNTIFS(Calc!$P:$P,K178,Calc!$H:$H,K199,Calc!$L:$L,K180,Calc!$N:$N,O182,Calc!$F:$F,P180)</f>
        <v>0</v>
      </c>
      <c r="S182" s="37">
        <f>COUNTIFS(Calc!$P:$P,K178,Calc!$H:$H,K199,Calc!$L:$L,K180,Calc!$N:$N,O182,Calc!$F:$F,P199)</f>
        <v>0</v>
      </c>
    </row>
    <row r="183" spans="1:19" x14ac:dyDescent="0.45">
      <c r="A183" s="180">
        <f>COUNTIFS(Calc!$P:$P,A178,Calc!$H:$H,A199,Calc!$L:$L,A180,Calc!$O:$O,IF(G199="R","BS","FS"))</f>
        <v>0</v>
      </c>
      <c r="B183" s="180">
        <f>COUNTIFS(Calc!$P:$P,A178,Calc!$H:$H,A199,Calc!$L:$L,A180,Calc!$O:$O,IF(G199="R","BMS","FMS"))</f>
        <v>0</v>
      </c>
      <c r="C183" s="180">
        <f>COUNTIFS(Calc!$P:$P,A178,Calc!$H:$H,A199,Calc!$L:$L,A180,Calc!$O:$O,IF(G199="R","FMS","BMS"))</f>
        <v>0</v>
      </c>
      <c r="D183" s="180">
        <f>COUNTIFS(Calc!$P:$P,A178,Calc!$H:$H,A199,Calc!$L:$L,A180,Calc!$O:$O,IF(G199="R","FS","BS"))</f>
        <v>0</v>
      </c>
      <c r="E183" s="37" t="s">
        <v>17</v>
      </c>
      <c r="F183" s="37">
        <f>COUNTIFS(Calc!$P:$P,A178,Calc!$H:$H,A199,Calc!$L:$L,A180,Calc!$N:$N,E183)</f>
        <v>0</v>
      </c>
      <c r="G183" s="38" t="e">
        <f>F183/SUM(F181:F188)</f>
        <v>#DIV/0!</v>
      </c>
      <c r="H183" s="37">
        <f>COUNTIFS(Calc!$P:$P,A178,Calc!$H:$H,A199,Calc!$L:$L,A180,Calc!$N:$N,E183,Calc!$F:$F,F180)</f>
        <v>0</v>
      </c>
      <c r="I183" s="37">
        <f>COUNTIFS(Calc!$P:$P,A178,Calc!$H:$H,A199,Calc!$L:$L,A180,Calc!$N:$N,E183,Calc!$F:$F,F199)</f>
        <v>0</v>
      </c>
      <c r="K183" s="189">
        <f>COUNTIFS(Calc!$P:$P,K178,Calc!$H:$H,K199,Calc!$L:$L,K180,Calc!$O:$O,IF(Q199="R","BS","FS"))</f>
        <v>0</v>
      </c>
      <c r="L183" s="189">
        <f>COUNTIFS(Calc!$P:$P,K178,Calc!$H:$H,K199,Calc!$L:$L,K180,Calc!$O:$O,IF(Q199="R","BMS","FMS"))</f>
        <v>0</v>
      </c>
      <c r="M183" s="189">
        <f>COUNTIFS(Calc!$P:$P,K178,Calc!$H:$H,K199,Calc!$L:$L,K180,Calc!$O:$O,IF(Q199="R","FMS","BMS"))</f>
        <v>0</v>
      </c>
      <c r="N183" s="189">
        <f>COUNTIFS(Calc!$P:$P,K178,Calc!$H:$H,K199,Calc!$L:$L,K180,Calc!$O:$O,IF(Q199="R","FS","BS"))</f>
        <v>0</v>
      </c>
      <c r="O183" s="37" t="s">
        <v>17</v>
      </c>
      <c r="P183" s="37">
        <f>COUNTIFS(Calc!$P:$P,K178,Calc!$H:$H,K199,Calc!$L:$L,K180,Calc!$N:$N,O183)</f>
        <v>0</v>
      </c>
      <c r="Q183" s="38" t="e">
        <f>P183/SUM(P181:P188)</f>
        <v>#DIV/0!</v>
      </c>
      <c r="R183" s="37">
        <f>COUNTIFS(Calc!$P:$P,K178,Calc!$H:$H,K199,Calc!$L:$L,K180,Calc!$N:$N,O183,Calc!$F:$F,P180)</f>
        <v>0</v>
      </c>
      <c r="S183" s="37">
        <f>COUNTIFS(Calc!$P:$P,K178,Calc!$H:$H,K199,Calc!$L:$L,K180,Calc!$N:$N,O183,Calc!$F:$F,P199)</f>
        <v>0</v>
      </c>
    </row>
    <row r="184" spans="1:19" x14ac:dyDescent="0.45">
      <c r="A184" s="134"/>
      <c r="B184" s="134"/>
      <c r="C184" s="134"/>
      <c r="D184" s="134"/>
      <c r="E184" s="37" t="s">
        <v>16</v>
      </c>
      <c r="F184" s="37">
        <f>COUNTIFS(Calc!$P:$P,A178,Calc!$H:$H,A199,Calc!$L:$L,A180,Calc!$N:$N,E184)</f>
        <v>0</v>
      </c>
      <c r="G184" s="38" t="e">
        <f>F184/SUM(F181:F188)</f>
        <v>#DIV/0!</v>
      </c>
      <c r="H184" s="37">
        <f>COUNTIFS(Calc!$P:$P,A178,Calc!$H:$H,A199,Calc!$L:$L,A180,Calc!$N:$N,E184,Calc!$F:$F,F180)</f>
        <v>0</v>
      </c>
      <c r="I184" s="37">
        <f>COUNTIFS(Calc!$P:$P,A178,Calc!$H:$H,A199,Calc!$L:$L,A180,Calc!$N:$N,E184,Calc!$F:$F,F199)</f>
        <v>0</v>
      </c>
      <c r="K184" s="180"/>
      <c r="L184" s="180"/>
      <c r="M184" s="180"/>
      <c r="N184" s="180"/>
      <c r="O184" s="37" t="s">
        <v>16</v>
      </c>
      <c r="P184" s="37">
        <f>COUNTIFS(Calc!$P:$P,K178,Calc!$H:$H,K199,Calc!$L:$L,K180,Calc!$N:$N,O184)</f>
        <v>0</v>
      </c>
      <c r="Q184" s="38" t="e">
        <f>P184/SUM(P181:P188)</f>
        <v>#DIV/0!</v>
      </c>
      <c r="R184" s="37">
        <f>COUNTIFS(Calc!$P:$P,K178,Calc!$H:$H,K199,Calc!$L:$L,K180,Calc!$N:$N,O184,Calc!$F:$F,P180)</f>
        <v>0</v>
      </c>
      <c r="S184" s="37">
        <f>COUNTIFS(Calc!$P:$P,K178,Calc!$H:$H,K199,Calc!$L:$L,K180,Calc!$N:$N,O184,Calc!$F:$F,P199)</f>
        <v>0</v>
      </c>
    </row>
    <row r="185" spans="1:19" x14ac:dyDescent="0.45">
      <c r="A185" s="134">
        <f>COUNTIFS(Calc!$P:$P,A178,Calc!$H:$H,A199,Calc!$L:$L,A180,Calc!$O:$O,IF(G199="R","B","F"))</f>
        <v>0</v>
      </c>
      <c r="B185" s="134">
        <f>COUNTIFS(Calc!$P:$P,A178,Calc!$H:$H,A199,Calc!$L:$L,A180,Calc!$O:$O,IF(G199="R","BM","FM"))</f>
        <v>0</v>
      </c>
      <c r="C185" s="134">
        <f>COUNTIFS(Calc!$P:$P,A178,Calc!$H:$H,A199,Calc!$L:$L,A180,Calc!$O:$O,IF(G199="R","FM","BM"))</f>
        <v>0</v>
      </c>
      <c r="D185" s="134">
        <f>COUNTIFS(Calc!$P:$P,A178,Calc!$H:$H,A199,Calc!$L:$L,A180,Calc!$O:$O,IF(G199="R","F","B"))</f>
        <v>0</v>
      </c>
      <c r="E185" s="37" t="s">
        <v>103</v>
      </c>
      <c r="F185" s="37">
        <f>COUNTIFS(Calc!$P:$P,A178,Calc!$H:$H,A199,Calc!$L:$L,A180,Calc!$N:$N,E185)</f>
        <v>0</v>
      </c>
      <c r="G185" s="38" t="e">
        <f>F185/SUM(F181:F188)</f>
        <v>#DIV/0!</v>
      </c>
      <c r="H185" s="37">
        <f>COUNTIFS(Calc!$P:$P,A178,Calc!$H:$H,A199,Calc!$L:$L,A180,Calc!$N:$N,E185,Calc!$F:$F,F180)</f>
        <v>0</v>
      </c>
      <c r="I185" s="37">
        <f>COUNTIFS(Calc!$P:$P,A178,Calc!$H:$H,A199,Calc!$L:$L,A180,Calc!$N:$N,E185,Calc!$F:$F,F199)</f>
        <v>0</v>
      </c>
      <c r="K185" s="187">
        <f>COUNTIFS(Calc!$P:$P,K178,Calc!$H:$H,K199,Calc!$L:$L,K180,Calc!$O:$O,IF(Q199="R","B","F"))</f>
        <v>0</v>
      </c>
      <c r="L185" s="187">
        <f>COUNTIFS(Calc!$P:$P,K178,Calc!$H:$H,K199,Calc!$L:$L,K180,Calc!$O:$O,IF(Q199="R","BM","FM"))</f>
        <v>0</v>
      </c>
      <c r="M185" s="187">
        <f>COUNTIFS(Calc!$P:$P,K178,Calc!$H:$H,K199,Calc!$L:$L,K180,Calc!$O:$O,IF(Q199="R","FM","BM"))</f>
        <v>0</v>
      </c>
      <c r="N185" s="187">
        <f>COUNTIFS(Calc!$P:$P,K178,Calc!$H:$H,K199,Calc!$L:$L,K180,Calc!$O:$O,IF(Q199="R","F","B"))</f>
        <v>0</v>
      </c>
      <c r="O185" s="37" t="s">
        <v>103</v>
      </c>
      <c r="P185" s="37">
        <f>COUNTIFS(Calc!$P:$P,K178,Calc!$H:$H,K199,Calc!$L:$L,K180,Calc!$N:$N,O185)</f>
        <v>0</v>
      </c>
      <c r="Q185" s="38" t="e">
        <f>P185/SUM(P181:P188)</f>
        <v>#DIV/0!</v>
      </c>
      <c r="R185" s="37">
        <f>COUNTIFS(Calc!$P:$P,K178,Calc!$H:$H,K199,Calc!$L:$L,K180,Calc!$N:$N,O185,Calc!$F:$F,P180)</f>
        <v>0</v>
      </c>
      <c r="S185" s="37">
        <f>COUNTIFS(Calc!$P:$P,K178,Calc!$H:$H,K199,Calc!$L:$L,K180,Calc!$N:$N,O185,Calc!$F:$F,P199)</f>
        <v>0</v>
      </c>
    </row>
    <row r="186" spans="1:19" x14ac:dyDescent="0.45">
      <c r="A186" s="134"/>
      <c r="B186" s="134"/>
      <c r="C186" s="134"/>
      <c r="D186" s="134"/>
      <c r="E186" s="37" t="s">
        <v>82</v>
      </c>
      <c r="F186" s="37">
        <f>COUNTIFS(Calc!$P:$P,A178,Calc!$H:$H,A199,Calc!$L:$L,A180,Calc!$N:$N,E186)</f>
        <v>0</v>
      </c>
      <c r="G186" s="38" t="e">
        <f>F186/SUM(F181:F188)</f>
        <v>#DIV/0!</v>
      </c>
      <c r="H186" s="37">
        <f>COUNTIFS(Calc!$P:$P,A178,Calc!$H:$H,A199,Calc!$L:$L,A180,Calc!$N:$N,E186,Calc!$F:$F,F180)</f>
        <v>0</v>
      </c>
      <c r="I186" s="37">
        <f>COUNTIFS(Calc!$P:$P,A178,Calc!$H:$H,A199,Calc!$L:$L,A180,Calc!$N:$N,E186,Calc!$F:$F,F199)</f>
        <v>0</v>
      </c>
      <c r="K186" s="180"/>
      <c r="L186" s="180"/>
      <c r="M186" s="180"/>
      <c r="N186" s="180"/>
      <c r="O186" s="37" t="s">
        <v>82</v>
      </c>
      <c r="P186" s="37">
        <f>COUNTIFS(Calc!$P:$P,K178,Calc!$H:$H,K199,Calc!$L:$L,K180,Calc!$N:$N,O186)</f>
        <v>0</v>
      </c>
      <c r="Q186" s="38" t="e">
        <f>P186/SUM(P181:P188)</f>
        <v>#DIV/0!</v>
      </c>
      <c r="R186" s="37">
        <f>COUNTIFS(Calc!$P:$P,K178,Calc!$H:$H,K199,Calc!$L:$L,K180,Calc!$N:$N,O186,Calc!$F:$F,P180)</f>
        <v>0</v>
      </c>
      <c r="S186" s="37">
        <f>COUNTIFS(Calc!$P:$P,K178,Calc!$H:$H,K199,Calc!$L:$L,K180,Calc!$N:$N,O186,Calc!$F:$F,P199)</f>
        <v>0</v>
      </c>
    </row>
    <row r="187" spans="1:19" x14ac:dyDescent="0.45">
      <c r="A187" s="137" t="s">
        <v>80</v>
      </c>
      <c r="B187" s="137"/>
      <c r="C187" s="137"/>
      <c r="D187" s="137"/>
      <c r="E187" s="37" t="s">
        <v>83</v>
      </c>
      <c r="F187" s="37">
        <f>COUNTIFS(Calc!$P:$P,A178,Calc!$H:$H,A199,Calc!$L:$L,A180,Calc!$N:$N,E187)</f>
        <v>0</v>
      </c>
      <c r="G187" s="38" t="e">
        <f>F187/SUM(F181:F188)</f>
        <v>#DIV/0!</v>
      </c>
      <c r="H187" s="37">
        <f>COUNTIFS(Calc!$P:$P,A178,Calc!$H:$H,A199,Calc!$L:$L,A180,Calc!$N:$N,E187,Calc!$F:$F,F180)</f>
        <v>0</v>
      </c>
      <c r="I187" s="37">
        <f>COUNTIFS(Calc!$P:$P,A178,Calc!$H:$H,A199,Calc!$L:$L,A180,Calc!$N:$N,E187,Calc!$F:$F,F199)</f>
        <v>0</v>
      </c>
      <c r="K187" s="137" t="s">
        <v>80</v>
      </c>
      <c r="L187" s="137"/>
      <c r="M187" s="137"/>
      <c r="N187" s="137"/>
      <c r="O187" s="37" t="s">
        <v>83</v>
      </c>
      <c r="P187" s="37">
        <f>COUNTIFS(Calc!$P:$P,K178,Calc!$H:$H,K199,Calc!$L:$L,K180,Calc!$N:$N,O187)</f>
        <v>0</v>
      </c>
      <c r="Q187" s="38" t="e">
        <f>P187/SUM(P181:P188)</f>
        <v>#DIV/0!</v>
      </c>
      <c r="R187" s="37">
        <f>COUNTIFS(Calc!$P:$P,K178,Calc!$H:$H,K199,Calc!$L:$L,K180,Calc!$N:$N,O187,Calc!$F:$F,P180)</f>
        <v>0</v>
      </c>
      <c r="S187" s="37">
        <f>COUNTIFS(Calc!$P:$P,K178,Calc!$H:$H,K199,Calc!$L:$L,K180,Calc!$N:$N,O187,Calc!$F:$F,P199)</f>
        <v>0</v>
      </c>
    </row>
    <row r="188" spans="1:19" x14ac:dyDescent="0.45">
      <c r="A188" s="132">
        <f>COUNTIFS(Calc!$P:$P,A178,Calc!$H:$H,A199,Calc!$L:$L,A180,Calc!$O:$O,"オーバーミス")</f>
        <v>0</v>
      </c>
      <c r="B188" s="132"/>
      <c r="C188" s="132"/>
      <c r="D188" s="132"/>
      <c r="E188" s="37" t="s">
        <v>107</v>
      </c>
      <c r="F188" s="37">
        <f>COUNTIFS(Calc!$P:$P,A178,Calc!$H:$H,A199,Calc!$L:$L,A180,Calc!$N:$N,E188)</f>
        <v>0</v>
      </c>
      <c r="G188" s="38" t="e">
        <f>F188/SUM(F181:F188)</f>
        <v>#DIV/0!</v>
      </c>
      <c r="H188" s="37">
        <f>COUNTIFS(Calc!$P:$P,A178,Calc!$H:$H,A199,Calc!$L:$L,A180,Calc!$N:$N,E188,Calc!$F:$F,F180)</f>
        <v>0</v>
      </c>
      <c r="I188" s="37">
        <f>COUNTIFS(Calc!$P:$P,A178,Calc!$H:$H,A199,Calc!$L:$L,A180,Calc!$N:$N,E188,Calc!$F:$F,F199)</f>
        <v>0</v>
      </c>
      <c r="K188" s="132">
        <f>COUNTIFS(Calc!$P:$P,K178,Calc!$H:$H,K199,Calc!$L:$L,K180,Calc!$O:$O,"オーバーミス")</f>
        <v>0</v>
      </c>
      <c r="L188" s="132"/>
      <c r="M188" s="132"/>
      <c r="N188" s="132"/>
      <c r="O188" s="37" t="s">
        <v>107</v>
      </c>
      <c r="P188" s="37">
        <f>COUNTIFS(Calc!$P:$P,K178,Calc!$H:$H,K199,Calc!$L:$L,K180,Calc!$N:$N,O188)</f>
        <v>0</v>
      </c>
      <c r="Q188" s="38" t="e">
        <f>P188/SUM(P181:P188)</f>
        <v>#DIV/0!</v>
      </c>
      <c r="R188" s="37">
        <f>COUNTIFS(Calc!$P:$P,K178,Calc!$H:$H,K199,Calc!$L:$L,K180,Calc!$N:$N,O188,Calc!$F:$F,P180)</f>
        <v>0</v>
      </c>
      <c r="S188" s="37">
        <f>COUNTIFS(Calc!$P:$P,K178,Calc!$H:$H,K199,Calc!$L:$L,K180,Calc!$N:$N,O188,Calc!$F:$F,P199)</f>
        <v>0</v>
      </c>
    </row>
    <row r="189" spans="1:19" x14ac:dyDescent="0.45">
      <c r="A189" s="103"/>
      <c r="B189" s="103"/>
      <c r="C189" s="103"/>
      <c r="D189" s="103"/>
      <c r="E189" s="37"/>
      <c r="F189" s="37"/>
      <c r="G189" s="38"/>
      <c r="H189" s="37"/>
      <c r="I189" s="37"/>
      <c r="K189" s="104"/>
      <c r="L189" s="104"/>
      <c r="M189" s="104"/>
      <c r="N189" s="104"/>
      <c r="O189" s="40"/>
      <c r="P189" s="40"/>
      <c r="Q189" s="41"/>
      <c r="R189" s="40"/>
      <c r="S189" s="40"/>
    </row>
    <row r="190" spans="1:19" x14ac:dyDescent="0.45">
      <c r="A190" t="s">
        <v>179</v>
      </c>
      <c r="K190" t="s">
        <v>179</v>
      </c>
    </row>
    <row r="191" spans="1:19" x14ac:dyDescent="0.45">
      <c r="A191" s="164">
        <f>COUNTIFS(Calc!$P:$P,A178,Calc!$H:$H,A199,Calc!$L:$L,A180,Calc!$K:$K,IF(E180="R","F","B"))</f>
        <v>0</v>
      </c>
      <c r="B191" s="164">
        <f>COUNTIFS(Calc!$P:$P,A178,Calc!$H:$H,A199,Calc!$L:$L,A180,Calc!$K:$K,IF(E180="R","FM","BM"))</f>
        <v>0</v>
      </c>
      <c r="C191" s="164">
        <f>COUNTIFS(Calc!$P:$P,A178,Calc!$H:$H,A199,Calc!$L:$L,A180,Calc!$K:$K,IF(E180="R","BM","FM"))</f>
        <v>0</v>
      </c>
      <c r="D191" s="164">
        <f>COUNTIFS(Calc!$P:$P,A178,Calc!$H:$H,A199,Calc!$L:$L,A180,Calc!$K:$K,IF(E180="R","B","F"))</f>
        <v>0</v>
      </c>
      <c r="E191" s="40"/>
      <c r="F191" s="40"/>
      <c r="G191" s="41"/>
      <c r="H191" s="40"/>
      <c r="I191" s="40"/>
      <c r="K191" s="164">
        <f>COUNTIFS(Calc!$P:$P,K178,Calc!$H:$H,K199,Calc!$L:$L,K180,Calc!$K:$K,IF(O180="R","F","B"))</f>
        <v>0</v>
      </c>
      <c r="L191" s="164">
        <f>COUNTIFS(Calc!$P:$P,K178,Calc!$H:$H,K199,Calc!$L:$L,K180,Calc!$K:$K,IF(O180="R","FM","BM"))</f>
        <v>0</v>
      </c>
      <c r="M191" s="164">
        <f>COUNTIFS(Calc!$P:$P,K178,Calc!$H:$H,K199,Calc!$L:$L,K180,Calc!$K:$K,IF(O180="R","BM","FM"))</f>
        <v>0</v>
      </c>
      <c r="N191" s="164">
        <f>COUNTIFS(Calc!$P:$P,K178,Calc!$H:$H,K199,Calc!$L:$L,K180,Calc!$K:$K,IF(O180="R","B","F"))</f>
        <v>0</v>
      </c>
      <c r="O191" s="40"/>
      <c r="P191" s="40"/>
      <c r="Q191" s="41"/>
      <c r="R191" s="40"/>
      <c r="S191" s="40"/>
    </row>
    <row r="192" spans="1:19" x14ac:dyDescent="0.45">
      <c r="A192" s="164"/>
      <c r="B192" s="164"/>
      <c r="C192" s="164"/>
      <c r="D192" s="164"/>
      <c r="E192" s="40"/>
      <c r="F192" s="40"/>
      <c r="G192" s="41"/>
      <c r="H192" s="40"/>
      <c r="I192" s="40"/>
      <c r="K192" s="164"/>
      <c r="L192" s="164"/>
      <c r="M192" s="164"/>
      <c r="N192" s="164"/>
      <c r="O192" s="40"/>
      <c r="P192" s="40"/>
      <c r="Q192" s="41"/>
      <c r="R192" s="40"/>
      <c r="S192" s="40"/>
    </row>
    <row r="193" spans="1:19" ht="18.600000000000001" thickBot="1" x14ac:dyDescent="0.5">
      <c r="A193" s="157">
        <f>COUNTIFS(Calc!$P:$P,A178,Calc!$H:$H,A199,Calc!$L:$L,A180,Calc!$K:$K,IF(E180="R","FS","BS"))</f>
        <v>0</v>
      </c>
      <c r="B193" s="157">
        <f>COUNTIFS(Calc!$P:$P,A178,Calc!$H:$H,A199,Calc!$L:$L,A180,Calc!$K:$K,IF(E180="R","FMS","BMS"))</f>
        <v>0</v>
      </c>
      <c r="C193" s="157">
        <f>COUNTIFS(Calc!$P:$P,A178,Calc!$H:$H,A199,Calc!$L:$L,A180,Calc!$K:$K,IF(E180="R","BMS","FMS"))</f>
        <v>0</v>
      </c>
      <c r="D193" s="157">
        <f>COUNTIFS(Calc!$P:$P,A178,Calc!$H:$H,A199,Calc!$L:$L,A180,Calc!$K:$K,IF(E180="R","BS","FS"))</f>
        <v>0</v>
      </c>
      <c r="E193" s="40"/>
      <c r="F193" s="40"/>
      <c r="G193" s="41"/>
      <c r="H193" s="40"/>
      <c r="I193" s="40"/>
      <c r="K193" s="157">
        <f>COUNTIFS(Calc!$P:$P,K178,Calc!$H:$H,K199,Calc!$L:$L,K180,Calc!$K:$K,IF(O180="R","FS","BS"))</f>
        <v>0</v>
      </c>
      <c r="L193" s="157">
        <f>COUNTIFS(Calc!$P:$P,K178,Calc!$H:$H,K199,Calc!$L:$L,K180,Calc!$K:$K,IF(O180="R","FMS","BMS"))</f>
        <v>0</v>
      </c>
      <c r="M193" s="157">
        <f>COUNTIFS(Calc!$P:$P,K178,Calc!$H:$H,K199,Calc!$L:$L,K180,Calc!$K:$K,IF(O180="R","BMS","FMS"))</f>
        <v>0</v>
      </c>
      <c r="N193" s="157">
        <f>COUNTIFS(Calc!$P:$P,K178,Calc!$H:$H,K199,Calc!$L:$L,K180,Calc!$K:$K,IF(O180="R","BS","FS"))</f>
        <v>0</v>
      </c>
      <c r="O193" s="40"/>
      <c r="P193" s="40"/>
      <c r="Q193" s="41"/>
      <c r="R193" s="40"/>
      <c r="S193" s="40"/>
    </row>
    <row r="194" spans="1:19" ht="19.2" thickTop="1" thickBot="1" x14ac:dyDescent="0.5">
      <c r="A194" s="158"/>
      <c r="B194" s="158"/>
      <c r="C194" s="158"/>
      <c r="D194" s="158"/>
      <c r="E194" s="40"/>
      <c r="F194" s="40"/>
      <c r="G194" s="41"/>
      <c r="H194" s="40"/>
      <c r="I194" s="40"/>
      <c r="K194" s="158"/>
      <c r="L194" s="158"/>
      <c r="M194" s="158"/>
      <c r="N194" s="158"/>
      <c r="O194" s="40"/>
      <c r="P194" s="40"/>
      <c r="Q194" s="41"/>
      <c r="R194" s="40"/>
      <c r="S194" s="40"/>
    </row>
    <row r="195" spans="1:19" ht="19.2" thickTop="1" thickBot="1" x14ac:dyDescent="0.5">
      <c r="A195" s="158">
        <f>COUNTIFS(Calc!$P:$P,A178,Calc!$H:$H,A199,Calc!$L:$L,A180,Calc!$J:$J,IF(E199="R","B","F"))</f>
        <v>0</v>
      </c>
      <c r="B195" s="158"/>
      <c r="C195" s="158">
        <f>COUNTIFS(Calc!$P:$P,A178,Calc!$H:$H,A199,Calc!$L:$L,A180,Calc!$J:$J,IF(E199="R","F","B"))</f>
        <v>0</v>
      </c>
      <c r="D195" s="158"/>
      <c r="E195" s="40"/>
      <c r="F195" s="40"/>
      <c r="G195" s="41"/>
      <c r="H195" s="40" t="s">
        <v>177</v>
      </c>
      <c r="I195" s="40" t="s">
        <v>178</v>
      </c>
      <c r="K195" s="158">
        <f>COUNTIFS(Calc!$P:$P,K178,Calc!$H:$H,K199,Calc!$L:$L,K180,Calc!$J:$J,IF(O199="R","B","F"))</f>
        <v>0</v>
      </c>
      <c r="L195" s="158"/>
      <c r="M195" s="158">
        <f>COUNTIFS(Calc!$P:$P,K178,Calc!$H:$H,K199,Calc!$L:$L,K180,Calc!$J:$J,IF(O199="R","F","B"))</f>
        <v>0</v>
      </c>
      <c r="N195" s="158"/>
      <c r="O195" s="40"/>
      <c r="P195" s="40"/>
      <c r="Q195" s="41"/>
      <c r="R195" s="40" t="s">
        <v>177</v>
      </c>
      <c r="S195" s="40" t="s">
        <v>178</v>
      </c>
    </row>
    <row r="196" spans="1:19" ht="19.2" thickTop="1" thickBot="1" x14ac:dyDescent="0.5">
      <c r="A196" s="158"/>
      <c r="B196" s="158"/>
      <c r="C196" s="158"/>
      <c r="D196" s="158"/>
      <c r="E196" s="40" t="s">
        <v>174</v>
      </c>
      <c r="F196" s="40">
        <f>COUNTIFS(Calc!$P:$P,A178,Calc!$H:$H,A199,Calc!$L:$L,A180,Calc!$I:$I,E196)</f>
        <v>0</v>
      </c>
      <c r="G196" s="41" t="e">
        <f>F196/SUM(F196:F198)</f>
        <v>#DIV/0!</v>
      </c>
      <c r="H196" s="40">
        <f>COUNTIFS(Calc!$P:$P,A178,Calc!$H:$H,A199,Calc!$L:$L,A180,Calc!$I:$I,E196,Calc!$F:$F,F199)</f>
        <v>0</v>
      </c>
      <c r="I196" s="40">
        <f>COUNTIFS(Calc!$P:$P,A178,Calc!$H:$H,A199,Calc!$L:$L,A180,Calc!$I:$I,E196,Calc!$F:$F,F180)</f>
        <v>0</v>
      </c>
      <c r="K196" s="158"/>
      <c r="L196" s="158"/>
      <c r="M196" s="158"/>
      <c r="N196" s="158"/>
      <c r="O196" s="40" t="s">
        <v>174</v>
      </c>
      <c r="P196" s="40">
        <f>COUNTIFS(Calc!$P:$P,K178,Calc!$H:$H,K199,Calc!$L:$L,K180,Calc!$I:$I,O196)</f>
        <v>0</v>
      </c>
      <c r="Q196" s="41" t="e">
        <f>P196/SUM(P196:P198)</f>
        <v>#DIV/0!</v>
      </c>
      <c r="R196" s="40">
        <f>COUNTIFS(Calc!$P:$P,K178,Calc!$H:$H,K199,Calc!$L:$L,K180,Calc!$I:$I,O196,Calc!$F:$F,P199)</f>
        <v>0</v>
      </c>
      <c r="S196" s="40">
        <f>COUNTIFS(Calc!$P:$P,K178,Calc!$H:$H,K199,Calc!$L:$L,K180,Calc!$I:$I,O196,Calc!$F:$F,P180)</f>
        <v>0</v>
      </c>
    </row>
    <row r="197" spans="1:19" ht="19.2" thickTop="1" thickBot="1" x14ac:dyDescent="0.5">
      <c r="A197" s="158"/>
      <c r="B197" s="158"/>
      <c r="C197" s="158"/>
      <c r="D197" s="158"/>
      <c r="E197" s="40" t="s">
        <v>63</v>
      </c>
      <c r="F197" s="40">
        <f>COUNTIFS(Calc!$P:$P,A178,Calc!$H:$H,A199,Calc!$L:$L,A180,Calc!$I:$I,E197)</f>
        <v>0</v>
      </c>
      <c r="G197" s="41" t="e">
        <f>F197/SUM(F196:F198)</f>
        <v>#DIV/0!</v>
      </c>
      <c r="H197" s="40">
        <f>COUNTIFS(Calc!$P:$P,A178,Calc!$H:$H,A199,Calc!$L:$L,A180,Calc!$I:$I,E197,Calc!$F:$F,F199)</f>
        <v>0</v>
      </c>
      <c r="I197" s="40">
        <f>COUNTIFS(Calc!$P:$P,A178,Calc!$H:$H,A199,Calc!$L:$L,A180,Calc!$I:$I,E197,Calc!$F:$F,F180)</f>
        <v>0</v>
      </c>
      <c r="K197" s="158"/>
      <c r="L197" s="158"/>
      <c r="M197" s="158"/>
      <c r="N197" s="158"/>
      <c r="O197" s="40" t="s">
        <v>63</v>
      </c>
      <c r="P197" s="40">
        <f>COUNTIFS(Calc!$P:$P,K178,Calc!$H:$H,K199,Calc!$L:$L,K180,Calc!$I:$I,O197)</f>
        <v>0</v>
      </c>
      <c r="Q197" s="41" t="e">
        <f>P197/SUM(P196:P198)</f>
        <v>#DIV/0!</v>
      </c>
      <c r="R197" s="40">
        <f>COUNTIFS(Calc!$P:$P,K178,Calc!$H:$H,K199,Calc!$L:$L,K180,Calc!$I:$I,O197,Calc!$F:$F,P199)</f>
        <v>0</v>
      </c>
      <c r="S197" s="40">
        <f>COUNTIFS(Calc!$P:$P,K178,Calc!$H:$H,K199,Calc!$L:$L,K180,Calc!$I:$I,O197,Calc!$F:$F,P180)</f>
        <v>0</v>
      </c>
    </row>
    <row r="198" spans="1:19" ht="18.600000000000001" thickTop="1" x14ac:dyDescent="0.45">
      <c r="A198" s="161"/>
      <c r="B198" s="161"/>
      <c r="C198" s="161"/>
      <c r="D198" s="161"/>
      <c r="E198" s="40" t="s">
        <v>61</v>
      </c>
      <c r="F198" s="40">
        <f>COUNTIFS(Calc!$P:$P,A178,Calc!$H:$H,A199,Calc!$L:$L,A180,Calc!$I:$I,E198)</f>
        <v>0</v>
      </c>
      <c r="G198" s="41" t="e">
        <f>F198/SUM(F196:F198)</f>
        <v>#DIV/0!</v>
      </c>
      <c r="H198" s="40">
        <f>COUNTIFS(Calc!$P:$P,A178,Calc!$H:$H,A199,Calc!$L:$L,A180,Calc!$I:$I,E198,Calc!$F:$F,F199)</f>
        <v>0</v>
      </c>
      <c r="I198" s="40">
        <f>COUNTIFS(Calc!$P:$P,A178,Calc!$H:$H,A199,Calc!$L:$L,A180,Calc!$I:$I,E198,Calc!$F:$F,F180)</f>
        <v>0</v>
      </c>
      <c r="K198" s="161"/>
      <c r="L198" s="161"/>
      <c r="M198" s="161"/>
      <c r="N198" s="161"/>
      <c r="O198" s="40" t="s">
        <v>61</v>
      </c>
      <c r="P198" s="40">
        <f>COUNTIFS(Calc!$P:$P,K178,Calc!$H:$H,K199,Calc!$L:$L,K180,Calc!$I:$I,O198)</f>
        <v>0</v>
      </c>
      <c r="Q198" s="41" t="e">
        <f>P198/SUM(P196:P198)</f>
        <v>#DIV/0!</v>
      </c>
      <c r="R198" s="40">
        <f>COUNTIFS(Calc!$P:$P,K178,Calc!$H:$H,K199,Calc!$L:$L,K180,Calc!$I:$I,O198,Calc!$F:$F,P199)</f>
        <v>0</v>
      </c>
      <c r="S198" s="40">
        <f>COUNTIFS(Calc!$P:$P,K178,Calc!$H:$H,K199,Calc!$L:$L,K180,Calc!$I:$I,O198,Calc!$F:$F,P180)</f>
        <v>0</v>
      </c>
    </row>
    <row r="199" spans="1:19" x14ac:dyDescent="0.45">
      <c r="A199" s="155" t="str">
        <f>Main!$D$12</f>
        <v>NAMBA Yurika</v>
      </c>
      <c r="B199" s="156"/>
      <c r="C199" s="156"/>
      <c r="D199" s="156"/>
      <c r="E199" s="36" t="str">
        <f>Main!$F$12</f>
        <v>R</v>
      </c>
      <c r="F199" s="36" t="str">
        <f>Main!$B$12</f>
        <v>Mallets</v>
      </c>
      <c r="G199" s="36" t="str">
        <f>Main!$F$14</f>
        <v/>
      </c>
      <c r="H199" s="113"/>
      <c r="I199" s="113"/>
      <c r="J199" s="113"/>
      <c r="K199" s="155" t="str">
        <f>Main!$D$14</f>
        <v/>
      </c>
      <c r="L199" s="156"/>
      <c r="M199" s="156"/>
      <c r="N199" s="156"/>
      <c r="O199" s="36" t="str">
        <f>Main!$F$14</f>
        <v/>
      </c>
      <c r="P199" s="45" t="str">
        <f>Main!$B$12</f>
        <v>Mallets</v>
      </c>
      <c r="Q199" s="36" t="str">
        <f>Main!$F$12</f>
        <v>R</v>
      </c>
      <c r="R199" s="113"/>
      <c r="S199" s="112"/>
    </row>
    <row r="202" spans="1:19" x14ac:dyDescent="0.45">
      <c r="A202" s="111">
        <v>4</v>
      </c>
      <c r="K202" s="111">
        <v>4</v>
      </c>
    </row>
    <row r="203" spans="1:19" x14ac:dyDescent="0.45">
      <c r="A203" t="s">
        <v>139</v>
      </c>
      <c r="K203" t="s">
        <v>139</v>
      </c>
    </row>
    <row r="204" spans="1:19" x14ac:dyDescent="0.45">
      <c r="A204" s="190" t="str">
        <f>Main!$D$14</f>
        <v/>
      </c>
      <c r="B204" s="191"/>
      <c r="C204" s="191"/>
      <c r="D204" s="191"/>
      <c r="E204" s="117" t="str">
        <f>Main!$F$14</f>
        <v/>
      </c>
      <c r="F204" s="118" t="str">
        <f>Main!$B$12</f>
        <v>Mallets</v>
      </c>
      <c r="G204" s="117" t="str">
        <f>Main!$F$12</f>
        <v>R</v>
      </c>
      <c r="H204" s="115" t="s">
        <v>109</v>
      </c>
      <c r="I204" s="115" t="s">
        <v>110</v>
      </c>
      <c r="J204" s="43"/>
      <c r="K204" s="140" t="str">
        <f>Main!$D$12</f>
        <v>NAMBA Yurika</v>
      </c>
      <c r="L204" s="140"/>
      <c r="M204" s="140"/>
      <c r="N204" s="140"/>
      <c r="O204" s="36" t="str">
        <f>Main!$F$12</f>
        <v>R</v>
      </c>
      <c r="P204" s="36" t="str">
        <f>Main!$B$12</f>
        <v>Mallets</v>
      </c>
      <c r="Q204" s="36" t="str">
        <f>Main!$F$14</f>
        <v/>
      </c>
      <c r="R204" s="40" t="s">
        <v>109</v>
      </c>
      <c r="S204" s="40" t="s">
        <v>110</v>
      </c>
    </row>
    <row r="205" spans="1:19" ht="18.600000000000001" thickBot="1" x14ac:dyDescent="0.5">
      <c r="A205" s="144" t="s">
        <v>81</v>
      </c>
      <c r="B205" s="145"/>
      <c r="C205" s="145"/>
      <c r="D205" s="83">
        <f>COUNTIFS(Calc!$P:$P,A202,Calc!$H:$H,A223,Calc!$L:$L,A204,Calc!$O:$O,"ネット")</f>
        <v>0</v>
      </c>
      <c r="E205" s="40" t="s">
        <v>14</v>
      </c>
      <c r="F205" s="40">
        <f>COUNTIFS(Calc!$P:$P,A202,Calc!$H:$H,A223,Calc!$L:$L,A204,Calc!$N:$N,E205)</f>
        <v>0</v>
      </c>
      <c r="G205" s="41" t="e">
        <f>F205/SUM(F205:F212)</f>
        <v>#DIV/0!</v>
      </c>
      <c r="H205" s="40">
        <f>COUNTIFS(Calc!$P:$P,A202,Calc!$H:$H,A223,Calc!$L:$L,A204,Calc!$N:$N,E205,Calc!$F:$F,F204)</f>
        <v>0</v>
      </c>
      <c r="I205" s="40">
        <f>COUNTIFS(Calc!$P:$P,A202,Calc!$H:$H,A223,Calc!$L:$L,A204,Calc!$N:$N,E205,Calc!$F:$F,F223)</f>
        <v>0</v>
      </c>
      <c r="K205" s="144" t="s">
        <v>81</v>
      </c>
      <c r="L205" s="145"/>
      <c r="M205" s="145"/>
      <c r="N205" s="83">
        <f>COUNTIFS(Calc!$P:$P,K202,Calc!$H:$H,K223,Calc!$L:$L,K204,Calc!$O:$O,"ネット")</f>
        <v>0</v>
      </c>
      <c r="O205" s="40" t="s">
        <v>14</v>
      </c>
      <c r="P205" s="40">
        <f>COUNTIFS(Calc!$P:$P,K202,Calc!$H:$H,K223,Calc!$L:$L,K204,Calc!$N:$N,O205)</f>
        <v>0</v>
      </c>
      <c r="Q205" s="41" t="e">
        <f>P205/SUM(P205:P212)</f>
        <v>#DIV/0!</v>
      </c>
      <c r="R205" s="40">
        <f>COUNTIFS(Calc!$P:$P,K202,Calc!$H:$H,K223,Calc!$L:$L,K204,Calc!$N:$N,O205,Calc!$F:$F,P204)</f>
        <v>0</v>
      </c>
      <c r="S205" s="40">
        <f>COUNTIFS(Calc!$P:$P,K202,Calc!$H:$H,K223,Calc!$L:$L,K204,Calc!$N:$N,O205,Calc!$F:$F,P223)</f>
        <v>0</v>
      </c>
    </row>
    <row r="206" spans="1:19" ht="18.600000000000001" thickTop="1" x14ac:dyDescent="0.45">
      <c r="A206" s="148" t="s">
        <v>176</v>
      </c>
      <c r="B206" s="149"/>
      <c r="C206" s="149"/>
      <c r="D206" s="110">
        <f>COUNTIFS(Calc!$P:$P,A202,Calc!$H:$H,A223,Calc!$L:$L,A204,Calc!$O:$O,"ネットイン")</f>
        <v>0</v>
      </c>
      <c r="E206" s="40" t="s">
        <v>15</v>
      </c>
      <c r="F206" s="40">
        <f>COUNTIFS(Calc!$P:$P,A202,Calc!$H:$H,A223,Calc!$L:$L,A204,Calc!$N:$N,E206)</f>
        <v>0</v>
      </c>
      <c r="G206" s="41" t="e">
        <f>F206/SUM(F205:F212)</f>
        <v>#DIV/0!</v>
      </c>
      <c r="H206" s="40">
        <f>COUNTIFS(Calc!$P:$P,A202,Calc!$H:$H,A223,Calc!$L:$L,A204,Calc!$N:$N,E206,Calc!$F:$F,F204)</f>
        <v>0</v>
      </c>
      <c r="I206" s="40">
        <f>COUNTIFS(Calc!$P:$P,A202,Calc!$H:$H,A223,Calc!$L:$L,A204,Calc!$N:$N,E206,Calc!$F:$F,F223)</f>
        <v>0</v>
      </c>
      <c r="K206" s="148" t="s">
        <v>176</v>
      </c>
      <c r="L206" s="149"/>
      <c r="M206" s="149"/>
      <c r="N206" s="110">
        <f>COUNTIFS(Calc!$P:$P,K202,Calc!$H:$H,K223,Calc!$L:$L,K204,Calc!$O:$O,"ネットイン")</f>
        <v>0</v>
      </c>
      <c r="O206" s="40" t="s">
        <v>15</v>
      </c>
      <c r="P206" s="40">
        <f>COUNTIFS(Calc!$P:$P,K202,Calc!$H:$H,K223,Calc!$L:$L,K204,Calc!$N:$N,O206)</f>
        <v>0</v>
      </c>
      <c r="Q206" s="41" t="e">
        <f>P206/SUM(P205:P212)</f>
        <v>#DIV/0!</v>
      </c>
      <c r="R206" s="40">
        <f>COUNTIFS(Calc!$P:$P,K202,Calc!$H:$H,K223,Calc!$L:$L,K204,Calc!$N:$N,O206,Calc!$F:$F,P204)</f>
        <v>0</v>
      </c>
      <c r="S206" s="40">
        <f>COUNTIFS(Calc!$P:$P,K202,Calc!$H:$H,K223,Calc!$L:$L,K204,Calc!$N:$N,O206,Calc!$F:$F,P223)</f>
        <v>0</v>
      </c>
    </row>
    <row r="207" spans="1:19" x14ac:dyDescent="0.45">
      <c r="A207" s="150">
        <f>COUNTIFS(Calc!$P:$P,A202,Calc!$H:$H,A223,Calc!$L:$L,A204,Calc!$O:$O,IF(G223="R","BS","FS"))</f>
        <v>0</v>
      </c>
      <c r="B207" s="150">
        <f>COUNTIFS(Calc!$P:$P,A202,Calc!$H:$H,A223,Calc!$L:$L,A204,Calc!$O:$O,IF(G223="R","BMS","FMS"))</f>
        <v>0</v>
      </c>
      <c r="C207" s="150">
        <f>COUNTIFS(Calc!$P:$P,A202,Calc!$H:$H,A223,Calc!$L:$L,A204,Calc!$O:$O,IF(G223="R","FMS","BMS"))</f>
        <v>0</v>
      </c>
      <c r="D207" s="150">
        <f>COUNTIFS(Calc!$P:$P,A202,Calc!$H:$H,A223,Calc!$L:$L,A204,Calc!$O:$O,IF(G223="R","FS","BS"))</f>
        <v>0</v>
      </c>
      <c r="E207" s="40" t="s">
        <v>17</v>
      </c>
      <c r="F207" s="40">
        <f>COUNTIFS(Calc!$P:$P,A202,Calc!$H:$H,A223,Calc!$L:$L,A204,Calc!$N:$N,E207)</f>
        <v>0</v>
      </c>
      <c r="G207" s="41" t="e">
        <f>F207/SUM(F205:F212)</f>
        <v>#DIV/0!</v>
      </c>
      <c r="H207" s="40">
        <f>COUNTIFS(Calc!$P:$P,A202,Calc!$H:$H,A223,Calc!$L:$L,A204,Calc!$N:$N,E207,Calc!$F:$F,F204)</f>
        <v>0</v>
      </c>
      <c r="I207" s="40">
        <f>COUNTIFS(Calc!$P:$P,A202,Calc!$H:$H,A223,Calc!$L:$L,A204,Calc!$N:$N,E207,Calc!$F:$F,F223)</f>
        <v>0</v>
      </c>
      <c r="K207" s="150">
        <f>COUNTIFS(Calc!$P:$P,K202,Calc!$H:$H,K223,Calc!$L:$L,K204,Calc!$O:$O,IF(Q223="R","BS","FS"))</f>
        <v>0</v>
      </c>
      <c r="L207" s="150">
        <f>COUNTIFS(Calc!$P:$P,K202,Calc!$H:$H,K223,Calc!$L:$L,K204,Calc!$O:$O,IF(Q223="R","BMS","FMS"))</f>
        <v>0</v>
      </c>
      <c r="M207" s="150">
        <f>COUNTIFS(Calc!$P:$P,K202,Calc!$H:$H,K223,Calc!$L:$L,K204,Calc!$O:$O,IF(Q223="R","FMS","BMS"))</f>
        <v>0</v>
      </c>
      <c r="N207" s="150">
        <f>COUNTIFS(Calc!$P:$P,K202,Calc!$H:$H,K223,Calc!$L:$L,K204,Calc!$O:$O,IF(Q223="R","FS","BS"))</f>
        <v>0</v>
      </c>
      <c r="O207" s="40" t="s">
        <v>17</v>
      </c>
      <c r="P207" s="40">
        <f>COUNTIFS(Calc!$P:$P,K202,Calc!$H:$H,K223,Calc!$L:$L,K204,Calc!$N:$N,O207)</f>
        <v>0</v>
      </c>
      <c r="Q207" s="41" t="e">
        <f>P207/SUM(P205:P212)</f>
        <v>#DIV/0!</v>
      </c>
      <c r="R207" s="40">
        <f>COUNTIFS(Calc!$P:$P,K202,Calc!$H:$H,K223,Calc!$L:$L,K204,Calc!$N:$N,O207,Calc!$F:$F,P204)</f>
        <v>0</v>
      </c>
      <c r="S207" s="40">
        <f>COUNTIFS(Calc!$P:$P,K202,Calc!$H:$H,K223,Calc!$L:$L,K204,Calc!$N:$N,O207,Calc!$F:$F,P223)</f>
        <v>0</v>
      </c>
    </row>
    <row r="208" spans="1:19" x14ac:dyDescent="0.45">
      <c r="A208" s="136"/>
      <c r="B208" s="136"/>
      <c r="C208" s="136"/>
      <c r="D208" s="136"/>
      <c r="E208" s="40" t="s">
        <v>16</v>
      </c>
      <c r="F208" s="40">
        <f>COUNTIFS(Calc!$P:$P,A202,Calc!$H:$H,A223,Calc!$L:$L,A204,Calc!$N:$N,E208)</f>
        <v>0</v>
      </c>
      <c r="G208" s="41" t="e">
        <f>F208/SUM(F205:F212)</f>
        <v>#DIV/0!</v>
      </c>
      <c r="H208" s="40">
        <f>COUNTIFS(Calc!$P:$P,A202,Calc!$H:$H,A223,Calc!$L:$L,A204,Calc!$N:$N,E208,Calc!$F:$F,F204)</f>
        <v>0</v>
      </c>
      <c r="I208" s="40">
        <f>COUNTIFS(Calc!$P:$P,A202,Calc!$H:$H,A223,Calc!$L:$L,A204,Calc!$N:$N,E208,Calc!$F:$F,F223)</f>
        <v>0</v>
      </c>
      <c r="K208" s="136"/>
      <c r="L208" s="136"/>
      <c r="M208" s="136"/>
      <c r="N208" s="136"/>
      <c r="O208" s="40" t="s">
        <v>16</v>
      </c>
      <c r="P208" s="40">
        <f>COUNTIFS(Calc!$P:$P,K202,Calc!$H:$H,K223,Calc!$L:$L,K204,Calc!$N:$N,O208)</f>
        <v>0</v>
      </c>
      <c r="Q208" s="41" t="e">
        <f>P208/SUM(P205:P212)</f>
        <v>#DIV/0!</v>
      </c>
      <c r="R208" s="40">
        <f>COUNTIFS(Calc!$P:$P,K202,Calc!$H:$H,K223,Calc!$L:$L,K204,Calc!$N:$N,O208,Calc!$F:$F,P204)</f>
        <v>0</v>
      </c>
      <c r="S208" s="40">
        <f>COUNTIFS(Calc!$P:$P,K202,Calc!$H:$H,K223,Calc!$L:$L,K204,Calc!$N:$N,O208,Calc!$F:$F,P223)</f>
        <v>0</v>
      </c>
    </row>
    <row r="209" spans="1:19" x14ac:dyDescent="0.45">
      <c r="A209" s="135">
        <f>COUNTIFS(Calc!$P:$P,A202,Calc!$H:$H,A223,Calc!$L:$L,A204,Calc!$O:$O,IF(G223="R","B","F"))</f>
        <v>0</v>
      </c>
      <c r="B209" s="135">
        <f>COUNTIFS(Calc!$P:$P,A202,Calc!$H:$H,A223,Calc!$L:$L,A204,Calc!$O:$O,IF(G223="R","BM","FM"))</f>
        <v>0</v>
      </c>
      <c r="C209" s="135">
        <f>COUNTIFS(Calc!$P:$P,A202,Calc!$H:$H,A223,Calc!$L:$L,A204,Calc!$O:$O,IF(G223="R","FM","BM"))</f>
        <v>0</v>
      </c>
      <c r="D209" s="135">
        <f>COUNTIFS(Calc!$P:$P,A202,Calc!$H:$H,A223,Calc!$L:$L,A204,Calc!$O:$O,IF(G223="R","F","B"))</f>
        <v>0</v>
      </c>
      <c r="E209" s="40" t="s">
        <v>103</v>
      </c>
      <c r="F209" s="40">
        <f>COUNTIFS(Calc!$P:$P,A202,Calc!$H:$H,A223,Calc!$L:$L,A204,Calc!$N:$N,E209)</f>
        <v>0</v>
      </c>
      <c r="G209" s="41" t="e">
        <f>F209/SUM(F205:F212)</f>
        <v>#DIV/0!</v>
      </c>
      <c r="H209" s="40">
        <f>COUNTIFS(Calc!$P:$P,A202,Calc!$H:$H,A223,Calc!$L:$L,A204,Calc!$N:$N,E209,Calc!$F:$F,F204)</f>
        <v>0</v>
      </c>
      <c r="I209" s="40">
        <f>COUNTIFS(Calc!$P:$P,A202,Calc!$H:$H,A223,Calc!$L:$L,A204,Calc!$N:$N,E209,Calc!$F:$F,F223)</f>
        <v>0</v>
      </c>
      <c r="K209" s="135">
        <f>COUNTIFS(Calc!$P:$P,K202,Calc!$H:$H,K223,Calc!$L:$L,K204,Calc!$O:$O,IF(Q223="R","B","F"))</f>
        <v>0</v>
      </c>
      <c r="L209" s="135">
        <f>COUNTIFS(Calc!$P:$P,K202,Calc!$H:$H,K223,Calc!$L:$L,K204,Calc!$O:$O,IF(Q223="R","BM","FM"))</f>
        <v>0</v>
      </c>
      <c r="M209" s="135">
        <f>COUNTIFS(Calc!$P:$P,K202,Calc!$H:$H,K223,Calc!$L:$L,K204,Calc!$O:$O,IF(Q223="R","FM","BM"))</f>
        <v>0</v>
      </c>
      <c r="N209" s="135">
        <f>COUNTIFS(Calc!$P:$P,K202,Calc!$H:$H,K223,Calc!$L:$L,K204,Calc!$O:$O,IF(Q223="R","F","B"))</f>
        <v>0</v>
      </c>
      <c r="O209" s="40" t="s">
        <v>103</v>
      </c>
      <c r="P209" s="40">
        <f>COUNTIFS(Calc!$P:$P,K202,Calc!$H:$H,K223,Calc!$L:$L,K204,Calc!$N:$N,O209)</f>
        <v>0</v>
      </c>
      <c r="Q209" s="41" t="e">
        <f>P209/SUM(P205:P212)</f>
        <v>#DIV/0!</v>
      </c>
      <c r="R209" s="40">
        <f>COUNTIFS(Calc!$P:$P,K202,Calc!$H:$H,K223,Calc!$L:$L,K204,Calc!$N:$N,O209,Calc!$F:$F,P204)</f>
        <v>0</v>
      </c>
      <c r="S209" s="40">
        <f>COUNTIFS(Calc!$P:$P,K202,Calc!$H:$H,K223,Calc!$L:$L,K204,Calc!$N:$N,O209,Calc!$F:$F,P223)</f>
        <v>0</v>
      </c>
    </row>
    <row r="210" spans="1:19" x14ac:dyDescent="0.45">
      <c r="A210" s="136"/>
      <c r="B210" s="136"/>
      <c r="C210" s="136"/>
      <c r="D210" s="136"/>
      <c r="E210" s="40" t="s">
        <v>82</v>
      </c>
      <c r="F210" s="40">
        <f>COUNTIFS(Calc!$P:$P,A202,Calc!$H:$H,A223,Calc!$L:$L,A204,Calc!$N:$N,E210)</f>
        <v>0</v>
      </c>
      <c r="G210" s="41" t="e">
        <f>F210/SUM(F205:F212)</f>
        <v>#DIV/0!</v>
      </c>
      <c r="H210" s="40">
        <f>COUNTIFS(Calc!$P:$P,A202,Calc!$H:$H,A223,Calc!$L:$L,A204,Calc!$N:$N,E210,Calc!$F:$F,F204)</f>
        <v>0</v>
      </c>
      <c r="I210" s="40">
        <f>COUNTIFS(Calc!$P:$P,A202,Calc!$H:$H,A223,Calc!$L:$L,A204,Calc!$N:$N,E210,Calc!$F:$F,F223)</f>
        <v>0</v>
      </c>
      <c r="K210" s="136"/>
      <c r="L210" s="136"/>
      <c r="M210" s="136"/>
      <c r="N210" s="136"/>
      <c r="O210" s="40" t="s">
        <v>82</v>
      </c>
      <c r="P210" s="40">
        <f>COUNTIFS(Calc!$P:$P,K202,Calc!$H:$H,K223,Calc!$L:$L,K204,Calc!$N:$N,O210)</f>
        <v>0</v>
      </c>
      <c r="Q210" s="41" t="e">
        <f>P210/SUM(P205:P212)</f>
        <v>#DIV/0!</v>
      </c>
      <c r="R210" s="40">
        <f>COUNTIFS(Calc!$P:$P,K202,Calc!$H:$H,K223,Calc!$L:$L,K204,Calc!$N:$N,O210,Calc!$F:$F,P204)</f>
        <v>0</v>
      </c>
      <c r="S210" s="40">
        <f>COUNTIFS(Calc!$P:$P,K202,Calc!$H:$H,K223,Calc!$L:$L,K204,Calc!$N:$N,O210,Calc!$F:$F,P223)</f>
        <v>0</v>
      </c>
    </row>
    <row r="211" spans="1:19" x14ac:dyDescent="0.45">
      <c r="A211" s="138" t="s">
        <v>80</v>
      </c>
      <c r="B211" s="138"/>
      <c r="C211" s="138"/>
      <c r="D211" s="138"/>
      <c r="E211" s="40" t="s">
        <v>83</v>
      </c>
      <c r="F211" s="40">
        <f>COUNTIFS(Calc!$P:$P,A202,Calc!$H:$H,A223,Calc!$L:$L,A204,Calc!$N:$N,E211)</f>
        <v>0</v>
      </c>
      <c r="G211" s="41" t="e">
        <f>F211/SUM(F205:F212)</f>
        <v>#DIV/0!</v>
      </c>
      <c r="H211" s="40">
        <f>COUNTIFS(Calc!$P:$P,A202,Calc!$H:$H,A223,Calc!$L:$L,A204,Calc!$N:$N,E211,Calc!$F:$F,F204)</f>
        <v>0</v>
      </c>
      <c r="I211" s="40">
        <f>COUNTIFS(Calc!$P:$P,A202,Calc!$H:$H,A223,Calc!$L:$L,A204,Calc!$N:$N,E211,Calc!$F:$F,F223)</f>
        <v>0</v>
      </c>
      <c r="K211" s="138" t="s">
        <v>80</v>
      </c>
      <c r="L211" s="138"/>
      <c r="M211" s="138"/>
      <c r="N211" s="138"/>
      <c r="O211" s="40" t="s">
        <v>83</v>
      </c>
      <c r="P211" s="40">
        <f>COUNTIFS(Calc!$P:$P,K202,Calc!$H:$H,K223,Calc!$L:$L,K204,Calc!$N:$N,O211)</f>
        <v>0</v>
      </c>
      <c r="Q211" s="41" t="e">
        <f>P211/SUM(P205:P212)</f>
        <v>#DIV/0!</v>
      </c>
      <c r="R211" s="40">
        <f>COUNTIFS(Calc!$P:$P,K202,Calc!$H:$H,K223,Calc!$L:$L,K204,Calc!$N:$N,O211,Calc!$F:$F,P204)</f>
        <v>0</v>
      </c>
      <c r="S211" s="40">
        <f>COUNTIFS(Calc!$P:$P,K202,Calc!$H:$H,K223,Calc!$L:$L,K204,Calc!$N:$N,O211,Calc!$F:$F,P223)</f>
        <v>0</v>
      </c>
    </row>
    <row r="212" spans="1:19" x14ac:dyDescent="0.45">
      <c r="A212" s="133">
        <f>COUNTIFS(Calc!$P:$P,A202,Calc!$H:$H,A223,Calc!$L:$L,A204,Calc!$O:$O,"オーバーミス")</f>
        <v>0</v>
      </c>
      <c r="B212" s="133"/>
      <c r="C212" s="133"/>
      <c r="D212" s="133"/>
      <c r="E212" s="40" t="s">
        <v>107</v>
      </c>
      <c r="F212" s="40">
        <f>COUNTIFS(Calc!$P:$P,A202,Calc!$H:$H,A223,Calc!$L:$L,A204,Calc!$N:$N,E212)</f>
        <v>0</v>
      </c>
      <c r="G212" s="41" t="e">
        <f>F212/SUM(F205:F212)</f>
        <v>#DIV/0!</v>
      </c>
      <c r="H212" s="40">
        <f>COUNTIFS(Calc!$P:$P,A202,Calc!$H:$H,A223,Calc!$L:$L,A204,Calc!$N:$N,E212,Calc!$F:$F,F204)</f>
        <v>0</v>
      </c>
      <c r="I212" s="40">
        <f>COUNTIFS(Calc!$P:$P,A202,Calc!$H:$H,A223,Calc!$L:$L,A204,Calc!$N:$N,E212,Calc!$F:$F,F223)</f>
        <v>0</v>
      </c>
      <c r="K212" s="133">
        <f>COUNTIFS(Calc!$P:$P,K202,Calc!$H:$H,K223,Calc!$L:$L,K204,Calc!$O:$O,"オーバーミス")</f>
        <v>0</v>
      </c>
      <c r="L212" s="133"/>
      <c r="M212" s="133"/>
      <c r="N212" s="133"/>
      <c r="O212" s="40" t="s">
        <v>107</v>
      </c>
      <c r="P212" s="40">
        <f>COUNTIFS(Calc!$P:$P,K202,Calc!$H:$H,K223,Calc!$L:$L,K204,Calc!$N:$N,O212)</f>
        <v>0</v>
      </c>
      <c r="Q212" s="41" t="e">
        <f>P212/SUM(P205:P212)</f>
        <v>#DIV/0!</v>
      </c>
      <c r="R212" s="40">
        <f>COUNTIFS(Calc!$P:$P,K202,Calc!$H:$H,K223,Calc!$L:$L,K204,Calc!$N:$N,O212,Calc!$F:$F,P204)</f>
        <v>0</v>
      </c>
      <c r="S212" s="40">
        <f>COUNTIFS(Calc!$P:$P,K202,Calc!$H:$H,K223,Calc!$L:$L,K204,Calc!$N:$N,O212,Calc!$F:$F,P223)</f>
        <v>0</v>
      </c>
    </row>
    <row r="213" spans="1:19" x14ac:dyDescent="0.45">
      <c r="A213" s="103"/>
      <c r="B213" s="103"/>
      <c r="C213" s="103"/>
      <c r="D213" s="103"/>
      <c r="E213" s="37"/>
      <c r="F213" s="37"/>
      <c r="G213" s="38"/>
      <c r="H213" s="37"/>
      <c r="I213" s="37"/>
      <c r="K213" s="104"/>
      <c r="L213" s="104"/>
      <c r="M213" s="104"/>
      <c r="N213" s="104"/>
      <c r="O213" s="40"/>
      <c r="P213" s="40"/>
      <c r="Q213" s="41"/>
      <c r="R213" s="40"/>
      <c r="S213" s="40"/>
    </row>
    <row r="214" spans="1:19" x14ac:dyDescent="0.45">
      <c r="A214" t="s">
        <v>179</v>
      </c>
      <c r="K214" t="s">
        <v>179</v>
      </c>
    </row>
    <row r="215" spans="1:19" x14ac:dyDescent="0.45">
      <c r="A215" s="187">
        <f>COUNTIFS(Calc!$P:$P,A202,Calc!$H:$H,A223,Calc!$L:$L,A204,Calc!$K:$K,IF(E204="R","F","B"))</f>
        <v>0</v>
      </c>
      <c r="B215" s="187">
        <f>COUNTIFS(Calc!$P:$P,A202,Calc!$H:$H,A223,Calc!$L:$L,A204,Calc!$K:$K,IF(E204="R","FM","BM"))</f>
        <v>0</v>
      </c>
      <c r="C215" s="187">
        <f>COUNTIFS(Calc!$P:$P,A202,Calc!$H:$H,A223,Calc!$L:$L,A204,Calc!$K:$K,IF(E204="R","BM","FM"))</f>
        <v>0</v>
      </c>
      <c r="D215" s="187">
        <f>COUNTIFS(Calc!$P:$P,A202,Calc!$H:$H,A223,Calc!$L:$L,A204,Calc!$K:$K,IF(E204="R","B","F"))</f>
        <v>0</v>
      </c>
      <c r="E215" s="37"/>
      <c r="F215" s="37"/>
      <c r="G215" s="38"/>
      <c r="H215" s="37"/>
      <c r="I215" s="37"/>
      <c r="K215" s="134">
        <f>COUNTIFS(Calc!$P:$P,K202,Calc!$H:$H,K223,Calc!$L:$L,K204,Calc!$K:$K,IF(O204="R","F","B"))</f>
        <v>0</v>
      </c>
      <c r="L215" s="134">
        <f>COUNTIFS(Calc!$P:$P,K202,Calc!$H:$H,K223,Calc!$L:$L,K204,Calc!$K:$K,IF(O204="R","FM","BM"))</f>
        <v>0</v>
      </c>
      <c r="M215" s="134">
        <f>COUNTIFS(Calc!$P:$P,K202,Calc!$H:$H,K223,Calc!$L:$L,K204,Calc!$K:$K,IF(O204="R","BM","FM"))</f>
        <v>0</v>
      </c>
      <c r="N215" s="134">
        <f>COUNTIFS(Calc!$P:$P,K202,Calc!$H:$H,K223,Calc!$L:$L,K204,Calc!$K:$K,IF(O204="R","B","F"))</f>
        <v>0</v>
      </c>
      <c r="O215" s="37"/>
      <c r="P215" s="37"/>
      <c r="Q215" s="38"/>
      <c r="R215" s="37"/>
      <c r="S215" s="37"/>
    </row>
    <row r="216" spans="1:19" x14ac:dyDescent="0.45">
      <c r="A216" s="180"/>
      <c r="B216" s="180"/>
      <c r="C216" s="180"/>
      <c r="D216" s="180"/>
      <c r="E216" s="37"/>
      <c r="F216" s="37"/>
      <c r="G216" s="38"/>
      <c r="H216" s="37"/>
      <c r="I216" s="37"/>
      <c r="K216" s="134"/>
      <c r="L216" s="134"/>
      <c r="M216" s="134"/>
      <c r="N216" s="134"/>
      <c r="O216" s="37"/>
      <c r="P216" s="37"/>
      <c r="Q216" s="38"/>
      <c r="R216" s="37"/>
      <c r="S216" s="37"/>
    </row>
    <row r="217" spans="1:19" ht="18.600000000000001" thickBot="1" x14ac:dyDescent="0.5">
      <c r="A217" s="187">
        <f>COUNTIFS(Calc!$P:$P,A202,Calc!$H:$H,A223,Calc!$L:$L,A204,Calc!$K:$K,IF(E204="R","FS","BS"))</f>
        <v>0</v>
      </c>
      <c r="B217" s="187">
        <f>COUNTIFS(Calc!$P:$P,A202,Calc!$H:$H,A223,Calc!$L:$L,A204,Calc!$K:$K,IF(E204="R","FMS","BMS"))</f>
        <v>0</v>
      </c>
      <c r="C217" s="187">
        <f>COUNTIFS(Calc!$P:$P,A202,Calc!$H:$H,A223,Calc!$L:$L,A204,Calc!$K:$K,IF(E204="R","BMS","FMS"))</f>
        <v>0</v>
      </c>
      <c r="D217" s="187">
        <f>COUNTIFS(Calc!$P:$P,A202,Calc!$H:$H,A223,Calc!$L:$L,A204,Calc!$K:$K,IF(E204="R","BS","FS"))</f>
        <v>0</v>
      </c>
      <c r="E217" s="37"/>
      <c r="F217" s="37"/>
      <c r="G217" s="38"/>
      <c r="H217" s="37"/>
      <c r="I217" s="37"/>
      <c r="K217" s="159">
        <f>COUNTIFS(Calc!$P:$P,K202,Calc!$H:$H,K223,Calc!$L:$L,K204,Calc!$K:$K,IF(O204="R","FS","BS"))</f>
        <v>0</v>
      </c>
      <c r="L217" s="159">
        <f>COUNTIFS(Calc!$P:$P,K202,Calc!$H:$H,K223,Calc!$L:$L,K204,Calc!$K:$K,IF(O204="R","FMS","BMS"))</f>
        <v>0</v>
      </c>
      <c r="M217" s="159">
        <f>COUNTIFS(Calc!$P:$P,K202,Calc!$H:$H,K223,Calc!$L:$L,K204,Calc!$K:$K,IF(O204="R","BMS","FMS"))</f>
        <v>0</v>
      </c>
      <c r="N217" s="159">
        <f>COUNTIFS(Calc!$P:$P,K202,Calc!$H:$H,K223,Calc!$L:$L,K204,Calc!$K:$K,IF(O204="R","BS","FS"))</f>
        <v>0</v>
      </c>
      <c r="O217" s="37"/>
      <c r="P217" s="37"/>
      <c r="Q217" s="38"/>
      <c r="R217" s="37"/>
      <c r="S217" s="37"/>
    </row>
    <row r="218" spans="1:19" ht="19.2" thickTop="1" thickBot="1" x14ac:dyDescent="0.5">
      <c r="A218" s="188"/>
      <c r="B218" s="188"/>
      <c r="C218" s="188"/>
      <c r="D218" s="188"/>
      <c r="E218" s="37"/>
      <c r="F218" s="37"/>
      <c r="G218" s="38"/>
      <c r="H218" s="37"/>
      <c r="I218" s="37"/>
      <c r="K218" s="160"/>
      <c r="L218" s="160"/>
      <c r="M218" s="160"/>
      <c r="N218" s="160"/>
      <c r="O218" s="37"/>
      <c r="P218" s="37"/>
      <c r="Q218" s="38"/>
      <c r="R218" s="37"/>
      <c r="S218" s="37"/>
    </row>
    <row r="219" spans="1:19" ht="19.2" thickTop="1" thickBot="1" x14ac:dyDescent="0.5">
      <c r="A219" s="181">
        <f>COUNTIFS(Calc!$P:$P,A202,Calc!$H:$H,A223,Calc!$L:$L,A204,Calc!$J:$J,IF(E223="R","B","F"))</f>
        <v>0</v>
      </c>
      <c r="B219" s="182"/>
      <c r="C219" s="181">
        <f>COUNTIFS(Calc!$P:$P,A202,Calc!$H:$H,A223,Calc!$L:$L,A204,Calc!$J:$J,IF(E223="R","F","B"))</f>
        <v>0</v>
      </c>
      <c r="D219" s="182"/>
      <c r="E219" s="37"/>
      <c r="F219" s="37"/>
      <c r="G219" s="38"/>
      <c r="H219" s="37" t="s">
        <v>177</v>
      </c>
      <c r="I219" s="37" t="s">
        <v>178</v>
      </c>
      <c r="K219" s="160">
        <f>COUNTIFS(Calc!$P:$P,K202,Calc!$H:$H,K223,Calc!$L:$L,K204,Calc!$J:$J,IF(O223="R","B","F"))</f>
        <v>0</v>
      </c>
      <c r="L219" s="160"/>
      <c r="M219" s="160">
        <f>COUNTIFS(Calc!$P:$P,K202,Calc!$H:$H,K223,Calc!$L:$L,K204,Calc!$J:$J,IF(O223="R","F","B"))</f>
        <v>0</v>
      </c>
      <c r="N219" s="160"/>
      <c r="O219" s="37"/>
      <c r="P219" s="37"/>
      <c r="Q219" s="38"/>
      <c r="R219" s="37" t="s">
        <v>177</v>
      </c>
      <c r="S219" s="37" t="s">
        <v>178</v>
      </c>
    </row>
    <row r="220" spans="1:19" ht="19.2" thickTop="1" thickBot="1" x14ac:dyDescent="0.5">
      <c r="A220" s="183"/>
      <c r="B220" s="184"/>
      <c r="C220" s="183"/>
      <c r="D220" s="184"/>
      <c r="E220" s="37" t="s">
        <v>174</v>
      </c>
      <c r="F220" s="37">
        <f>COUNTIFS(Calc!$P:$P,A202,Calc!$H:$H,A223,Calc!$L:$L,A204,Calc!$I:$I,E220)</f>
        <v>0</v>
      </c>
      <c r="G220" s="38" t="e">
        <f>F220/SUM(F220:F222)</f>
        <v>#DIV/0!</v>
      </c>
      <c r="H220" s="37">
        <f>COUNTIFS(Calc!$P:$P,A202,Calc!$H:$H,A223,Calc!$L:$L,A204,Calc!$I:$I,E220,Calc!$F:$F,F223)</f>
        <v>0</v>
      </c>
      <c r="I220" s="37">
        <f>COUNTIFS(Calc!$P:$P,A202,Calc!$H:$H,A223,Calc!$L:$L,A204,Calc!$I:$I,E220,Calc!$F:$F,F204)</f>
        <v>0</v>
      </c>
      <c r="K220" s="160"/>
      <c r="L220" s="160"/>
      <c r="M220" s="160"/>
      <c r="N220" s="160"/>
      <c r="O220" s="37" t="s">
        <v>174</v>
      </c>
      <c r="P220" s="37">
        <f>COUNTIFS(Calc!$P:$P,K202,Calc!$H:$H,K223,Calc!$L:$L,K204,Calc!$I:$I,O220)</f>
        <v>0</v>
      </c>
      <c r="Q220" s="38" t="e">
        <f>P220/SUM(P220:P222)</f>
        <v>#DIV/0!</v>
      </c>
      <c r="R220" s="37">
        <f>COUNTIFS(Calc!$P:$P,K202,Calc!$H:$H,K223,Calc!$L:$L,K204,Calc!$I:$I,O220,Calc!$F:$F,P223)</f>
        <v>0</v>
      </c>
      <c r="S220" s="37">
        <f>COUNTIFS(Calc!$P:$P,K202,Calc!$H:$H,K223,Calc!$L:$L,K204,Calc!$I:$I,O220,Calc!$F:$F,P204)</f>
        <v>0</v>
      </c>
    </row>
    <row r="221" spans="1:19" ht="19.2" thickTop="1" thickBot="1" x14ac:dyDescent="0.5">
      <c r="A221" s="183"/>
      <c r="B221" s="184"/>
      <c r="C221" s="183"/>
      <c r="D221" s="184"/>
      <c r="E221" s="37" t="s">
        <v>63</v>
      </c>
      <c r="F221" s="37">
        <f>COUNTIFS(Calc!$P:$P,A202,Calc!$H:$H,A223,Calc!$L:$L,A204,Calc!$I:$I,E221)</f>
        <v>0</v>
      </c>
      <c r="G221" s="38" t="e">
        <f>F221/SUM(F220:F222)</f>
        <v>#DIV/0!</v>
      </c>
      <c r="H221" s="37">
        <f>COUNTIFS(Calc!$P:$P,A202,Calc!$H:$H,A223,Calc!$L:$L,A204,Calc!$I:$I,E221,Calc!$F:$F,F223)</f>
        <v>0</v>
      </c>
      <c r="I221" s="37">
        <f>COUNTIFS(Calc!$P:$P,A202,Calc!$H:$H,A223,Calc!$L:$L,A204,Calc!$I:$I,E221,Calc!$F:$F,F204)</f>
        <v>0</v>
      </c>
      <c r="K221" s="160"/>
      <c r="L221" s="160"/>
      <c r="M221" s="160"/>
      <c r="N221" s="160"/>
      <c r="O221" s="37" t="s">
        <v>63</v>
      </c>
      <c r="P221" s="37">
        <f>COUNTIFS(Calc!$P:$P,K202,Calc!$H:$H,K223,Calc!$L:$L,K204,Calc!$I:$I,O221)</f>
        <v>0</v>
      </c>
      <c r="Q221" s="38" t="e">
        <f>P221/SUM(P220:P222)</f>
        <v>#DIV/0!</v>
      </c>
      <c r="R221" s="37">
        <f>COUNTIFS(Calc!$P:$P,K202,Calc!$H:$H,K223,Calc!$L:$L,K204,Calc!$I:$I,O221,Calc!$F:$F,P223)</f>
        <v>0</v>
      </c>
      <c r="S221" s="37">
        <f>COUNTIFS(Calc!$P:$P,K202,Calc!$H:$H,K223,Calc!$L:$L,K204,Calc!$I:$I,O221,Calc!$F:$F,P204)</f>
        <v>0</v>
      </c>
    </row>
    <row r="222" spans="1:19" ht="18.600000000000001" thickTop="1" x14ac:dyDescent="0.45">
      <c r="A222" s="185"/>
      <c r="B222" s="186"/>
      <c r="C222" s="185"/>
      <c r="D222" s="186"/>
      <c r="E222" s="37" t="s">
        <v>61</v>
      </c>
      <c r="F222" s="37">
        <f>COUNTIFS(Calc!$P:$P,A202,Calc!$H:$H,A223,Calc!$L:$L,A204,Calc!$I:$I,E222)</f>
        <v>0</v>
      </c>
      <c r="G222" s="38" t="e">
        <f>F222/SUM(F220:F222)</f>
        <v>#DIV/0!</v>
      </c>
      <c r="H222" s="37">
        <f>COUNTIFS(Calc!$P:$P,A202,Calc!$H:$H,A223,Calc!$L:$L,A204,Calc!$I:$I,E222,Calc!$F:$F,F223)</f>
        <v>0</v>
      </c>
      <c r="I222" s="37">
        <f>COUNTIFS(Calc!$P:$P,A202,Calc!$H:$H,A223,Calc!$L:$L,A204,Calc!$I:$I,E222,Calc!$F:$F,F204)</f>
        <v>0</v>
      </c>
      <c r="K222" s="162"/>
      <c r="L222" s="162"/>
      <c r="M222" s="162"/>
      <c r="N222" s="162"/>
      <c r="O222" s="37" t="s">
        <v>61</v>
      </c>
      <c r="P222" s="37">
        <f>COUNTIFS(Calc!$P:$P,K202,Calc!$H:$H,K223,Calc!$L:$L,K204,Calc!$I:$I,O222)</f>
        <v>0</v>
      </c>
      <c r="Q222" s="38" t="e">
        <f>P222/SUM(P220:P222)</f>
        <v>#DIV/0!</v>
      </c>
      <c r="R222" s="37">
        <f>COUNTIFS(Calc!$P:$P,K202,Calc!$H:$H,K223,Calc!$L:$L,K204,Calc!$I:$I,O222,Calc!$F:$F,P223)</f>
        <v>0</v>
      </c>
      <c r="S222" s="37">
        <f>COUNTIFS(Calc!$P:$P,K202,Calc!$H:$H,K223,Calc!$L:$L,K204,Calc!$I:$I,O222,Calc!$F:$F,P204)</f>
        <v>0</v>
      </c>
    </row>
    <row r="223" spans="1:19" x14ac:dyDescent="0.45">
      <c r="A223" s="155" t="str">
        <f>Main!$D$8</f>
        <v>HIRANO Miu</v>
      </c>
      <c r="B223" s="155"/>
      <c r="C223" s="155"/>
      <c r="D223" s="155"/>
      <c r="E223" s="36" t="str">
        <f>Main!$F$8</f>
        <v>R</v>
      </c>
      <c r="F223" s="36" t="str">
        <f>Main!$B$8</f>
        <v>RedELF</v>
      </c>
      <c r="G223" s="45" t="str">
        <f>Main!$F$10</f>
        <v/>
      </c>
      <c r="H223" s="112"/>
      <c r="K223" s="155" t="str">
        <f>Main!$D$10</f>
        <v/>
      </c>
      <c r="L223" s="156"/>
      <c r="M223" s="156"/>
      <c r="N223" s="156"/>
      <c r="O223" s="36" t="str">
        <f>Main!$F$10</f>
        <v/>
      </c>
      <c r="P223" s="45" t="str">
        <f>Main!$B$8</f>
        <v>RedELF</v>
      </c>
      <c r="Q223" s="45" t="str">
        <f>Main!$F$8</f>
        <v>R</v>
      </c>
    </row>
    <row r="227" spans="1:19" x14ac:dyDescent="0.45">
      <c r="A227" s="139" t="s">
        <v>159</v>
      </c>
      <c r="B227" s="139"/>
      <c r="C227" s="139"/>
      <c r="D227" s="139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</row>
    <row r="228" spans="1:19" x14ac:dyDescent="0.45">
      <c r="A228" s="116">
        <v>5</v>
      </c>
      <c r="B228" s="114"/>
      <c r="C228" s="114"/>
      <c r="D228" s="114"/>
      <c r="E228" s="114"/>
      <c r="F228" s="114"/>
      <c r="G228" s="114"/>
      <c r="H228" s="114"/>
      <c r="I228" s="114"/>
      <c r="J228" s="114"/>
      <c r="K228" s="116">
        <v>5</v>
      </c>
      <c r="L228" s="114"/>
      <c r="M228" s="114"/>
      <c r="N228" s="114"/>
      <c r="O228" s="114"/>
      <c r="P228" s="114"/>
      <c r="Q228" s="114"/>
      <c r="R228" s="114"/>
      <c r="S228" s="114"/>
    </row>
    <row r="229" spans="1:19" x14ac:dyDescent="0.45">
      <c r="A229" t="s">
        <v>139</v>
      </c>
      <c r="K229" t="s">
        <v>139</v>
      </c>
    </row>
    <row r="230" spans="1:19" x14ac:dyDescent="0.45">
      <c r="A230" s="140" t="str">
        <f>Main!$D$8</f>
        <v>HIRANO Miu</v>
      </c>
      <c r="B230" s="141"/>
      <c r="C230" s="141"/>
      <c r="D230" s="141"/>
      <c r="E230" s="36" t="str">
        <f>Main!$F$8</f>
        <v>R</v>
      </c>
      <c r="F230" s="36" t="str">
        <f>Main!$B$8</f>
        <v>RedELF</v>
      </c>
      <c r="G230" s="44" t="str">
        <f>Main!$F$10</f>
        <v/>
      </c>
      <c r="H230" s="37" t="s">
        <v>109</v>
      </c>
      <c r="I230" s="37" t="s">
        <v>110</v>
      </c>
      <c r="K230" s="140" t="str">
        <f>Main!$D$10</f>
        <v/>
      </c>
      <c r="L230" s="141"/>
      <c r="M230" s="141"/>
      <c r="N230" s="141"/>
      <c r="O230" s="36" t="str">
        <f>Main!$F$10</f>
        <v/>
      </c>
      <c r="P230" s="36" t="str">
        <f>Main!$B$8</f>
        <v>RedELF</v>
      </c>
      <c r="Q230" s="36" t="str">
        <f>Main!$F$8</f>
        <v>R</v>
      </c>
      <c r="R230" s="37" t="s">
        <v>109</v>
      </c>
      <c r="S230" s="37" t="s">
        <v>110</v>
      </c>
    </row>
    <row r="231" spans="1:19" ht="18.600000000000001" thickBot="1" x14ac:dyDescent="0.5">
      <c r="A231" s="142" t="s">
        <v>97</v>
      </c>
      <c r="B231" s="143"/>
      <c r="C231" s="143"/>
      <c r="D231" s="82">
        <f>COUNTIFS(Calc!$P:$P,A228,Calc!$H:$H,A249,Calc!$L:$L,A230,Calc!$O:$O,"ネット")</f>
        <v>0</v>
      </c>
      <c r="E231" s="37" t="s">
        <v>99</v>
      </c>
      <c r="F231" s="37">
        <f>COUNTIFS(Calc!$P:$P,A228,Calc!$H:$H,A249,Calc!$L:$L,A230,Calc!$N:$N,E231)</f>
        <v>0</v>
      </c>
      <c r="G231" s="38" t="e">
        <f>F231/SUM(F231:F238)</f>
        <v>#DIV/0!</v>
      </c>
      <c r="H231" s="37">
        <f>COUNTIFS(Calc!$P:$P,A228,Calc!$H:$H,A249,Calc!$L:$L,A230,Calc!$N:$N,E231,Calc!$F:$F,F230)</f>
        <v>0</v>
      </c>
      <c r="I231" s="37">
        <f>COUNTIFS(Calc!$P:$P,A228,Calc!$H:$H,A249,Calc!$L:$L,A230,Calc!$N:$N,E231,Calc!$F:$F,F249)</f>
        <v>0</v>
      </c>
      <c r="K231" s="142" t="s">
        <v>81</v>
      </c>
      <c r="L231" s="143"/>
      <c r="M231" s="143"/>
      <c r="N231" s="82">
        <f>COUNTIFS(Calc!$P:$P,K228,Calc!$H:$H,K249,Calc!$L:$L,K230,Calc!$O:$O,"ネット")</f>
        <v>0</v>
      </c>
      <c r="O231" s="37" t="s">
        <v>14</v>
      </c>
      <c r="P231" s="37">
        <f>COUNTIFS(Calc!$P:$P,K228,Calc!$H:$H,K249,Calc!$L:$L,K230,Calc!$N:$N,O231)</f>
        <v>0</v>
      </c>
      <c r="Q231" s="38" t="e">
        <f>P231/SUM(P231:P238)</f>
        <v>#DIV/0!</v>
      </c>
      <c r="R231" s="37">
        <f>COUNTIFS(Calc!$P:$P,K228,Calc!$H:$H,K249,Calc!$L:$L,K230,Calc!$N:$N,O231,Calc!$F:$F,P230)</f>
        <v>0</v>
      </c>
      <c r="S231" s="37">
        <f>COUNTIFS(Calc!$P:$P,K228,Calc!$H:$H,K249,Calc!$L:$L,K230,Calc!$N:$N,O231,Calc!$F:$F,P249)</f>
        <v>0</v>
      </c>
    </row>
    <row r="232" spans="1:19" ht="18.600000000000001" thickTop="1" x14ac:dyDescent="0.45">
      <c r="A232" s="146" t="s">
        <v>114</v>
      </c>
      <c r="B232" s="147"/>
      <c r="C232" s="147"/>
      <c r="D232" s="109">
        <f>COUNTIFS(Calc!$P:$P,A228,Calc!$H:$H,A249,Calc!$L:$L,A230,Calc!$O:$O,"ネットイン")</f>
        <v>0</v>
      </c>
      <c r="E232" s="37" t="s">
        <v>100</v>
      </c>
      <c r="F232" s="37">
        <f>COUNTIFS(Calc!$P:$P,A228,Calc!$H:$H,A249,Calc!$L:$L,A230,Calc!$N:$N,E232)</f>
        <v>0</v>
      </c>
      <c r="G232" s="38" t="e">
        <f>F232/SUM(F231:F238)</f>
        <v>#DIV/0!</v>
      </c>
      <c r="H232" s="37">
        <f>COUNTIFS(Calc!$P:$P,A228,Calc!$H:$H,A249,Calc!$L:$L,A230,Calc!$N:$N,E232,Calc!$F:$F,F230)</f>
        <v>0</v>
      </c>
      <c r="I232" s="37">
        <f>COUNTIFS(Calc!$P:$P,A228,Calc!$H:$H,A249,Calc!$L:$L,A230,Calc!$N:$N,E232,Calc!$F:$F,F249)</f>
        <v>0</v>
      </c>
      <c r="K232" s="146" t="s">
        <v>176</v>
      </c>
      <c r="L232" s="147"/>
      <c r="M232" s="147"/>
      <c r="N232" s="109">
        <f>COUNTIFS(Calc!$P:$P,K228,Calc!$H:$H,K249,Calc!$L:$L,K230,Calc!$O:$O,"ネットイン")</f>
        <v>0</v>
      </c>
      <c r="O232" s="37" t="s">
        <v>15</v>
      </c>
      <c r="P232" s="37">
        <f>COUNTIFS(Calc!$P:$P,K228,Calc!$H:$H,K249,Calc!$L:$L,K230,Calc!$N:$N,O232)</f>
        <v>0</v>
      </c>
      <c r="Q232" s="38" t="e">
        <f>P232/SUM(P231:P238)</f>
        <v>#DIV/0!</v>
      </c>
      <c r="R232" s="37">
        <f>COUNTIFS(Calc!$P:$P,K228,Calc!$H:$H,K249,Calc!$L:$L,K230,Calc!$N:$N,O232,Calc!$F:$F,P230)</f>
        <v>0</v>
      </c>
      <c r="S232" s="37">
        <f>COUNTIFS(Calc!$P:$P,K228,Calc!$H:$H,K249,Calc!$L:$L,K230,Calc!$N:$N,O232,Calc!$F:$F,P249)</f>
        <v>0</v>
      </c>
    </row>
    <row r="233" spans="1:19" x14ac:dyDescent="0.45">
      <c r="A233" s="180">
        <f>COUNTIFS(Calc!$P:$P,A228,Calc!$H:$H,A249,Calc!$L:$L,A230,Calc!$O:$O,IF(G249="R","BS","FS"))</f>
        <v>0</v>
      </c>
      <c r="B233" s="180">
        <f>COUNTIFS(Calc!$P:$P,A228,Calc!$H:$H,A249,Calc!$L:$L,A230,Calc!$O:$O,IF(G249="R","BMS","FMS"))</f>
        <v>0</v>
      </c>
      <c r="C233" s="180">
        <f>COUNTIFS(Calc!$P:$P,A228,Calc!$H:$H,A249,Calc!$L:$L,A230,Calc!$O:$O,IF(G249="R","FMS","BMS"))</f>
        <v>0</v>
      </c>
      <c r="D233" s="180">
        <f>COUNTIFS(Calc!$P:$P,A228,Calc!$H:$H,A249,Calc!$L:$L,A230,Calc!$O:$O,IF(G249="R","FS","BS"))</f>
        <v>0</v>
      </c>
      <c r="E233" s="37" t="s">
        <v>101</v>
      </c>
      <c r="F233" s="37">
        <f>COUNTIFS(Calc!$P:$P,A228,Calc!$H:$H,A249,Calc!$L:$L,A230,Calc!$N:$N,E233)</f>
        <v>0</v>
      </c>
      <c r="G233" s="38" t="e">
        <f>F233/SUM(F231:F238)</f>
        <v>#DIV/0!</v>
      </c>
      <c r="H233" s="37">
        <f>COUNTIFS(Calc!$P:$P,A228,Calc!$H:$H,A249,Calc!$L:$L,A230,Calc!$N:$N,E233,Calc!$F:$F,F230)</f>
        <v>0</v>
      </c>
      <c r="I233" s="37">
        <f>COUNTIFS(Calc!$P:$P,A228,Calc!$H:$H,A249,Calc!$L:$L,A230,Calc!$N:$N,E233,Calc!$F:$F,F249)</f>
        <v>0</v>
      </c>
      <c r="K233" s="180">
        <f>COUNTIFS(Calc!$P:$P,K228,Calc!$H:$H,K249,Calc!$L:$L,K230,Calc!$O:$O,IF(Q249="R","BS","FS"))</f>
        <v>0</v>
      </c>
      <c r="L233" s="180">
        <f>COUNTIFS(Calc!$P:$P,K228,Calc!$H:$H,K249,Calc!$L:$L,K230,Calc!$O:$O,IF(Q249="R","BMS","FMS"))</f>
        <v>0</v>
      </c>
      <c r="M233" s="180">
        <f>COUNTIFS(Calc!$P:$P,K228,Calc!$H:$H,K249,Calc!$L:$L,K230,Calc!$O:$O,IF(Q249="R","FMS","BMS"))</f>
        <v>0</v>
      </c>
      <c r="N233" s="180">
        <f>COUNTIFS(Calc!$P:$P,K228,Calc!$H:$H,K249,Calc!$L:$L,K230,Calc!$O:$O,IF(Q249="R","FS","BS"))</f>
        <v>0</v>
      </c>
      <c r="O233" s="37" t="s">
        <v>17</v>
      </c>
      <c r="P233" s="37">
        <f>COUNTIFS(Calc!$P:$P,K228,Calc!$H:$H,K249,Calc!$L:$L,K230,Calc!$N:$N,O233)</f>
        <v>0</v>
      </c>
      <c r="Q233" s="38" t="e">
        <f>P233/SUM(P231:P238)</f>
        <v>#DIV/0!</v>
      </c>
      <c r="R233" s="37">
        <f>COUNTIFS(Calc!$P:$P,K228,Calc!$H:$H,K249,Calc!$L:$L,K230,Calc!$N:$N,O233,Calc!$F:$F,P230)</f>
        <v>0</v>
      </c>
      <c r="S233" s="37">
        <f>COUNTIFS(Calc!$P:$P,K228,Calc!$H:$H,K249,Calc!$L:$L,K230,Calc!$N:$N,O233,Calc!$F:$F,P249)</f>
        <v>0</v>
      </c>
    </row>
    <row r="234" spans="1:19" x14ac:dyDescent="0.45">
      <c r="A234" s="134"/>
      <c r="B234" s="134"/>
      <c r="C234" s="134"/>
      <c r="D234" s="134"/>
      <c r="E234" s="37" t="s">
        <v>102</v>
      </c>
      <c r="F234" s="37">
        <f>COUNTIFS(Calc!$P:$P,A228,Calc!$H:$H,A249,Calc!$L:$L,A230,Calc!$N:$N,E234)</f>
        <v>0</v>
      </c>
      <c r="G234" s="38" t="e">
        <f>F234/SUM(F231:F238)</f>
        <v>#DIV/0!</v>
      </c>
      <c r="H234" s="37">
        <f>COUNTIFS(Calc!$P:$P,A228,Calc!$H:$H,A249,Calc!$L:$L,A230,Calc!$N:$N,E234,Calc!$F:$F,F230)</f>
        <v>0</v>
      </c>
      <c r="I234" s="37">
        <f>COUNTIFS(Calc!$P:$P,A228,Calc!$H:$H,A249,Calc!$L:$L,A230,Calc!$N:$N,E234,Calc!$F:$F,F249)</f>
        <v>0</v>
      </c>
      <c r="K234" s="134"/>
      <c r="L234" s="134"/>
      <c r="M234" s="134"/>
      <c r="N234" s="134"/>
      <c r="O234" s="37" t="s">
        <v>16</v>
      </c>
      <c r="P234" s="37">
        <f>COUNTIFS(Calc!$P:$P,K228,Calc!$H:$H,K249,Calc!$L:$L,K230,Calc!$N:$N,O234)</f>
        <v>0</v>
      </c>
      <c r="Q234" s="38" t="e">
        <f>P234/SUM(P231:P238)</f>
        <v>#DIV/0!</v>
      </c>
      <c r="R234" s="37">
        <f>COUNTIFS(Calc!$P:$P,K228,Calc!$H:$H,K249,Calc!$L:$L,K230,Calc!$N:$N,O234,Calc!$F:$F,P230)</f>
        <v>0</v>
      </c>
      <c r="S234" s="37">
        <f>COUNTIFS(Calc!$P:$P,K228,Calc!$H:$H,K249,Calc!$L:$L,K230,Calc!$N:$N,O234,Calc!$F:$F,P249)</f>
        <v>0</v>
      </c>
    </row>
    <row r="235" spans="1:19" x14ac:dyDescent="0.45">
      <c r="A235" s="134">
        <f>COUNTIFS(Calc!$P:$P,A228,Calc!$H:$H,A249,Calc!$L:$L,A230,Calc!$O:$O,IF(G249="R","B","F"))</f>
        <v>0</v>
      </c>
      <c r="B235" s="134">
        <f>COUNTIFS(Calc!$P:$P,A228,Calc!$H:$H,A249,Calc!$L:$L,A230,Calc!$O:$O,IF(G249="R","BM","FM"))</f>
        <v>0</v>
      </c>
      <c r="C235" s="134">
        <f>COUNTIFS(Calc!$P:$P,A228,Calc!$H:$H,A249,Calc!$L:$L,A230,Calc!$O:$O,IF(G249="R","FM","BM"))</f>
        <v>0</v>
      </c>
      <c r="D235" s="134">
        <f>COUNTIFS(Calc!$P:$P,A228,Calc!$H:$H,A249,Calc!$L:$L,A230,Calc!$O:$O,IF(G249="R","F","B"))</f>
        <v>0</v>
      </c>
      <c r="E235" s="37" t="s">
        <v>104</v>
      </c>
      <c r="F235" s="37">
        <f>COUNTIFS(Calc!$P:$P,A228,Calc!$H:$H,A249,Calc!$L:$L,A230,Calc!$N:$N,E235)</f>
        <v>0</v>
      </c>
      <c r="G235" s="38" t="e">
        <f>F235/SUM(F231:F238)</f>
        <v>#DIV/0!</v>
      </c>
      <c r="H235" s="37">
        <f>COUNTIFS(Calc!$P:$P,A228,Calc!$H:$H,A249,Calc!$L:$L,A230,Calc!$N:$N,E235,Calc!$F:$F,F230)</f>
        <v>0</v>
      </c>
      <c r="I235" s="37">
        <f>COUNTIFS(Calc!$P:$P,A228,Calc!$H:$H,A249,Calc!$L:$L,A230,Calc!$N:$N,E235,Calc!$F:$F,F249)</f>
        <v>0</v>
      </c>
      <c r="K235" s="134">
        <f>COUNTIFS(Calc!$P:$P,K228,Calc!$H:$H,K249,Calc!$L:$L,K230,Calc!$O:$O,IF(Q249="R","B","F"))</f>
        <v>0</v>
      </c>
      <c r="L235" s="134">
        <f>COUNTIFS(Calc!$P:$P,K228,Calc!$H:$H,K249,Calc!$L:$L,K230,Calc!$O:$O,IF(Q249="R","BM","FM"))</f>
        <v>0</v>
      </c>
      <c r="M235" s="134">
        <f>COUNTIFS(Calc!$P:$P,K228,Calc!$H:$H,K249,Calc!$L:$L,K230,Calc!$O:$O,IF(Q249="R","FM","BM"))</f>
        <v>0</v>
      </c>
      <c r="N235" s="134">
        <f>COUNTIFS(Calc!$P:$P,K228,Calc!$H:$H,K249,Calc!$L:$L,K230,Calc!$O:$O,IF(Q249="R","F","B"))</f>
        <v>0</v>
      </c>
      <c r="O235" s="37" t="s">
        <v>103</v>
      </c>
      <c r="P235" s="37">
        <f>COUNTIFS(Calc!$P:$P,K228,Calc!$H:$H,K249,Calc!$L:$L,K230,Calc!$N:$N,O235)</f>
        <v>0</v>
      </c>
      <c r="Q235" s="38" t="e">
        <f>P235/SUM(P231:P238)</f>
        <v>#DIV/0!</v>
      </c>
      <c r="R235" s="37">
        <f>COUNTIFS(Calc!$P:$P,K228,Calc!$H:$H,K249,Calc!$L:$L,K230,Calc!$N:$N,O235,Calc!$F:$F,P230)</f>
        <v>0</v>
      </c>
      <c r="S235" s="37">
        <f>COUNTIFS(Calc!$P:$P,K228,Calc!$H:$H,K249,Calc!$L:$L,K230,Calc!$N:$N,O235,Calc!$F:$F,P249)</f>
        <v>0</v>
      </c>
    </row>
    <row r="236" spans="1:19" x14ac:dyDescent="0.45">
      <c r="A236" s="134"/>
      <c r="B236" s="134"/>
      <c r="C236" s="134"/>
      <c r="D236" s="134"/>
      <c r="E236" s="37" t="s">
        <v>105</v>
      </c>
      <c r="F236" s="37">
        <f>COUNTIFS(Calc!$P:$P,A228,Calc!$H:$H,A249,Calc!$L:$L,A230,Calc!$N:$N,E236)</f>
        <v>0</v>
      </c>
      <c r="G236" s="38" t="e">
        <f>F236/SUM(F231:F238)</f>
        <v>#DIV/0!</v>
      </c>
      <c r="H236" s="37">
        <f>COUNTIFS(Calc!$P:$P,A228,Calc!$H:$H,A249,Calc!$L:$L,A230,Calc!$N:$N,E236,Calc!$F:$F,F230)</f>
        <v>0</v>
      </c>
      <c r="I236" s="37">
        <f>COUNTIFS(Calc!$P:$P,A228,Calc!$H:$H,A249,Calc!$L:$L,A230,Calc!$N:$N,E236,Calc!$F:$F,F249)</f>
        <v>0</v>
      </c>
      <c r="K236" s="134"/>
      <c r="L236" s="134"/>
      <c r="M236" s="134"/>
      <c r="N236" s="134"/>
      <c r="O236" s="37" t="s">
        <v>82</v>
      </c>
      <c r="P236" s="37">
        <f>COUNTIFS(Calc!$P:$P,K228,Calc!$H:$H,K249,Calc!$L:$L,K230,Calc!$N:$N,O236)</f>
        <v>0</v>
      </c>
      <c r="Q236" s="38" t="e">
        <f>P236/SUM(P231:P238)</f>
        <v>#DIV/0!</v>
      </c>
      <c r="R236" s="37">
        <f>COUNTIFS(Calc!$P:$P,K228,Calc!$H:$H,K249,Calc!$L:$L,K230,Calc!$N:$N,O236,Calc!$F:$F,P230)</f>
        <v>0</v>
      </c>
      <c r="S236" s="37">
        <f>COUNTIFS(Calc!$P:$P,K228,Calc!$H:$H,K249,Calc!$L:$L,K230,Calc!$N:$N,O236,Calc!$F:$F,P249)</f>
        <v>0</v>
      </c>
    </row>
    <row r="237" spans="1:19" x14ac:dyDescent="0.45">
      <c r="A237" s="137" t="s">
        <v>98</v>
      </c>
      <c r="B237" s="137"/>
      <c r="C237" s="137"/>
      <c r="D237" s="137"/>
      <c r="E237" s="37" t="s">
        <v>106</v>
      </c>
      <c r="F237" s="37">
        <f>COUNTIFS(Calc!$P:$P,A228,Calc!$H:$H,A249,Calc!$L:$L,A230,Calc!$N:$N,E237)</f>
        <v>0</v>
      </c>
      <c r="G237" s="38" t="e">
        <f>F237/SUM(F231:F238)</f>
        <v>#DIV/0!</v>
      </c>
      <c r="H237" s="37">
        <f>COUNTIFS(Calc!$P:$P,A228,Calc!$H:$H,A249,Calc!$L:$L,A230,Calc!$N:$N,E237,Calc!$F:$F,F230)</f>
        <v>0</v>
      </c>
      <c r="I237" s="37">
        <f>COUNTIFS(Calc!$P:$P,A228,Calc!$H:$H,A249,Calc!$L:$L,A230,Calc!$N:$N,E237,Calc!$F:$F,F249)</f>
        <v>0</v>
      </c>
      <c r="K237" s="137" t="s">
        <v>80</v>
      </c>
      <c r="L237" s="137"/>
      <c r="M237" s="137"/>
      <c r="N237" s="137"/>
      <c r="O237" s="37" t="s">
        <v>83</v>
      </c>
      <c r="P237" s="37">
        <f>COUNTIFS(Calc!$P:$P,K228,Calc!$H:$H,K249,Calc!$L:$L,K230,Calc!$N:$N,O237)</f>
        <v>0</v>
      </c>
      <c r="Q237" s="38" t="e">
        <f>P237/SUM(P231:P238)</f>
        <v>#DIV/0!</v>
      </c>
      <c r="R237" s="37">
        <f>COUNTIFS(Calc!$P:$P,K228,Calc!$H:$H,K249,Calc!$L:$L,K230,Calc!$N:$N,O237,Calc!$F:$F,P230)</f>
        <v>0</v>
      </c>
      <c r="S237" s="37">
        <f>COUNTIFS(Calc!$P:$P,K228,Calc!$H:$H,K249,Calc!$L:$L,K230,Calc!$N:$N,O237,Calc!$F:$F,P249)</f>
        <v>0</v>
      </c>
    </row>
    <row r="238" spans="1:19" x14ac:dyDescent="0.45">
      <c r="A238" s="132">
        <f>COUNTIFS(Calc!$P:$P,A228,Calc!$H:$H,A249,Calc!$L:$L,A230,Calc!$O:$O,"オーバーミス")</f>
        <v>0</v>
      </c>
      <c r="B238" s="132"/>
      <c r="C238" s="132"/>
      <c r="D238" s="132"/>
      <c r="E238" s="37" t="s">
        <v>108</v>
      </c>
      <c r="F238" s="37">
        <f>COUNTIFS(Calc!$P:$P,A228,Calc!$H:$H,A249,Calc!$L:$L,A230,Calc!$N:$N,E238)</f>
        <v>0</v>
      </c>
      <c r="G238" s="38" t="e">
        <f>F238/SUM(F231:F238)</f>
        <v>#DIV/0!</v>
      </c>
      <c r="H238" s="37">
        <f>COUNTIFS(Calc!$P:$P,A228,Calc!$H:$H,A249,Calc!$L:$L,A230,Calc!$N:$N,E238,Calc!$F:$F,F230)</f>
        <v>0</v>
      </c>
      <c r="I238" s="37">
        <f>COUNTIFS(Calc!$P:$P,A228,Calc!$H:$H,A249,Calc!$L:$L,A230,Calc!$N:$N,E238,Calc!$F:$F,F249)</f>
        <v>0</v>
      </c>
      <c r="K238" s="132">
        <f>COUNTIFS(Calc!$P:$P,K228,Calc!$H:$H,K249,Calc!$L:$L,K230,Calc!$O:$O,"オーバーミス")</f>
        <v>0</v>
      </c>
      <c r="L238" s="132"/>
      <c r="M238" s="132"/>
      <c r="N238" s="132"/>
      <c r="O238" s="37" t="s">
        <v>107</v>
      </c>
      <c r="P238" s="37">
        <f>COUNTIFS(Calc!$P:$P,K228,Calc!$H:$H,K249,Calc!$L:$L,K230,Calc!$N:$N,O238)</f>
        <v>0</v>
      </c>
      <c r="Q238" s="38" t="e">
        <f>P238/SUM(P231:P238)</f>
        <v>#DIV/0!</v>
      </c>
      <c r="R238" s="37">
        <f>COUNTIFS(Calc!$P:$P,K228,Calc!$H:$H,K249,Calc!$L:$L,K230,Calc!$N:$N,O238,Calc!$F:$F,P230)</f>
        <v>0</v>
      </c>
      <c r="S238" s="37">
        <f>COUNTIFS(Calc!$P:$P,K228,Calc!$H:$H,K249,Calc!$L:$L,K230,Calc!$N:$N,O238,Calc!$F:$F,P249)</f>
        <v>0</v>
      </c>
    </row>
    <row r="239" spans="1:19" x14ac:dyDescent="0.45">
      <c r="A239" s="103"/>
      <c r="B239" s="103"/>
      <c r="C239" s="103"/>
      <c r="D239" s="103"/>
      <c r="E239" s="37"/>
      <c r="F239" s="37"/>
      <c r="G239" s="38"/>
      <c r="H239" s="37"/>
      <c r="I239" s="37"/>
      <c r="K239" s="104"/>
      <c r="L239" s="104"/>
      <c r="M239" s="104"/>
      <c r="N239" s="104"/>
      <c r="O239" s="40"/>
      <c r="P239" s="40"/>
      <c r="Q239" s="41"/>
      <c r="R239" s="40"/>
      <c r="S239" s="40"/>
    </row>
    <row r="240" spans="1:19" x14ac:dyDescent="0.45">
      <c r="A240" t="s">
        <v>140</v>
      </c>
      <c r="K240" t="s">
        <v>140</v>
      </c>
    </row>
    <row r="241" spans="1:19" x14ac:dyDescent="0.45">
      <c r="A241" s="164">
        <f>COUNTIFS(Calc!$P:$P,A228,Calc!$H:$H,A249,Calc!$L:$L,A230,Calc!$K:$K,IF(E230="R","F","B"))</f>
        <v>0</v>
      </c>
      <c r="B241" s="164">
        <f>COUNTIFS(Calc!$P:$P,A228,Calc!$H:$H,A249,Calc!$L:$L,A230,Calc!$K:$K,IF(E230="R","FM","BM"))</f>
        <v>0</v>
      </c>
      <c r="C241" s="164">
        <f>COUNTIFS(Calc!$P:$P,A228,Calc!$H:$H,A249,Calc!$L:$L,A230,Calc!$K:$K,IF(E230="R","BM","FM"))</f>
        <v>0</v>
      </c>
      <c r="D241" s="164">
        <f>COUNTIFS(Calc!$P:$P,A228,Calc!$H:$H,A249,Calc!$L:$L,A230,Calc!$K:$K,IF(E230="R","B","F"))</f>
        <v>0</v>
      </c>
      <c r="E241" s="40"/>
      <c r="F241" s="40"/>
      <c r="G241" s="41"/>
      <c r="H241" s="40"/>
      <c r="I241" s="40"/>
      <c r="K241" s="164">
        <f>COUNTIFS(Calc!$P:$P,K228,Calc!$H:$H,K249,Calc!$L:$L,K230,Calc!$K:$K,IF(O230="R","F","B"))</f>
        <v>0</v>
      </c>
      <c r="L241" s="164">
        <f>COUNTIFS(Calc!$P:$P,K228,Calc!$H:$H,K249,Calc!$L:$L,K230,Calc!$K:$K,IF(O230="R","FM","BM"))</f>
        <v>0</v>
      </c>
      <c r="M241" s="164">
        <f>COUNTIFS(Calc!$P:$P,K228,Calc!$H:$H,K249,Calc!$L:$L,K230,Calc!$K:$K,IF(O230="R","BM","FM"))</f>
        <v>0</v>
      </c>
      <c r="N241" s="164">
        <f>COUNTIFS(Calc!$P:$P,K228,Calc!$H:$H,K249,Calc!$L:$L,K230,Calc!$K:$K,IF(O230="R","B","F"))</f>
        <v>0</v>
      </c>
      <c r="O241" s="40"/>
      <c r="P241" s="40"/>
      <c r="Q241" s="41"/>
      <c r="R241" s="40"/>
      <c r="S241" s="40"/>
    </row>
    <row r="242" spans="1:19" x14ac:dyDescent="0.45">
      <c r="A242" s="164"/>
      <c r="B242" s="164"/>
      <c r="C242" s="164"/>
      <c r="D242" s="164"/>
      <c r="E242" s="40"/>
      <c r="F242" s="40"/>
      <c r="G242" s="41"/>
      <c r="H242" s="40"/>
      <c r="I242" s="40"/>
      <c r="K242" s="164"/>
      <c r="L242" s="164"/>
      <c r="M242" s="164"/>
      <c r="N242" s="164"/>
      <c r="O242" s="40"/>
      <c r="P242" s="40"/>
      <c r="Q242" s="41"/>
      <c r="R242" s="40"/>
      <c r="S242" s="40"/>
    </row>
    <row r="243" spans="1:19" ht="18.600000000000001" thickBot="1" x14ac:dyDescent="0.5">
      <c r="A243" s="157">
        <f>COUNTIFS(Calc!$P:$P,A228,Calc!$H:$H,A249,Calc!$L:$L,A230,Calc!$K:$K,IF(E230="R","FS","BS"))</f>
        <v>0</v>
      </c>
      <c r="B243" s="157">
        <f>COUNTIFS(Calc!$P:$P,A228,Calc!$H:$H,A249,Calc!$L:$L,A230,Calc!$K:$K,IF(E230="R","FMS","BMS"))</f>
        <v>0</v>
      </c>
      <c r="C243" s="157">
        <f>COUNTIFS(Calc!$P:$P,A228,Calc!$H:$H,A249,Calc!$L:$L,A230,Calc!$K:$K,IF(E230="R","BMS","FMS"))</f>
        <v>0</v>
      </c>
      <c r="D243" s="157">
        <f>COUNTIFS(Calc!$P:$P,A228,Calc!$H:$H,A249,Calc!$L:$L,A230,Calc!$K:$K,IF(E230="R","BS","FS"))</f>
        <v>0</v>
      </c>
      <c r="E243" s="40"/>
      <c r="F243" s="40"/>
      <c r="G243" s="41"/>
      <c r="H243" s="40"/>
      <c r="I243" s="40"/>
      <c r="K243" s="157">
        <f>COUNTIFS(Calc!$P:$P,K228,Calc!$H:$H,K249,Calc!$L:$L,K230,Calc!$K:$K,IF(O230="R","FS","BS"))</f>
        <v>0</v>
      </c>
      <c r="L243" s="157">
        <f>COUNTIFS(Calc!$P:$P,K228,Calc!$H:$H,K249,Calc!$L:$L,K230,Calc!$K:$K,IF(O230="R","FMS","BMS"))</f>
        <v>0</v>
      </c>
      <c r="M243" s="157">
        <f>COUNTIFS(Calc!$P:$P,K228,Calc!$H:$H,K249,Calc!$L:$L,K230,Calc!$K:$K,IF(O230="R","BMS","FMS"))</f>
        <v>0</v>
      </c>
      <c r="N243" s="157">
        <f>COUNTIFS(Calc!$P:$P,K228,Calc!$H:$H,K249,Calc!$L:$L,K230,Calc!$K:$K,IF(O230="R","BS","FS"))</f>
        <v>0</v>
      </c>
      <c r="O243" s="40"/>
      <c r="P243" s="40"/>
      <c r="Q243" s="41"/>
      <c r="R243" s="40"/>
      <c r="S243" s="40"/>
    </row>
    <row r="244" spans="1:19" ht="19.2" thickTop="1" thickBot="1" x14ac:dyDescent="0.5">
      <c r="A244" s="158"/>
      <c r="B244" s="158"/>
      <c r="C244" s="158"/>
      <c r="D244" s="158"/>
      <c r="E244" s="40"/>
      <c r="F244" s="40"/>
      <c r="G244" s="41"/>
      <c r="H244" s="40"/>
      <c r="I244" s="40"/>
      <c r="K244" s="158"/>
      <c r="L244" s="158"/>
      <c r="M244" s="158"/>
      <c r="N244" s="158"/>
      <c r="O244" s="40"/>
      <c r="P244" s="40"/>
      <c r="Q244" s="41"/>
      <c r="R244" s="40"/>
      <c r="S244" s="40"/>
    </row>
    <row r="245" spans="1:19" ht="19.2" thickTop="1" thickBot="1" x14ac:dyDescent="0.5">
      <c r="A245" s="158">
        <f>COUNTIFS(Calc!$P:$P,A228,Calc!$H:$H,A249,Calc!$L:$L,A230,Calc!$J:$J,IF(E249="R","B","F"))</f>
        <v>0</v>
      </c>
      <c r="B245" s="158"/>
      <c r="C245" s="158">
        <f>COUNTIFS(Calc!$P:$P,A228,Calc!$H:$H,A249,Calc!$L:$L,A230,Calc!$J:$J,IF(E249="R","F","B"))</f>
        <v>0</v>
      </c>
      <c r="D245" s="158"/>
      <c r="E245" s="40"/>
      <c r="F245" s="40"/>
      <c r="G245" s="41"/>
      <c r="H245" s="40" t="s">
        <v>109</v>
      </c>
      <c r="I245" s="40" t="s">
        <v>110</v>
      </c>
      <c r="K245" s="158">
        <f>COUNTIFS(Calc!$P:$P,K228,Calc!$H:$H,K249,Calc!$L:$L,K230,Calc!$J:$J,IF(O249="R","B","F"))</f>
        <v>0</v>
      </c>
      <c r="L245" s="158"/>
      <c r="M245" s="158">
        <f>COUNTIFS(Calc!$P:$P,K228,Calc!$H:$H,K249,Calc!$L:$L,K230,Calc!$J:$J,IF(O249="R","F","B"))</f>
        <v>0</v>
      </c>
      <c r="N245" s="158"/>
      <c r="O245" s="40"/>
      <c r="P245" s="40"/>
      <c r="Q245" s="41"/>
      <c r="R245" s="40" t="s">
        <v>177</v>
      </c>
      <c r="S245" s="40" t="s">
        <v>178</v>
      </c>
    </row>
    <row r="246" spans="1:19" ht="19.2" thickTop="1" thickBot="1" x14ac:dyDescent="0.5">
      <c r="A246" s="158"/>
      <c r="B246" s="158"/>
      <c r="C246" s="158"/>
      <c r="D246" s="158"/>
      <c r="E246" s="40" t="s">
        <v>111</v>
      </c>
      <c r="F246" s="40">
        <f>COUNTIFS(Calc!$P:$P,A228,Calc!$H:$H,A249,Calc!$L:$L,A230,Calc!$I:$I,E246)</f>
        <v>0</v>
      </c>
      <c r="G246" s="41" t="e">
        <f>F246/SUM(F246:F248)</f>
        <v>#DIV/0!</v>
      </c>
      <c r="H246" s="40">
        <f>COUNTIFS(Calc!$P:$P,A228,Calc!$H:$H,A249,Calc!$L:$L,A230,Calc!$I:$I,E246,Calc!$F:$F,F249)</f>
        <v>0</v>
      </c>
      <c r="I246" s="40">
        <f>COUNTIFS(Calc!$P:$P,A228,Calc!$H:$H,A249,Calc!$L:$L,A230,Calc!$I:$I,E246,Calc!$F:$F,F230)</f>
        <v>0</v>
      </c>
      <c r="K246" s="158"/>
      <c r="L246" s="158"/>
      <c r="M246" s="158"/>
      <c r="N246" s="158"/>
      <c r="O246" s="40" t="s">
        <v>174</v>
      </c>
      <c r="P246" s="40">
        <f>COUNTIFS(Calc!$P:$P,K228,Calc!$H:$H,K249,Calc!$L:$L,K230,Calc!$I:$I,O246)</f>
        <v>0</v>
      </c>
      <c r="Q246" s="41" t="e">
        <f>P246/SUM(P246:P248)</f>
        <v>#DIV/0!</v>
      </c>
      <c r="R246" s="40">
        <f>COUNTIFS(Calc!$P:$P,K228,Calc!$H:$H,K249,Calc!$L:$L,K230,Calc!$I:$I,O246,Calc!$F:$F,P249)</f>
        <v>0</v>
      </c>
      <c r="S246" s="40">
        <f>COUNTIFS(Calc!$P:$P,K228,Calc!$H:$H,K249,Calc!$L:$L,K230,Calc!$I:$I,O246,Calc!$F:$F,P230)</f>
        <v>0</v>
      </c>
    </row>
    <row r="247" spans="1:19" ht="19.2" thickTop="1" thickBot="1" x14ac:dyDescent="0.5">
      <c r="A247" s="158"/>
      <c r="B247" s="158"/>
      <c r="C247" s="158"/>
      <c r="D247" s="158"/>
      <c r="E247" s="40" t="s">
        <v>112</v>
      </c>
      <c r="F247" s="40">
        <f>COUNTIFS(Calc!$P:$P,A228,Calc!$H:$H,A249,Calc!$L:$L,A230,Calc!$I:$I,E247)</f>
        <v>0</v>
      </c>
      <c r="G247" s="41" t="e">
        <f>F247/SUM(F246:F248)</f>
        <v>#DIV/0!</v>
      </c>
      <c r="H247" s="40">
        <f>COUNTIFS(Calc!$P:$P,A228,Calc!$H:$H,A249,Calc!$L:$L,A230,Calc!$I:$I,E247,Calc!$F:$F,F249)</f>
        <v>0</v>
      </c>
      <c r="I247" s="40">
        <f>COUNTIFS(Calc!$P:$P,A228,Calc!$H:$H,A249,Calc!$L:$L,A230,Calc!$I:$I,E247,Calc!$F:$F,F230)</f>
        <v>0</v>
      </c>
      <c r="K247" s="158"/>
      <c r="L247" s="158"/>
      <c r="M247" s="158"/>
      <c r="N247" s="158"/>
      <c r="O247" s="40" t="s">
        <v>63</v>
      </c>
      <c r="P247" s="40">
        <f>COUNTIFS(Calc!$P:$P,K228,Calc!$H:$H,K249,Calc!$L:$L,K230,Calc!$I:$I,O247)</f>
        <v>0</v>
      </c>
      <c r="Q247" s="41" t="e">
        <f>P247/SUM(P246:P248)</f>
        <v>#DIV/0!</v>
      </c>
      <c r="R247" s="40">
        <f>COUNTIFS(Calc!$P:$P,K228,Calc!$H:$H,K249,Calc!$L:$L,K230,Calc!$I:$I,O247,Calc!$F:$F,P249)</f>
        <v>0</v>
      </c>
      <c r="S247" s="40">
        <f>COUNTIFS(Calc!$P:$P,K228,Calc!$H:$H,K249,Calc!$L:$L,K230,Calc!$I:$I,O247,Calc!$F:$F,P230)</f>
        <v>0</v>
      </c>
    </row>
    <row r="248" spans="1:19" ht="18.600000000000001" thickTop="1" x14ac:dyDescent="0.45">
      <c r="A248" s="161"/>
      <c r="B248" s="161"/>
      <c r="C248" s="161"/>
      <c r="D248" s="161"/>
      <c r="E248" s="40" t="s">
        <v>113</v>
      </c>
      <c r="F248" s="40">
        <f>COUNTIFS(Calc!$P:$P,A228,Calc!$H:$H,A249,Calc!$L:$L,A230,Calc!$I:$I,E248)</f>
        <v>0</v>
      </c>
      <c r="G248" s="41" t="e">
        <f>F248/SUM(F246:F248)</f>
        <v>#DIV/0!</v>
      </c>
      <c r="H248" s="40">
        <f>COUNTIFS(Calc!$P:$P,A228,Calc!$H:$H,A249,Calc!$L:$L,A230,Calc!$I:$I,E248,Calc!$F:$F,F249)</f>
        <v>0</v>
      </c>
      <c r="I248" s="40">
        <f>COUNTIFS(Calc!$P:$P,A228,Calc!$H:$H,A249,Calc!$L:$L,A230,Calc!$I:$I,E248,Calc!$F:$F,F230)</f>
        <v>0</v>
      </c>
      <c r="K248" s="161"/>
      <c r="L248" s="161"/>
      <c r="M248" s="161"/>
      <c r="N248" s="161"/>
      <c r="O248" s="40" t="s">
        <v>61</v>
      </c>
      <c r="P248" s="40">
        <f>COUNTIFS(Calc!$P:$P,K228,Calc!$H:$H,K249,Calc!$L:$L,K230,Calc!$I:$I,O248)</f>
        <v>0</v>
      </c>
      <c r="Q248" s="41" t="e">
        <f>P248/SUM(P246:P248)</f>
        <v>#DIV/0!</v>
      </c>
      <c r="R248" s="40">
        <f>COUNTIFS(Calc!$P:$P,K228,Calc!$H:$H,K249,Calc!$L:$L,K230,Calc!$I:$I,O248,Calc!$F:$F,P249)</f>
        <v>0</v>
      </c>
      <c r="S248" s="40">
        <f>COUNTIFS(Calc!$P:$P,K228,Calc!$H:$H,K249,Calc!$L:$L,K230,Calc!$I:$I,O248,Calc!$F:$F,P230)</f>
        <v>0</v>
      </c>
    </row>
    <row r="249" spans="1:19" x14ac:dyDescent="0.45">
      <c r="A249" s="155" t="str">
        <f>Main!$D$14</f>
        <v/>
      </c>
      <c r="B249" s="156"/>
      <c r="C249" s="156"/>
      <c r="D249" s="156"/>
      <c r="E249" s="45" t="str">
        <f>Main!$F$14</f>
        <v/>
      </c>
      <c r="F249" s="45" t="str">
        <f>Main!$B$12</f>
        <v>Mallets</v>
      </c>
      <c r="G249" s="45" t="str">
        <f>Main!$F$12</f>
        <v>R</v>
      </c>
      <c r="H249" s="113"/>
      <c r="I249" s="113"/>
      <c r="J249" s="113"/>
      <c r="K249" s="155" t="str">
        <f>Main!$D$12</f>
        <v>NAMBA Yurika</v>
      </c>
      <c r="L249" s="156"/>
      <c r="M249" s="156"/>
      <c r="N249" s="156"/>
      <c r="O249" s="36" t="str">
        <f>Main!$F$12</f>
        <v>R</v>
      </c>
      <c r="P249" s="36" t="str">
        <f>Main!$B$12</f>
        <v>Mallets</v>
      </c>
      <c r="Q249" s="36" t="str">
        <f>Main!$F$14</f>
        <v/>
      </c>
      <c r="R249" s="112"/>
      <c r="S249" s="112"/>
    </row>
    <row r="252" spans="1:19" x14ac:dyDescent="0.45">
      <c r="A252" s="111">
        <v>5</v>
      </c>
      <c r="K252" s="111">
        <v>5</v>
      </c>
    </row>
    <row r="253" spans="1:19" x14ac:dyDescent="0.45">
      <c r="A253" t="s">
        <v>139</v>
      </c>
      <c r="K253" t="s">
        <v>139</v>
      </c>
    </row>
    <row r="254" spans="1:19" x14ac:dyDescent="0.45">
      <c r="A254" s="140" t="str">
        <f>Main!$D$12</f>
        <v>NAMBA Yurika</v>
      </c>
      <c r="B254" s="141"/>
      <c r="C254" s="141"/>
      <c r="D254" s="141"/>
      <c r="E254" s="36" t="str">
        <f>Main!$F$12</f>
        <v>R</v>
      </c>
      <c r="F254" s="36" t="str">
        <f>Main!$B$12</f>
        <v>Mallets</v>
      </c>
      <c r="G254" s="36" t="str">
        <f>Main!$F$14</f>
        <v/>
      </c>
      <c r="H254" s="40" t="s">
        <v>109</v>
      </c>
      <c r="I254" s="40" t="s">
        <v>110</v>
      </c>
      <c r="K254" s="140" t="str">
        <f>Main!$D$14</f>
        <v/>
      </c>
      <c r="L254" s="141"/>
      <c r="M254" s="141"/>
      <c r="N254" s="141"/>
      <c r="O254" s="36" t="str">
        <f>Main!$F$14</f>
        <v/>
      </c>
      <c r="P254" s="36" t="str">
        <f>Main!$B$12</f>
        <v>Mallets</v>
      </c>
      <c r="Q254" s="44" t="str">
        <f>Main!$F$12</f>
        <v>R</v>
      </c>
      <c r="R254" s="40" t="s">
        <v>109</v>
      </c>
      <c r="S254" s="40" t="s">
        <v>110</v>
      </c>
    </row>
    <row r="255" spans="1:19" ht="18.600000000000001" thickBot="1" x14ac:dyDescent="0.5">
      <c r="A255" s="144" t="s">
        <v>81</v>
      </c>
      <c r="B255" s="145"/>
      <c r="C255" s="145"/>
      <c r="D255" s="83">
        <f>COUNTIFS(Calc!$P:$P,A252,Calc!$H:$H,A273,Calc!$L:$L,A254,Calc!$O:$O,"ネット")</f>
        <v>0</v>
      </c>
      <c r="E255" s="40" t="s">
        <v>14</v>
      </c>
      <c r="F255" s="40">
        <f>COUNTIFS(Calc!$P:$P,A252,Calc!$H:$H,A273,Calc!$L:$L,A254,Calc!$N:$N,E255)</f>
        <v>0</v>
      </c>
      <c r="G255" s="41" t="e">
        <f>F255/SUM(F255:F262)</f>
        <v>#DIV/0!</v>
      </c>
      <c r="H255" s="40">
        <f>COUNTIFS(Calc!$P:$P,A252,Calc!$H:$H,A273,Calc!$L:$L,A254,Calc!$N:$N,E255,Calc!$F:$F,F254)</f>
        <v>0</v>
      </c>
      <c r="I255" s="40">
        <f>COUNTIFS(Calc!$P:$P,A252,Calc!$H:$H,A273,Calc!$L:$L,A254,Calc!$N:$N,E255,Calc!$F:$F,F273)</f>
        <v>0</v>
      </c>
      <c r="K255" s="144" t="s">
        <v>81</v>
      </c>
      <c r="L255" s="145"/>
      <c r="M255" s="145"/>
      <c r="N255" s="83">
        <f>COUNTIFS(Calc!$P:$P,K252,Calc!$H:$H,K273,Calc!$L:$L,K254,Calc!$O:$O,"ネット")</f>
        <v>0</v>
      </c>
      <c r="O255" s="40" t="s">
        <v>14</v>
      </c>
      <c r="P255" s="40">
        <f>COUNTIFS(Calc!$P:$P,K252,Calc!$H:$H,K273,Calc!$L:$L,K254,Calc!$N:$N,O255)</f>
        <v>0</v>
      </c>
      <c r="Q255" s="41" t="e">
        <f>P255/SUM(P255:P262)</f>
        <v>#DIV/0!</v>
      </c>
      <c r="R255" s="40">
        <f>COUNTIFS(Calc!$P:$P,K252,Calc!$H:$H,K273,Calc!$L:$L,K254,Calc!$N:$N,O255,Calc!$F:$F,P254)</f>
        <v>0</v>
      </c>
      <c r="S255" s="40">
        <f>COUNTIFS(Calc!$P:$P,K252,Calc!$H:$H,K273,Calc!$L:$L,K254,Calc!$N:$N,O255,Calc!$F:$F,P273)</f>
        <v>0</v>
      </c>
    </row>
    <row r="256" spans="1:19" ht="18.600000000000001" thickTop="1" x14ac:dyDescent="0.45">
      <c r="A256" s="148" t="s">
        <v>176</v>
      </c>
      <c r="B256" s="149"/>
      <c r="C256" s="149"/>
      <c r="D256" s="110">
        <f>COUNTIFS(Calc!$P:$P,A252,Calc!$H:$H,A273,Calc!$L:$L,A254,Calc!$O:$O,"ネットイン")</f>
        <v>0</v>
      </c>
      <c r="E256" s="40" t="s">
        <v>15</v>
      </c>
      <c r="F256" s="40">
        <f>COUNTIFS(Calc!$P:$P,A252,Calc!$H:$H,A273,Calc!$L:$L,A254,Calc!$N:$N,E256)</f>
        <v>0</v>
      </c>
      <c r="G256" s="41" t="e">
        <f>F256/SUM(F255:F262)</f>
        <v>#DIV/0!</v>
      </c>
      <c r="H256" s="40">
        <f>COUNTIFS(Calc!$P:$P,A252,Calc!$H:$H,A273,Calc!$L:$L,A254,Calc!$N:$N,E256,Calc!$F:$F,F254)</f>
        <v>0</v>
      </c>
      <c r="I256" s="40">
        <f>COUNTIFS(Calc!$P:$P,A252,Calc!$H:$H,A273,Calc!$L:$L,A254,Calc!$N:$N,E256,Calc!$F:$F,F273)</f>
        <v>0</v>
      </c>
      <c r="K256" s="148" t="s">
        <v>176</v>
      </c>
      <c r="L256" s="149"/>
      <c r="M256" s="149"/>
      <c r="N256" s="110">
        <f>COUNTIFS(Calc!$P:$P,K252,Calc!$H:$H,K273,Calc!$L:$L,K254,Calc!$O:$O,"ネットイン")</f>
        <v>0</v>
      </c>
      <c r="O256" s="40" t="s">
        <v>15</v>
      </c>
      <c r="P256" s="40">
        <f>COUNTIFS(Calc!$P:$P,K252,Calc!$H:$H,K273,Calc!$L:$L,K254,Calc!$N:$N,O256)</f>
        <v>0</v>
      </c>
      <c r="Q256" s="41" t="e">
        <f>P256/SUM(P255:P262)</f>
        <v>#DIV/0!</v>
      </c>
      <c r="R256" s="40">
        <f>COUNTIFS(Calc!$P:$P,K252,Calc!$H:$H,K273,Calc!$L:$L,K254,Calc!$N:$N,O256,Calc!$F:$F,P254)</f>
        <v>0</v>
      </c>
      <c r="S256" s="40">
        <f>COUNTIFS(Calc!$P:$P,K252,Calc!$H:$H,K273,Calc!$L:$L,K254,Calc!$N:$N,O256,Calc!$F:$F,P273)</f>
        <v>0</v>
      </c>
    </row>
    <row r="257" spans="1:19" x14ac:dyDescent="0.45">
      <c r="A257" s="150">
        <f>COUNTIFS(Calc!$P:$P,A252,Calc!$H:$H,A273,Calc!$L:$L,A254,Calc!$O:$O,IF(G273="R","BS","FS"))</f>
        <v>0</v>
      </c>
      <c r="B257" s="150">
        <f>COUNTIFS(Calc!$P:$P,A252,Calc!$H:$H,A273,Calc!$L:$L,A254,Calc!$O:$O,IF(G273="R","BMS","FMS"))</f>
        <v>0</v>
      </c>
      <c r="C257" s="150">
        <f>COUNTIFS(Calc!$P:$P,A252,Calc!$H:$H,A273,Calc!$L:$L,A254,Calc!$O:$O,IF(G273="R","FMS","BMS"))</f>
        <v>0</v>
      </c>
      <c r="D257" s="150">
        <f>COUNTIFS(Calc!$P:$P,A252,Calc!$H:$H,A273,Calc!$L:$L,A254,Calc!$O:$O,IF(G273="R","FS","BS"))</f>
        <v>0</v>
      </c>
      <c r="E257" s="40" t="s">
        <v>17</v>
      </c>
      <c r="F257" s="40">
        <f>COUNTIFS(Calc!$P:$P,A252,Calc!$H:$H,A273,Calc!$L:$L,A254,Calc!$N:$N,E257)</f>
        <v>0</v>
      </c>
      <c r="G257" s="41" t="e">
        <f>F257/SUM(F255:F262)</f>
        <v>#DIV/0!</v>
      </c>
      <c r="H257" s="40">
        <f>COUNTIFS(Calc!$P:$P,A252,Calc!$H:$H,A273,Calc!$L:$L,A254,Calc!$N:$N,E257,Calc!$F:$F,F254)</f>
        <v>0</v>
      </c>
      <c r="I257" s="40">
        <f>COUNTIFS(Calc!$P:$P,A252,Calc!$H:$H,A273,Calc!$L:$L,A254,Calc!$N:$N,E257,Calc!$F:$F,F273)</f>
        <v>0</v>
      </c>
      <c r="K257" s="150">
        <f>COUNTIFS(Calc!$P:$P,K252,Calc!$H:$H,K273,Calc!$L:$L,K254,Calc!$O:$O,IF(Q273="R","BS","FS"))</f>
        <v>0</v>
      </c>
      <c r="L257" s="150">
        <f>COUNTIFS(Calc!$P:$P,K252,Calc!$H:$H,K273,Calc!$L:$L,K254,Calc!$O:$O,IF(Q273="R","BMS","FMS"))</f>
        <v>0</v>
      </c>
      <c r="M257" s="150">
        <f>COUNTIFS(Calc!$P:$P,K252,Calc!$H:$H,K273,Calc!$L:$L,K254,Calc!$O:$O,IF(Q273="R","FMS","BMS"))</f>
        <v>0</v>
      </c>
      <c r="N257" s="150">
        <f>COUNTIFS(Calc!$P:$P,K252,Calc!$H:$H,K273,Calc!$L:$L,K254,Calc!$O:$O,IF(Q273="R","FS","BS"))</f>
        <v>0</v>
      </c>
      <c r="O257" s="40" t="s">
        <v>17</v>
      </c>
      <c r="P257" s="40">
        <f>COUNTIFS(Calc!$P:$P,K252,Calc!$H:$H,K273,Calc!$L:$L,K254,Calc!$N:$N,O257)</f>
        <v>0</v>
      </c>
      <c r="Q257" s="41" t="e">
        <f>P257/SUM(P255:P262)</f>
        <v>#DIV/0!</v>
      </c>
      <c r="R257" s="40">
        <f>COUNTIFS(Calc!$P:$P,K252,Calc!$H:$H,K273,Calc!$L:$L,K254,Calc!$N:$N,O257,Calc!$F:$F,P254)</f>
        <v>0</v>
      </c>
      <c r="S257" s="40">
        <f>COUNTIFS(Calc!$P:$P,K252,Calc!$H:$H,K273,Calc!$L:$L,K254,Calc!$N:$N,O257,Calc!$F:$F,P273)</f>
        <v>0</v>
      </c>
    </row>
    <row r="258" spans="1:19" x14ac:dyDescent="0.45">
      <c r="A258" s="136"/>
      <c r="B258" s="136"/>
      <c r="C258" s="136"/>
      <c r="D258" s="136"/>
      <c r="E258" s="40" t="s">
        <v>16</v>
      </c>
      <c r="F258" s="40">
        <f>COUNTIFS(Calc!$P:$P,A252,Calc!$H:$H,A273,Calc!$L:$L,A254,Calc!$N:$N,E258)</f>
        <v>0</v>
      </c>
      <c r="G258" s="41" t="e">
        <f>F258/SUM(F255:F262)</f>
        <v>#DIV/0!</v>
      </c>
      <c r="H258" s="40">
        <f>COUNTIFS(Calc!$P:$P,A252,Calc!$H:$H,A273,Calc!$L:$L,A254,Calc!$N:$N,E258,Calc!$F:$F,F254)</f>
        <v>0</v>
      </c>
      <c r="I258" s="40">
        <f>COUNTIFS(Calc!$P:$P,A252,Calc!$H:$H,A273,Calc!$L:$L,A254,Calc!$N:$N,E258,Calc!$F:$F,F273)</f>
        <v>0</v>
      </c>
      <c r="K258" s="136"/>
      <c r="L258" s="136"/>
      <c r="M258" s="136"/>
      <c r="N258" s="136"/>
      <c r="O258" s="40" t="s">
        <v>16</v>
      </c>
      <c r="P258" s="40">
        <f>COUNTIFS(Calc!$P:$P,K252,Calc!$H:$H,K273,Calc!$L:$L,K254,Calc!$N:$N,O258)</f>
        <v>0</v>
      </c>
      <c r="Q258" s="41" t="e">
        <f>P258/SUM(P255:P262)</f>
        <v>#DIV/0!</v>
      </c>
      <c r="R258" s="40">
        <f>COUNTIFS(Calc!$P:$P,K252,Calc!$H:$H,K273,Calc!$L:$L,K254,Calc!$N:$N,O258,Calc!$F:$F,P254)</f>
        <v>0</v>
      </c>
      <c r="S258" s="40">
        <f>COUNTIFS(Calc!$P:$P,K252,Calc!$H:$H,K273,Calc!$L:$L,K254,Calc!$N:$N,O258,Calc!$F:$F,P273)</f>
        <v>0</v>
      </c>
    </row>
    <row r="259" spans="1:19" x14ac:dyDescent="0.45">
      <c r="A259" s="135">
        <f>COUNTIFS(Calc!$P:$P,A252,Calc!$H:$H,A273,Calc!$L:$L,A254,Calc!$O:$O,IF(G273="R","B","F"))</f>
        <v>0</v>
      </c>
      <c r="B259" s="135">
        <f>COUNTIFS(Calc!$P:$P,A252,Calc!$H:$H,A273,Calc!$L:$L,A254,Calc!$O:$O,IF(G273="R","BM","FM"))</f>
        <v>0</v>
      </c>
      <c r="C259" s="135">
        <f>COUNTIFS(Calc!$P:$P,A252,Calc!$H:$H,A273,Calc!$L:$L,A254,Calc!$O:$O,IF(G273="R","FM","BM"))</f>
        <v>0</v>
      </c>
      <c r="D259" s="135">
        <f>COUNTIFS(Calc!$P:$P,A252,Calc!$H:$H,A273,Calc!$L:$L,A254,Calc!$O:$O,IF(G273="R","F","B"))</f>
        <v>0</v>
      </c>
      <c r="E259" s="40" t="s">
        <v>103</v>
      </c>
      <c r="F259" s="40">
        <f>COUNTIFS(Calc!$P:$P,A252,Calc!$H:$H,A273,Calc!$L:$L,A254,Calc!$N:$N,E259)</f>
        <v>0</v>
      </c>
      <c r="G259" s="41" t="e">
        <f>F259/SUM(F255:F262)</f>
        <v>#DIV/0!</v>
      </c>
      <c r="H259" s="40">
        <f>COUNTIFS(Calc!$P:$P,A252,Calc!$H:$H,A273,Calc!$L:$L,A254,Calc!$N:$N,E259,Calc!$F:$F,F254)</f>
        <v>0</v>
      </c>
      <c r="I259" s="40">
        <f>COUNTIFS(Calc!$P:$P,A252,Calc!$H:$H,A273,Calc!$L:$L,A254,Calc!$N:$N,E259,Calc!$F:$F,F273)</f>
        <v>0</v>
      </c>
      <c r="K259" s="135">
        <f>COUNTIFS(Calc!$P:$P,K252,Calc!$H:$H,K273,Calc!$L:$L,K254,Calc!$O:$O,IF(Q273="R","B","F"))</f>
        <v>0</v>
      </c>
      <c r="L259" s="135">
        <f>COUNTIFS(Calc!$P:$P,K252,Calc!$H:$H,K273,Calc!$L:$L,K254,Calc!$O:$O,IF(Q273="R","BM","FM"))</f>
        <v>0</v>
      </c>
      <c r="M259" s="135">
        <f>COUNTIFS(Calc!$P:$P,K252,Calc!$H:$H,K273,Calc!$L:$L,K254,Calc!$O:$O,IF(Q273="R","FM","BM"))</f>
        <v>0</v>
      </c>
      <c r="N259" s="135">
        <f>COUNTIFS(Calc!$P:$P,K252,Calc!$H:$H,K273,Calc!$L:$L,K254,Calc!$O:$O,IF(Q273="R","F","B"))</f>
        <v>0</v>
      </c>
      <c r="O259" s="40" t="s">
        <v>103</v>
      </c>
      <c r="P259" s="40">
        <f>COUNTIFS(Calc!$P:$P,K252,Calc!$H:$H,K273,Calc!$L:$L,K254,Calc!$N:$N,O259)</f>
        <v>0</v>
      </c>
      <c r="Q259" s="41" t="e">
        <f>P259/SUM(P255:P262)</f>
        <v>#DIV/0!</v>
      </c>
      <c r="R259" s="40">
        <f>COUNTIFS(Calc!$P:$P,K252,Calc!$H:$H,K273,Calc!$L:$L,K254,Calc!$N:$N,O259,Calc!$F:$F,P254)</f>
        <v>0</v>
      </c>
      <c r="S259" s="40">
        <f>COUNTIFS(Calc!$P:$P,K252,Calc!$H:$H,K273,Calc!$L:$L,K254,Calc!$N:$N,O259,Calc!$F:$F,P273)</f>
        <v>0</v>
      </c>
    </row>
    <row r="260" spans="1:19" x14ac:dyDescent="0.45">
      <c r="A260" s="136"/>
      <c r="B260" s="136"/>
      <c r="C260" s="136"/>
      <c r="D260" s="136"/>
      <c r="E260" s="40" t="s">
        <v>82</v>
      </c>
      <c r="F260" s="40">
        <f>COUNTIFS(Calc!$P:$P,A252,Calc!$H:$H,A273,Calc!$L:$L,A254,Calc!$N:$N,E260)</f>
        <v>0</v>
      </c>
      <c r="G260" s="41" t="e">
        <f>F260/SUM(F255:F262)</f>
        <v>#DIV/0!</v>
      </c>
      <c r="H260" s="40">
        <f>COUNTIFS(Calc!$P:$P,A252,Calc!$H:$H,A273,Calc!$L:$L,A254,Calc!$N:$N,E260,Calc!$F:$F,F254)</f>
        <v>0</v>
      </c>
      <c r="I260" s="40">
        <f>COUNTIFS(Calc!$P:$P,A252,Calc!$H:$H,A273,Calc!$L:$L,A254,Calc!$N:$N,E260,Calc!$F:$F,F273)</f>
        <v>0</v>
      </c>
      <c r="K260" s="136"/>
      <c r="L260" s="136"/>
      <c r="M260" s="136"/>
      <c r="N260" s="136"/>
      <c r="O260" s="40" t="s">
        <v>82</v>
      </c>
      <c r="P260" s="40">
        <f>COUNTIFS(Calc!$P:$P,K252,Calc!$H:$H,K273,Calc!$L:$L,K254,Calc!$N:$N,O260)</f>
        <v>0</v>
      </c>
      <c r="Q260" s="41" t="e">
        <f>P260/SUM(P255:P262)</f>
        <v>#DIV/0!</v>
      </c>
      <c r="R260" s="40">
        <f>COUNTIFS(Calc!$P:$P,K252,Calc!$H:$H,K273,Calc!$L:$L,K254,Calc!$N:$N,O260,Calc!$F:$F,P254)</f>
        <v>0</v>
      </c>
      <c r="S260" s="40">
        <f>COUNTIFS(Calc!$P:$P,K252,Calc!$H:$H,K273,Calc!$L:$L,K254,Calc!$N:$N,O260,Calc!$F:$F,P273)</f>
        <v>0</v>
      </c>
    </row>
    <row r="261" spans="1:19" x14ac:dyDescent="0.45">
      <c r="A261" s="138" t="s">
        <v>80</v>
      </c>
      <c r="B261" s="138"/>
      <c r="C261" s="138"/>
      <c r="D261" s="138"/>
      <c r="E261" s="40" t="s">
        <v>83</v>
      </c>
      <c r="F261" s="40">
        <f>COUNTIFS(Calc!$P:$P,A252,Calc!$H:$H,A273,Calc!$L:$L,A254,Calc!$N:$N,E261)</f>
        <v>0</v>
      </c>
      <c r="G261" s="41" t="e">
        <f>F261/SUM(F255:F262)</f>
        <v>#DIV/0!</v>
      </c>
      <c r="H261" s="40">
        <f>COUNTIFS(Calc!$P:$P,A252,Calc!$H:$H,A273,Calc!$L:$L,A254,Calc!$N:$N,E261,Calc!$F:$F,F254)</f>
        <v>0</v>
      </c>
      <c r="I261" s="40">
        <f>COUNTIFS(Calc!$P:$P,A252,Calc!$H:$H,A273,Calc!$L:$L,A254,Calc!$N:$N,E261,Calc!$F:$F,F273)</f>
        <v>0</v>
      </c>
      <c r="K261" s="138" t="s">
        <v>80</v>
      </c>
      <c r="L261" s="138"/>
      <c r="M261" s="138"/>
      <c r="N261" s="138"/>
      <c r="O261" s="40" t="s">
        <v>83</v>
      </c>
      <c r="P261" s="40">
        <f>COUNTIFS(Calc!$P:$P,K252,Calc!$H:$H,K273,Calc!$L:$L,K254,Calc!$N:$N,O261)</f>
        <v>0</v>
      </c>
      <c r="Q261" s="41" t="e">
        <f>P261/SUM(P255:P262)</f>
        <v>#DIV/0!</v>
      </c>
      <c r="R261" s="40">
        <f>COUNTIFS(Calc!$P:$P,K252,Calc!$H:$H,K273,Calc!$L:$L,K254,Calc!$N:$N,O261,Calc!$F:$F,P254)</f>
        <v>0</v>
      </c>
      <c r="S261" s="40">
        <f>COUNTIFS(Calc!$P:$P,K252,Calc!$H:$H,K273,Calc!$L:$L,K254,Calc!$N:$N,O261,Calc!$F:$F,P273)</f>
        <v>0</v>
      </c>
    </row>
    <row r="262" spans="1:19" x14ac:dyDescent="0.45">
      <c r="A262" s="133">
        <f>COUNTIFS(Calc!$P:$P,A252,Calc!$H:$H,A273,Calc!$L:$L,A254,Calc!$O:$O,"オーバーミス")</f>
        <v>0</v>
      </c>
      <c r="B262" s="133"/>
      <c r="C262" s="133"/>
      <c r="D262" s="133"/>
      <c r="E262" s="40" t="s">
        <v>107</v>
      </c>
      <c r="F262" s="40">
        <f>COUNTIFS(Calc!$P:$P,A252,Calc!$H:$H,A273,Calc!$L:$L,A254,Calc!$N:$N,E262)</f>
        <v>0</v>
      </c>
      <c r="G262" s="41" t="e">
        <f>F262/SUM(F255:F262)</f>
        <v>#DIV/0!</v>
      </c>
      <c r="H262" s="40">
        <f>COUNTIFS(Calc!$P:$P,A252,Calc!$H:$H,A273,Calc!$L:$L,A254,Calc!$N:$N,E262,Calc!$F:$F,F254)</f>
        <v>0</v>
      </c>
      <c r="I262" s="40">
        <f>COUNTIFS(Calc!$P:$P,A252,Calc!$H:$H,A273,Calc!$L:$L,A254,Calc!$N:$N,E262,Calc!$F:$F,F273)</f>
        <v>0</v>
      </c>
      <c r="K262" s="133">
        <f>COUNTIFS(Calc!$P:$P,K252,Calc!$H:$H,K273,Calc!$L:$L,K254,Calc!$O:$O,"オーバーミス")</f>
        <v>0</v>
      </c>
      <c r="L262" s="133"/>
      <c r="M262" s="133"/>
      <c r="N262" s="133"/>
      <c r="O262" s="40" t="s">
        <v>107</v>
      </c>
      <c r="P262" s="40">
        <f>COUNTIFS(Calc!$P:$P,K252,Calc!$H:$H,K273,Calc!$L:$L,K254,Calc!$N:$N,O262)</f>
        <v>0</v>
      </c>
      <c r="Q262" s="41" t="e">
        <f>P262/SUM(P255:P262)</f>
        <v>#DIV/0!</v>
      </c>
      <c r="R262" s="40">
        <f>COUNTIFS(Calc!$P:$P,K252,Calc!$H:$H,K273,Calc!$L:$L,K254,Calc!$N:$N,O262,Calc!$F:$F,P254)</f>
        <v>0</v>
      </c>
      <c r="S262" s="40">
        <f>COUNTIFS(Calc!$P:$P,K252,Calc!$H:$H,K273,Calc!$L:$L,K254,Calc!$N:$N,O262,Calc!$F:$F,P273)</f>
        <v>0</v>
      </c>
    </row>
    <row r="263" spans="1:19" x14ac:dyDescent="0.45">
      <c r="A263" s="103"/>
      <c r="B263" s="103"/>
      <c r="C263" s="103"/>
      <c r="D263" s="103"/>
      <c r="E263" s="37"/>
      <c r="F263" s="37"/>
      <c r="G263" s="38"/>
      <c r="H263" s="37"/>
      <c r="I263" s="37"/>
      <c r="K263" s="104"/>
      <c r="L263" s="104"/>
      <c r="M263" s="104"/>
      <c r="N263" s="104"/>
      <c r="O263" s="40"/>
      <c r="P263" s="40"/>
      <c r="Q263" s="41"/>
      <c r="R263" s="40"/>
      <c r="S263" s="40"/>
    </row>
    <row r="264" spans="1:19" x14ac:dyDescent="0.45">
      <c r="A264" t="s">
        <v>179</v>
      </c>
      <c r="K264" t="s">
        <v>179</v>
      </c>
    </row>
    <row r="265" spans="1:19" x14ac:dyDescent="0.45">
      <c r="A265" s="187">
        <f>COUNTIFS(Calc!$P:$P,A252,Calc!$H:$H,A273,Calc!$L:$L,A254,Calc!$K:$K,IF(E254="R","F","B"))</f>
        <v>0</v>
      </c>
      <c r="B265" s="187">
        <f>COUNTIFS(Calc!$P:$P,A252,Calc!$H:$H,A273,Calc!$L:$L,A254,Calc!$K:$K,IF(E254="R","FM","BM"))</f>
        <v>0</v>
      </c>
      <c r="C265" s="187">
        <f>COUNTIFS(Calc!$P:$P,A252,Calc!$H:$H,A273,Calc!$L:$L,A254,Calc!$K:$K,IF(E254="R","BM","FM"))</f>
        <v>0</v>
      </c>
      <c r="D265" s="187">
        <f>COUNTIFS(Calc!$P:$P,A252,Calc!$H:$H,A273,Calc!$L:$L,A254,Calc!$K:$K,IF(E254="R","B","F"))</f>
        <v>0</v>
      </c>
      <c r="E265" s="37"/>
      <c r="F265" s="37"/>
      <c r="G265" s="38"/>
      <c r="H265" s="37"/>
      <c r="I265" s="37"/>
      <c r="K265" s="134">
        <f>COUNTIFS(Calc!$P:$P,K252,Calc!$H:$H,K273,Calc!$L:$L,K254,Calc!$K:$K,IF(O254="R","F","B"))</f>
        <v>0</v>
      </c>
      <c r="L265" s="134">
        <f>COUNTIFS(Calc!$P:$P,K252,Calc!$H:$H,K273,Calc!$L:$L,K254,Calc!$K:$K,IF(O254="R","FM","BM"))</f>
        <v>0</v>
      </c>
      <c r="M265" s="134">
        <f>COUNTIFS(Calc!$P:$P,K252,Calc!$H:$H,K273,Calc!$L:$L,K254,Calc!$K:$K,IF(O254="R","BM","FM"))</f>
        <v>0</v>
      </c>
      <c r="N265" s="134">
        <f>COUNTIFS(Calc!$P:$P,K252,Calc!$H:$H,K273,Calc!$L:$L,K254,Calc!$K:$K,IF(O254="R","B","F"))</f>
        <v>0</v>
      </c>
      <c r="O265" s="37"/>
      <c r="P265" s="37"/>
      <c r="Q265" s="38"/>
      <c r="R265" s="37"/>
      <c r="S265" s="37"/>
    </row>
    <row r="266" spans="1:19" x14ac:dyDescent="0.45">
      <c r="A266" s="180"/>
      <c r="B266" s="180"/>
      <c r="C266" s="180"/>
      <c r="D266" s="180"/>
      <c r="E266" s="37"/>
      <c r="F266" s="37"/>
      <c r="G266" s="38"/>
      <c r="H266" s="37"/>
      <c r="I266" s="37"/>
      <c r="K266" s="134"/>
      <c r="L266" s="134"/>
      <c r="M266" s="134"/>
      <c r="N266" s="134"/>
      <c r="O266" s="37"/>
      <c r="P266" s="37"/>
      <c r="Q266" s="38"/>
      <c r="R266" s="37"/>
      <c r="S266" s="37"/>
    </row>
    <row r="267" spans="1:19" ht="18.600000000000001" thickBot="1" x14ac:dyDescent="0.5">
      <c r="A267" s="187">
        <f>COUNTIFS(Calc!$P:$P,A252,Calc!$H:$H,A273,Calc!$L:$L,A254,Calc!$K:$K,IF(E254="R","FS","BS"))</f>
        <v>0</v>
      </c>
      <c r="B267" s="187">
        <f>COUNTIFS(Calc!$P:$P,A252,Calc!$H:$H,A273,Calc!$L:$L,A254,Calc!$K:$K,IF(E254="R","FMS","BMS"))</f>
        <v>0</v>
      </c>
      <c r="C267" s="187">
        <f>COUNTIFS(Calc!$P:$P,A252,Calc!$H:$H,A273,Calc!$L:$L,A254,Calc!$K:$K,IF(E254="R","BMS","FMS"))</f>
        <v>0</v>
      </c>
      <c r="D267" s="187">
        <f>COUNTIFS(Calc!$P:$P,A252,Calc!$H:$H,A273,Calc!$L:$L,A254,Calc!$K:$K,IF(E254="R","BS","FS"))</f>
        <v>0</v>
      </c>
      <c r="E267" s="37"/>
      <c r="F267" s="37"/>
      <c r="G267" s="38"/>
      <c r="H267" s="37"/>
      <c r="I267" s="37"/>
      <c r="K267" s="159">
        <f>COUNTIFS(Calc!$P:$P,K252,Calc!$H:$H,K273,Calc!$L:$L,K254,Calc!$K:$K,IF(O254="R","FS","BS"))</f>
        <v>0</v>
      </c>
      <c r="L267" s="159">
        <f>COUNTIFS(Calc!$P:$P,K252,Calc!$H:$H,K273,Calc!$L:$L,K254,Calc!$K:$K,IF(O254="R","FMS","BMS"))</f>
        <v>0</v>
      </c>
      <c r="M267" s="159">
        <f>COUNTIFS(Calc!$P:$P,K252,Calc!$H:$H,K273,Calc!$L:$L,K254,Calc!$K:$K,IF(O254="R","BMS","FMS"))</f>
        <v>0</v>
      </c>
      <c r="N267" s="159">
        <f>COUNTIFS(Calc!$P:$P,K252,Calc!$H:$H,K273,Calc!$L:$L,K254,Calc!$K:$K,IF(O254="R","BS","FS"))</f>
        <v>0</v>
      </c>
      <c r="O267" s="37"/>
      <c r="P267" s="37"/>
      <c r="Q267" s="38"/>
      <c r="R267" s="37"/>
      <c r="S267" s="37"/>
    </row>
    <row r="268" spans="1:19" ht="19.2" thickTop="1" thickBot="1" x14ac:dyDescent="0.5">
      <c r="A268" s="188"/>
      <c r="B268" s="188"/>
      <c r="C268" s="188"/>
      <c r="D268" s="188"/>
      <c r="E268" s="37"/>
      <c r="F268" s="37"/>
      <c r="G268" s="38"/>
      <c r="H268" s="37"/>
      <c r="I268" s="37"/>
      <c r="K268" s="160"/>
      <c r="L268" s="160"/>
      <c r="M268" s="160"/>
      <c r="N268" s="160"/>
      <c r="O268" s="37"/>
      <c r="P268" s="37"/>
      <c r="Q268" s="38"/>
      <c r="R268" s="37"/>
      <c r="S268" s="37"/>
    </row>
    <row r="269" spans="1:19" ht="19.2" thickTop="1" thickBot="1" x14ac:dyDescent="0.5">
      <c r="A269" s="181">
        <f>COUNTIFS(Calc!$P:$P,A252,Calc!$H:$H,A273,Calc!$L:$L,A254,Calc!$J:$J,IF(E273="R","B","F"))</f>
        <v>0</v>
      </c>
      <c r="B269" s="182"/>
      <c r="C269" s="181">
        <f>COUNTIFS(Calc!$P:$P,A252,Calc!$H:$H,A273,Calc!$L:$L,A254,Calc!$J:$J,IF(E273="R","F","B"))</f>
        <v>0</v>
      </c>
      <c r="D269" s="182"/>
      <c r="E269" s="37"/>
      <c r="F269" s="37"/>
      <c r="G269" s="38"/>
      <c r="H269" s="37" t="s">
        <v>177</v>
      </c>
      <c r="I269" s="37" t="s">
        <v>178</v>
      </c>
      <c r="K269" s="160">
        <f>COUNTIFS(Calc!$P:$P,K252,Calc!$H:$H,K273,Calc!$L:$L,K254,Calc!$J:$J,IF(O273="R","B","F"))</f>
        <v>0</v>
      </c>
      <c r="L269" s="160"/>
      <c r="M269" s="160">
        <f>COUNTIFS(Calc!$P:$P,K252,Calc!$H:$H,K273,Calc!$L:$L,K254,Calc!$J:$J,IF(O273="R","F","B"))</f>
        <v>0</v>
      </c>
      <c r="N269" s="160"/>
      <c r="O269" s="37"/>
      <c r="P269" s="37"/>
      <c r="Q269" s="38"/>
      <c r="R269" s="37" t="s">
        <v>177</v>
      </c>
      <c r="S269" s="37" t="s">
        <v>178</v>
      </c>
    </row>
    <row r="270" spans="1:19" ht="19.2" thickTop="1" thickBot="1" x14ac:dyDescent="0.5">
      <c r="A270" s="183"/>
      <c r="B270" s="184"/>
      <c r="C270" s="183"/>
      <c r="D270" s="184"/>
      <c r="E270" s="37" t="s">
        <v>174</v>
      </c>
      <c r="F270" s="37">
        <f>COUNTIFS(Calc!$P:$P,A252,Calc!$H:$H,A273,Calc!$L:$L,A254,Calc!$I:$I,E270)</f>
        <v>0</v>
      </c>
      <c r="G270" s="38" t="e">
        <f>F270/SUM(F270:F272)</f>
        <v>#DIV/0!</v>
      </c>
      <c r="H270" s="37">
        <f>COUNTIFS(Calc!$P:$P,A252,Calc!$H:$H,A273,Calc!$L:$L,A254,Calc!$I:$I,E270,Calc!$F:$F,F273)</f>
        <v>0</v>
      </c>
      <c r="I270" s="37">
        <f>COUNTIFS(Calc!$P:$P,A252,Calc!$H:$H,A273,Calc!$L:$L,A254,Calc!$I:$I,E270,Calc!$F:$F,F254)</f>
        <v>0</v>
      </c>
      <c r="K270" s="160"/>
      <c r="L270" s="160"/>
      <c r="M270" s="160"/>
      <c r="N270" s="160"/>
      <c r="O270" s="37" t="s">
        <v>174</v>
      </c>
      <c r="P270" s="37">
        <f>COUNTIFS(Calc!$P:$P,K252,Calc!$H:$H,K273,Calc!$L:$L,K254,Calc!$I:$I,O270)</f>
        <v>0</v>
      </c>
      <c r="Q270" s="38" t="e">
        <f>P270/SUM(P270:P272)</f>
        <v>#DIV/0!</v>
      </c>
      <c r="R270" s="37">
        <f>COUNTIFS(Calc!$P:$P,K252,Calc!$H:$H,K273,Calc!$L:$L,K254,Calc!$I:$I,O270,Calc!$F:$F,P273)</f>
        <v>0</v>
      </c>
      <c r="S270" s="37">
        <f>COUNTIFS(Calc!$P:$P,K252,Calc!$H:$H,K273,Calc!$L:$L,K254,Calc!$I:$I,O270,Calc!$F:$F,P254)</f>
        <v>0</v>
      </c>
    </row>
    <row r="271" spans="1:19" ht="19.2" thickTop="1" thickBot="1" x14ac:dyDescent="0.5">
      <c r="A271" s="183"/>
      <c r="B271" s="184"/>
      <c r="C271" s="183"/>
      <c r="D271" s="184"/>
      <c r="E271" s="37" t="s">
        <v>63</v>
      </c>
      <c r="F271" s="37">
        <f>COUNTIFS(Calc!$P:$P,A252,Calc!$H:$H,A273,Calc!$L:$L,A254,Calc!$I:$I,E271)</f>
        <v>0</v>
      </c>
      <c r="G271" s="38" t="e">
        <f>F271/SUM(F270:F272)</f>
        <v>#DIV/0!</v>
      </c>
      <c r="H271" s="37">
        <f>COUNTIFS(Calc!$P:$P,A252,Calc!$H:$H,A273,Calc!$L:$L,A254,Calc!$I:$I,E271,Calc!$F:$F,F273)</f>
        <v>0</v>
      </c>
      <c r="I271" s="37">
        <f>COUNTIFS(Calc!$P:$P,A252,Calc!$H:$H,A273,Calc!$L:$L,A254,Calc!$I:$I,E271,Calc!$F:$F,F254)</f>
        <v>0</v>
      </c>
      <c r="K271" s="160"/>
      <c r="L271" s="160"/>
      <c r="M271" s="160"/>
      <c r="N271" s="160"/>
      <c r="O271" s="37" t="s">
        <v>63</v>
      </c>
      <c r="P271" s="37">
        <f>COUNTIFS(Calc!$P:$P,K252,Calc!$H:$H,K273,Calc!$L:$L,K254,Calc!$I:$I,O271)</f>
        <v>0</v>
      </c>
      <c r="Q271" s="38" t="e">
        <f>P271/SUM(P270:P272)</f>
        <v>#DIV/0!</v>
      </c>
      <c r="R271" s="37">
        <f>COUNTIFS(Calc!$P:$P,K252,Calc!$H:$H,K273,Calc!$L:$L,K254,Calc!$I:$I,O271,Calc!$F:$F,P273)</f>
        <v>0</v>
      </c>
      <c r="S271" s="37">
        <f>COUNTIFS(Calc!$P:$P,K252,Calc!$H:$H,K273,Calc!$L:$L,K254,Calc!$I:$I,O271,Calc!$F:$F,P254)</f>
        <v>0</v>
      </c>
    </row>
    <row r="272" spans="1:19" ht="18.600000000000001" thickTop="1" x14ac:dyDescent="0.45">
      <c r="A272" s="185"/>
      <c r="B272" s="186"/>
      <c r="C272" s="185"/>
      <c r="D272" s="186"/>
      <c r="E272" s="37" t="s">
        <v>61</v>
      </c>
      <c r="F272" s="37">
        <f>COUNTIFS(Calc!$P:$P,A252,Calc!$H:$H,A273,Calc!$L:$L,A254,Calc!$I:$I,E272)</f>
        <v>0</v>
      </c>
      <c r="G272" s="38" t="e">
        <f>F272/SUM(F270:F272)</f>
        <v>#DIV/0!</v>
      </c>
      <c r="H272" s="37">
        <f>COUNTIFS(Calc!$P:$P,A252,Calc!$H:$H,A273,Calc!$L:$L,A254,Calc!$I:$I,E272,Calc!$F:$F,F273)</f>
        <v>0</v>
      </c>
      <c r="I272" s="37">
        <f>COUNTIFS(Calc!$P:$P,A252,Calc!$H:$H,A273,Calc!$L:$L,A254,Calc!$I:$I,E272,Calc!$F:$F,F254)</f>
        <v>0</v>
      </c>
      <c r="K272" s="162"/>
      <c r="L272" s="162"/>
      <c r="M272" s="162"/>
      <c r="N272" s="162"/>
      <c r="O272" s="37" t="s">
        <v>61</v>
      </c>
      <c r="P272" s="37">
        <f>COUNTIFS(Calc!$P:$P,K252,Calc!$H:$H,K273,Calc!$L:$L,K254,Calc!$I:$I,O272)</f>
        <v>0</v>
      </c>
      <c r="Q272" s="38" t="e">
        <f>P272/SUM(P270:P272)</f>
        <v>#DIV/0!</v>
      </c>
      <c r="R272" s="37">
        <f>COUNTIFS(Calc!$P:$P,K252,Calc!$H:$H,K273,Calc!$L:$L,K254,Calc!$I:$I,O272,Calc!$F:$F,P273)</f>
        <v>0</v>
      </c>
      <c r="S272" s="37">
        <f>COUNTIFS(Calc!$P:$P,K252,Calc!$H:$H,K273,Calc!$L:$L,K254,Calc!$I:$I,O272,Calc!$F:$F,P254)</f>
        <v>0</v>
      </c>
    </row>
    <row r="273" spans="1:17" x14ac:dyDescent="0.45">
      <c r="A273" s="155" t="str">
        <f>Main!$D$8</f>
        <v>HIRANO Miu</v>
      </c>
      <c r="B273" s="155"/>
      <c r="C273" s="155"/>
      <c r="D273" s="155"/>
      <c r="E273" s="36" t="str">
        <f>Main!$F$8</f>
        <v>R</v>
      </c>
      <c r="F273" s="36" t="str">
        <f>Main!$B$8</f>
        <v>RedELF</v>
      </c>
      <c r="G273" s="45" t="str">
        <f>Main!$F$10</f>
        <v/>
      </c>
      <c r="H273" s="112"/>
      <c r="K273" s="155" t="str">
        <f>Main!$D$10</f>
        <v/>
      </c>
      <c r="L273" s="156"/>
      <c r="M273" s="156"/>
      <c r="N273" s="156"/>
      <c r="O273" s="36" t="str">
        <f>Main!$F$10</f>
        <v/>
      </c>
      <c r="P273" s="45" t="str">
        <f>Main!$B$8</f>
        <v>RedELF</v>
      </c>
      <c r="Q273" s="45" t="str">
        <f>Main!$F$8</f>
        <v>R</v>
      </c>
    </row>
  </sheetData>
  <mergeCells count="538">
    <mergeCell ref="A273:D273"/>
    <mergeCell ref="K273:N273"/>
    <mergeCell ref="A127:S127"/>
    <mergeCell ref="A130:D130"/>
    <mergeCell ref="K130:N130"/>
    <mergeCell ref="A131:C131"/>
    <mergeCell ref="K131:M131"/>
    <mergeCell ref="A132:C132"/>
    <mergeCell ref="K132:M132"/>
    <mergeCell ref="A267:A268"/>
    <mergeCell ref="B267:B268"/>
    <mergeCell ref="C267:C268"/>
    <mergeCell ref="D267:D268"/>
    <mergeCell ref="K267:K268"/>
    <mergeCell ref="L267:L268"/>
    <mergeCell ref="M267:M268"/>
    <mergeCell ref="N267:N268"/>
    <mergeCell ref="A269:B272"/>
    <mergeCell ref="C269:D272"/>
    <mergeCell ref="K269:L272"/>
    <mergeCell ref="M269:N272"/>
    <mergeCell ref="A262:D262"/>
    <mergeCell ref="K262:N262"/>
    <mergeCell ref="A265:A266"/>
    <mergeCell ref="B265:B266"/>
    <mergeCell ref="C265:C266"/>
    <mergeCell ref="D265:D266"/>
    <mergeCell ref="K265:K266"/>
    <mergeCell ref="L265:L266"/>
    <mergeCell ref="M265:M266"/>
    <mergeCell ref="N265:N266"/>
    <mergeCell ref="A259:A260"/>
    <mergeCell ref="B259:B260"/>
    <mergeCell ref="C259:C260"/>
    <mergeCell ref="D259:D260"/>
    <mergeCell ref="K259:K260"/>
    <mergeCell ref="L259:L260"/>
    <mergeCell ref="M259:M260"/>
    <mergeCell ref="N259:N260"/>
    <mergeCell ref="A261:D261"/>
    <mergeCell ref="K261:N261"/>
    <mergeCell ref="A249:D249"/>
    <mergeCell ref="K249:N249"/>
    <mergeCell ref="A254:D254"/>
    <mergeCell ref="K254:N254"/>
    <mergeCell ref="A255:C255"/>
    <mergeCell ref="K255:M255"/>
    <mergeCell ref="A256:C256"/>
    <mergeCell ref="K256:M256"/>
    <mergeCell ref="A257:A258"/>
    <mergeCell ref="B257:B258"/>
    <mergeCell ref="C257:C258"/>
    <mergeCell ref="D257:D258"/>
    <mergeCell ref="K257:K258"/>
    <mergeCell ref="L257:L258"/>
    <mergeCell ref="M257:M258"/>
    <mergeCell ref="N257:N258"/>
    <mergeCell ref="A243:A244"/>
    <mergeCell ref="B243:B244"/>
    <mergeCell ref="C243:C244"/>
    <mergeCell ref="D243:D244"/>
    <mergeCell ref="K243:K244"/>
    <mergeCell ref="L243:L244"/>
    <mergeCell ref="M243:M244"/>
    <mergeCell ref="N243:N244"/>
    <mergeCell ref="A245:B248"/>
    <mergeCell ref="C245:D248"/>
    <mergeCell ref="K245:L248"/>
    <mergeCell ref="M245:N248"/>
    <mergeCell ref="A237:D237"/>
    <mergeCell ref="K237:N237"/>
    <mergeCell ref="A238:D238"/>
    <mergeCell ref="K238:N238"/>
    <mergeCell ref="A241:A242"/>
    <mergeCell ref="B241:B242"/>
    <mergeCell ref="C241:C242"/>
    <mergeCell ref="D241:D242"/>
    <mergeCell ref="K241:K242"/>
    <mergeCell ref="L241:L242"/>
    <mergeCell ref="M241:M242"/>
    <mergeCell ref="N241:N242"/>
    <mergeCell ref="A233:A234"/>
    <mergeCell ref="B233:B234"/>
    <mergeCell ref="C233:C234"/>
    <mergeCell ref="D233:D234"/>
    <mergeCell ref="K233:K234"/>
    <mergeCell ref="L233:L234"/>
    <mergeCell ref="M233:M234"/>
    <mergeCell ref="N233:N234"/>
    <mergeCell ref="A235:A236"/>
    <mergeCell ref="B235:B236"/>
    <mergeCell ref="C235:C236"/>
    <mergeCell ref="D235:D236"/>
    <mergeCell ref="K235:K236"/>
    <mergeCell ref="L235:L236"/>
    <mergeCell ref="M235:M236"/>
    <mergeCell ref="N235:N236"/>
    <mergeCell ref="A223:D223"/>
    <mergeCell ref="K223:N223"/>
    <mergeCell ref="A227:S227"/>
    <mergeCell ref="A230:D230"/>
    <mergeCell ref="K230:N230"/>
    <mergeCell ref="A231:C231"/>
    <mergeCell ref="K231:M231"/>
    <mergeCell ref="A232:C232"/>
    <mergeCell ref="K232:M232"/>
    <mergeCell ref="A217:A218"/>
    <mergeCell ref="B217:B218"/>
    <mergeCell ref="C217:C218"/>
    <mergeCell ref="D217:D218"/>
    <mergeCell ref="K217:K218"/>
    <mergeCell ref="L217:L218"/>
    <mergeCell ref="M217:M218"/>
    <mergeCell ref="N217:N218"/>
    <mergeCell ref="A219:B222"/>
    <mergeCell ref="C219:D222"/>
    <mergeCell ref="K219:L222"/>
    <mergeCell ref="M219:N222"/>
    <mergeCell ref="A212:D212"/>
    <mergeCell ref="K212:N212"/>
    <mergeCell ref="A215:A216"/>
    <mergeCell ref="B215:B216"/>
    <mergeCell ref="C215:C216"/>
    <mergeCell ref="D215:D216"/>
    <mergeCell ref="K215:K216"/>
    <mergeCell ref="L215:L216"/>
    <mergeCell ref="M215:M216"/>
    <mergeCell ref="N215:N216"/>
    <mergeCell ref="A209:A210"/>
    <mergeCell ref="B209:B210"/>
    <mergeCell ref="C209:C210"/>
    <mergeCell ref="D209:D210"/>
    <mergeCell ref="K209:K210"/>
    <mergeCell ref="L209:L210"/>
    <mergeCell ref="M209:M210"/>
    <mergeCell ref="N209:N210"/>
    <mergeCell ref="A211:D211"/>
    <mergeCell ref="K211:N211"/>
    <mergeCell ref="A199:D199"/>
    <mergeCell ref="K199:N199"/>
    <mergeCell ref="A204:D204"/>
    <mergeCell ref="K204:N204"/>
    <mergeCell ref="A205:C205"/>
    <mergeCell ref="K205:M205"/>
    <mergeCell ref="A206:C206"/>
    <mergeCell ref="K206:M206"/>
    <mergeCell ref="A207:A208"/>
    <mergeCell ref="B207:B208"/>
    <mergeCell ref="C207:C208"/>
    <mergeCell ref="D207:D208"/>
    <mergeCell ref="K207:K208"/>
    <mergeCell ref="L207:L208"/>
    <mergeCell ref="M207:M208"/>
    <mergeCell ref="N207:N208"/>
    <mergeCell ref="A193:A194"/>
    <mergeCell ref="B193:B194"/>
    <mergeCell ref="C193:C194"/>
    <mergeCell ref="D193:D194"/>
    <mergeCell ref="K193:K194"/>
    <mergeCell ref="L193:L194"/>
    <mergeCell ref="M193:M194"/>
    <mergeCell ref="N193:N194"/>
    <mergeCell ref="A195:B198"/>
    <mergeCell ref="C195:D198"/>
    <mergeCell ref="K195:L198"/>
    <mergeCell ref="M195:N198"/>
    <mergeCell ref="A187:D187"/>
    <mergeCell ref="K187:N187"/>
    <mergeCell ref="A188:D188"/>
    <mergeCell ref="K188:N188"/>
    <mergeCell ref="A191:A192"/>
    <mergeCell ref="B191:B192"/>
    <mergeCell ref="C191:C192"/>
    <mergeCell ref="D191:D192"/>
    <mergeCell ref="K191:K192"/>
    <mergeCell ref="L191:L192"/>
    <mergeCell ref="M191:M192"/>
    <mergeCell ref="N191:N192"/>
    <mergeCell ref="A183:A184"/>
    <mergeCell ref="B183:B184"/>
    <mergeCell ref="C183:C184"/>
    <mergeCell ref="D183:D184"/>
    <mergeCell ref="K183:K184"/>
    <mergeCell ref="L183:L184"/>
    <mergeCell ref="M183:M184"/>
    <mergeCell ref="N183:N184"/>
    <mergeCell ref="A185:A186"/>
    <mergeCell ref="B185:B186"/>
    <mergeCell ref="C185:C186"/>
    <mergeCell ref="D185:D186"/>
    <mergeCell ref="K185:K186"/>
    <mergeCell ref="L185:L186"/>
    <mergeCell ref="M185:M186"/>
    <mergeCell ref="N185:N186"/>
    <mergeCell ref="A173:D173"/>
    <mergeCell ref="K173:N173"/>
    <mergeCell ref="A177:S177"/>
    <mergeCell ref="A180:D180"/>
    <mergeCell ref="K180:N180"/>
    <mergeCell ref="A181:C181"/>
    <mergeCell ref="K181:M181"/>
    <mergeCell ref="A182:C182"/>
    <mergeCell ref="K182:M182"/>
    <mergeCell ref="A169:B172"/>
    <mergeCell ref="C169:D172"/>
    <mergeCell ref="K169:L172"/>
    <mergeCell ref="M169:N172"/>
    <mergeCell ref="A167:A168"/>
    <mergeCell ref="B167:B168"/>
    <mergeCell ref="C167:C168"/>
    <mergeCell ref="D167:D168"/>
    <mergeCell ref="K167:K168"/>
    <mergeCell ref="L167:L168"/>
    <mergeCell ref="M167:M168"/>
    <mergeCell ref="N167:N168"/>
    <mergeCell ref="A133:A134"/>
    <mergeCell ref="B133:B134"/>
    <mergeCell ref="C133:C134"/>
    <mergeCell ref="D133:D134"/>
    <mergeCell ref="K133:K134"/>
    <mergeCell ref="L133:L134"/>
    <mergeCell ref="M133:M134"/>
    <mergeCell ref="N133:N134"/>
    <mergeCell ref="A135:A136"/>
    <mergeCell ref="B135:B136"/>
    <mergeCell ref="C135:C136"/>
    <mergeCell ref="D135:D136"/>
    <mergeCell ref="K135:K136"/>
    <mergeCell ref="L135:L136"/>
    <mergeCell ref="M135:M136"/>
    <mergeCell ref="N135:N136"/>
    <mergeCell ref="A123:D123"/>
    <mergeCell ref="K123:N123"/>
    <mergeCell ref="A117:A118"/>
    <mergeCell ref="B117:B118"/>
    <mergeCell ref="C117:C118"/>
    <mergeCell ref="D117:D118"/>
    <mergeCell ref="K117:K118"/>
    <mergeCell ref="L117:L118"/>
    <mergeCell ref="M117:M118"/>
    <mergeCell ref="N117:N118"/>
    <mergeCell ref="A119:B122"/>
    <mergeCell ref="C119:D122"/>
    <mergeCell ref="K119:L122"/>
    <mergeCell ref="M119:N122"/>
    <mergeCell ref="A112:D112"/>
    <mergeCell ref="K112:N112"/>
    <mergeCell ref="A115:A116"/>
    <mergeCell ref="B115:B116"/>
    <mergeCell ref="C115:C116"/>
    <mergeCell ref="D115:D116"/>
    <mergeCell ref="K115:K116"/>
    <mergeCell ref="L115:L116"/>
    <mergeCell ref="M115:M116"/>
    <mergeCell ref="N115:N116"/>
    <mergeCell ref="A109:A110"/>
    <mergeCell ref="B109:B110"/>
    <mergeCell ref="C109:C110"/>
    <mergeCell ref="D109:D110"/>
    <mergeCell ref="K109:K110"/>
    <mergeCell ref="L109:L110"/>
    <mergeCell ref="M109:M110"/>
    <mergeCell ref="N109:N110"/>
    <mergeCell ref="A111:D111"/>
    <mergeCell ref="K111:N111"/>
    <mergeCell ref="A99:D99"/>
    <mergeCell ref="K99:N99"/>
    <mergeCell ref="A104:D104"/>
    <mergeCell ref="K104:N104"/>
    <mergeCell ref="A105:C105"/>
    <mergeCell ref="K105:M105"/>
    <mergeCell ref="A106:C106"/>
    <mergeCell ref="K106:M106"/>
    <mergeCell ref="A107:A108"/>
    <mergeCell ref="B107:B108"/>
    <mergeCell ref="C107:C108"/>
    <mergeCell ref="D107:D108"/>
    <mergeCell ref="K107:K108"/>
    <mergeCell ref="L107:L108"/>
    <mergeCell ref="M107:M108"/>
    <mergeCell ref="N107:N108"/>
    <mergeCell ref="A93:A94"/>
    <mergeCell ref="B93:B94"/>
    <mergeCell ref="C93:C94"/>
    <mergeCell ref="D93:D94"/>
    <mergeCell ref="K93:K94"/>
    <mergeCell ref="L93:L94"/>
    <mergeCell ref="M93:M94"/>
    <mergeCell ref="N93:N94"/>
    <mergeCell ref="A95:B98"/>
    <mergeCell ref="C95:D98"/>
    <mergeCell ref="K95:L98"/>
    <mergeCell ref="M95:N98"/>
    <mergeCell ref="A88:D88"/>
    <mergeCell ref="K88:N88"/>
    <mergeCell ref="A91:A92"/>
    <mergeCell ref="B91:B92"/>
    <mergeCell ref="C91:C92"/>
    <mergeCell ref="D91:D92"/>
    <mergeCell ref="K91:K92"/>
    <mergeCell ref="L91:L92"/>
    <mergeCell ref="M91:M92"/>
    <mergeCell ref="N91:N92"/>
    <mergeCell ref="A85:A86"/>
    <mergeCell ref="B85:B86"/>
    <mergeCell ref="C85:C86"/>
    <mergeCell ref="D85:D86"/>
    <mergeCell ref="K85:K86"/>
    <mergeCell ref="L85:L86"/>
    <mergeCell ref="M85:M86"/>
    <mergeCell ref="N85:N86"/>
    <mergeCell ref="A87:D87"/>
    <mergeCell ref="K87:N87"/>
    <mergeCell ref="A77:S77"/>
    <mergeCell ref="A80:D80"/>
    <mergeCell ref="K80:N80"/>
    <mergeCell ref="A81:C81"/>
    <mergeCell ref="K81:M81"/>
    <mergeCell ref="A82:C82"/>
    <mergeCell ref="K82:M82"/>
    <mergeCell ref="A83:A84"/>
    <mergeCell ref="B83:B84"/>
    <mergeCell ref="C83:C84"/>
    <mergeCell ref="D83:D84"/>
    <mergeCell ref="K83:K84"/>
    <mergeCell ref="L83:L84"/>
    <mergeCell ref="M83:M84"/>
    <mergeCell ref="N83:N84"/>
    <mergeCell ref="A27:S27"/>
    <mergeCell ref="A165:A166"/>
    <mergeCell ref="B165:B166"/>
    <mergeCell ref="C165:C166"/>
    <mergeCell ref="D165:D166"/>
    <mergeCell ref="K165:K166"/>
    <mergeCell ref="L165:L166"/>
    <mergeCell ref="M165:M166"/>
    <mergeCell ref="N165:N166"/>
    <mergeCell ref="A157:A158"/>
    <mergeCell ref="B157:B158"/>
    <mergeCell ref="C157:C158"/>
    <mergeCell ref="D157:D158"/>
    <mergeCell ref="K157:K158"/>
    <mergeCell ref="L157:L158"/>
    <mergeCell ref="M157:M158"/>
    <mergeCell ref="N157:N158"/>
    <mergeCell ref="A143:A144"/>
    <mergeCell ref="B143:B144"/>
    <mergeCell ref="C143:C144"/>
    <mergeCell ref="D143:D144"/>
    <mergeCell ref="K143:K144"/>
    <mergeCell ref="L143:L144"/>
    <mergeCell ref="M143:M144"/>
    <mergeCell ref="K159:K160"/>
    <mergeCell ref="L159:L160"/>
    <mergeCell ref="M159:M160"/>
    <mergeCell ref="N159:N160"/>
    <mergeCell ref="A161:D161"/>
    <mergeCell ref="K161:N161"/>
    <mergeCell ref="A162:D162"/>
    <mergeCell ref="K162:N162"/>
    <mergeCell ref="N143:N144"/>
    <mergeCell ref="A145:B148"/>
    <mergeCell ref="C145:D148"/>
    <mergeCell ref="A149:D149"/>
    <mergeCell ref="K149:N149"/>
    <mergeCell ref="A154:D154"/>
    <mergeCell ref="K154:N154"/>
    <mergeCell ref="A155:C155"/>
    <mergeCell ref="K155:M155"/>
    <mergeCell ref="A156:C156"/>
    <mergeCell ref="K156:M156"/>
    <mergeCell ref="A159:A160"/>
    <mergeCell ref="B159:B160"/>
    <mergeCell ref="C159:C160"/>
    <mergeCell ref="D159:D160"/>
    <mergeCell ref="A141:A142"/>
    <mergeCell ref="B141:B142"/>
    <mergeCell ref="C141:C142"/>
    <mergeCell ref="D141:D142"/>
    <mergeCell ref="K141:K142"/>
    <mergeCell ref="L141:L142"/>
    <mergeCell ref="M141:M142"/>
    <mergeCell ref="N141:N142"/>
    <mergeCell ref="K145:L148"/>
    <mergeCell ref="M145:N148"/>
    <mergeCell ref="A137:D137"/>
    <mergeCell ref="K137:N137"/>
    <mergeCell ref="A138:D138"/>
    <mergeCell ref="K138:N138"/>
    <mergeCell ref="K69:L72"/>
    <mergeCell ref="M69:N72"/>
    <mergeCell ref="A73:D73"/>
    <mergeCell ref="K73:N73"/>
    <mergeCell ref="M65:M66"/>
    <mergeCell ref="N65:N66"/>
    <mergeCell ref="A67:A68"/>
    <mergeCell ref="B67:B68"/>
    <mergeCell ref="C67:C68"/>
    <mergeCell ref="D67:D68"/>
    <mergeCell ref="K67:K68"/>
    <mergeCell ref="L67:L68"/>
    <mergeCell ref="M67:M68"/>
    <mergeCell ref="N67:N68"/>
    <mergeCell ref="A65:A66"/>
    <mergeCell ref="B65:B66"/>
    <mergeCell ref="C65:C66"/>
    <mergeCell ref="D65:D66"/>
    <mergeCell ref="K65:K66"/>
    <mergeCell ref="L65:L66"/>
    <mergeCell ref="A69:B72"/>
    <mergeCell ref="C69:D72"/>
    <mergeCell ref="M59:M60"/>
    <mergeCell ref="N59:N60"/>
    <mergeCell ref="A61:D61"/>
    <mergeCell ref="K61:N61"/>
    <mergeCell ref="A62:D62"/>
    <mergeCell ref="K62:N62"/>
    <mergeCell ref="A59:A60"/>
    <mergeCell ref="B59:B60"/>
    <mergeCell ref="C59:C60"/>
    <mergeCell ref="D59:D60"/>
    <mergeCell ref="K59:K60"/>
    <mergeCell ref="L59:L60"/>
    <mergeCell ref="K38:N38"/>
    <mergeCell ref="A38:D38"/>
    <mergeCell ref="A54:D54"/>
    <mergeCell ref="K54:N54"/>
    <mergeCell ref="A57:A58"/>
    <mergeCell ref="B57:B58"/>
    <mergeCell ref="C57:C58"/>
    <mergeCell ref="D57:D58"/>
    <mergeCell ref="K57:K58"/>
    <mergeCell ref="L57:L58"/>
    <mergeCell ref="M57:M58"/>
    <mergeCell ref="N57:N58"/>
    <mergeCell ref="A55:C55"/>
    <mergeCell ref="A56:C56"/>
    <mergeCell ref="K55:M55"/>
    <mergeCell ref="K56:M56"/>
    <mergeCell ref="N41:N42"/>
    <mergeCell ref="M41:M42"/>
    <mergeCell ref="L41:L42"/>
    <mergeCell ref="K41:K42"/>
    <mergeCell ref="D41:D42"/>
    <mergeCell ref="C41:C42"/>
    <mergeCell ref="B41:B42"/>
    <mergeCell ref="A41:A42"/>
    <mergeCell ref="A35:A36"/>
    <mergeCell ref="B35:B36"/>
    <mergeCell ref="C35:C36"/>
    <mergeCell ref="D35:D36"/>
    <mergeCell ref="A37:D37"/>
    <mergeCell ref="K35:K36"/>
    <mergeCell ref="L35:L36"/>
    <mergeCell ref="M35:M36"/>
    <mergeCell ref="N35:N36"/>
    <mergeCell ref="K37:N37"/>
    <mergeCell ref="K30:N30"/>
    <mergeCell ref="A31:C31"/>
    <mergeCell ref="A32:C32"/>
    <mergeCell ref="K31:M31"/>
    <mergeCell ref="K32:M32"/>
    <mergeCell ref="K33:K34"/>
    <mergeCell ref="L33:L34"/>
    <mergeCell ref="M33:M34"/>
    <mergeCell ref="N33:N34"/>
    <mergeCell ref="A30:D30"/>
    <mergeCell ref="A33:A34"/>
    <mergeCell ref="B33:B34"/>
    <mergeCell ref="C33:C34"/>
    <mergeCell ref="D33:D34"/>
    <mergeCell ref="A1:S1"/>
    <mergeCell ref="A4:D4"/>
    <mergeCell ref="K4:N4"/>
    <mergeCell ref="A5:C5"/>
    <mergeCell ref="K5:M5"/>
    <mergeCell ref="A6:C6"/>
    <mergeCell ref="K6:M6"/>
    <mergeCell ref="A7:A8"/>
    <mergeCell ref="B7:B8"/>
    <mergeCell ref="C7:C8"/>
    <mergeCell ref="D7:D8"/>
    <mergeCell ref="K7:K8"/>
    <mergeCell ref="L7:L8"/>
    <mergeCell ref="M7:M8"/>
    <mergeCell ref="N7:N8"/>
    <mergeCell ref="A12:D12"/>
    <mergeCell ref="K12:N12"/>
    <mergeCell ref="A22:D22"/>
    <mergeCell ref="K22:N22"/>
    <mergeCell ref="A23:D23"/>
    <mergeCell ref="K23:N23"/>
    <mergeCell ref="A9:A10"/>
    <mergeCell ref="B9:B10"/>
    <mergeCell ref="C9:C10"/>
    <mergeCell ref="D9:D10"/>
    <mergeCell ref="K9:K10"/>
    <mergeCell ref="L9:L10"/>
    <mergeCell ref="M9:M10"/>
    <mergeCell ref="N9:N10"/>
    <mergeCell ref="A11:D11"/>
    <mergeCell ref="K11:N11"/>
    <mergeCell ref="A15:D15"/>
    <mergeCell ref="K15:N15"/>
    <mergeCell ref="A16:C16"/>
    <mergeCell ref="K16:M16"/>
    <mergeCell ref="A17:C17"/>
    <mergeCell ref="K17:M17"/>
    <mergeCell ref="A18:A19"/>
    <mergeCell ref="B18:B19"/>
    <mergeCell ref="D43:D44"/>
    <mergeCell ref="C43:C44"/>
    <mergeCell ref="K49:N49"/>
    <mergeCell ref="A49:D49"/>
    <mergeCell ref="M45:N48"/>
    <mergeCell ref="K45:L48"/>
    <mergeCell ref="C45:D48"/>
    <mergeCell ref="A45:B48"/>
    <mergeCell ref="N43:N44"/>
    <mergeCell ref="M43:M44"/>
    <mergeCell ref="L43:L44"/>
    <mergeCell ref="K43:K44"/>
    <mergeCell ref="B43:B44"/>
    <mergeCell ref="A43:A44"/>
    <mergeCell ref="C18:C19"/>
    <mergeCell ref="D18:D19"/>
    <mergeCell ref="K18:K19"/>
    <mergeCell ref="L18:L19"/>
    <mergeCell ref="M18:M19"/>
    <mergeCell ref="N18:N19"/>
    <mergeCell ref="A20:A21"/>
    <mergeCell ref="B20:B21"/>
    <mergeCell ref="C20:C21"/>
    <mergeCell ref="D20:D21"/>
    <mergeCell ref="K20:K21"/>
    <mergeCell ref="L20:L21"/>
    <mergeCell ref="M20:M21"/>
    <mergeCell ref="N20:N21"/>
  </mergeCells>
  <phoneticPr fontId="5"/>
  <pageMargins left="0.39370078740157483" right="0.31496062992125984" top="0.39370078740157483" bottom="0.31496062992125984" header="0" footer="0"/>
  <pageSetup paperSize="9" scale="70" fitToHeight="0" orientation="portrait" horizontalDpi="0" verticalDpi="0" r:id="rId1"/>
  <rowBreaks count="5" manualBreakCount="5">
    <brk id="26" max="16383" man="1"/>
    <brk id="76" max="16383" man="1"/>
    <brk id="126" max="16383" man="1"/>
    <brk id="176" max="16383" man="1"/>
    <brk id="226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7B137-154E-47A7-A27A-D1967F471D4E}">
  <sheetPr codeName="wsTeam"/>
  <dimension ref="A1:A6"/>
  <sheetViews>
    <sheetView tabSelected="1" workbookViewId="0">
      <pane ySplit="1" topLeftCell="A2" activePane="bottomLeft" state="frozen"/>
      <selection pane="bottomLeft" activeCell="L17" sqref="L17"/>
    </sheetView>
  </sheetViews>
  <sheetFormatPr defaultRowHeight="18" x14ac:dyDescent="0.45"/>
  <cols>
    <col min="1" max="1" width="20.59765625" customWidth="1"/>
  </cols>
  <sheetData>
    <row r="1" spans="1:1" s="6" customFormat="1" x14ac:dyDescent="0.45">
      <c r="A1" s="7" t="s">
        <v>3</v>
      </c>
    </row>
    <row r="2" spans="1:1" x14ac:dyDescent="0.45">
      <c r="A2" t="s">
        <v>10</v>
      </c>
    </row>
    <row r="3" spans="1:1" x14ac:dyDescent="0.45">
      <c r="A3" t="s">
        <v>11</v>
      </c>
    </row>
    <row r="4" spans="1:1" x14ac:dyDescent="0.45">
      <c r="A4" t="s">
        <v>12</v>
      </c>
    </row>
    <row r="5" spans="1:1" x14ac:dyDescent="0.45">
      <c r="A5" t="s">
        <v>13</v>
      </c>
    </row>
    <row r="6" spans="1:1" x14ac:dyDescent="0.45">
      <c r="A6" t="s">
        <v>150</v>
      </c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99CED-DE65-4961-8196-2C640D1B9AB0}">
  <sheetPr codeName="wsPlayer"/>
  <dimension ref="A1:C45"/>
  <sheetViews>
    <sheetView workbookViewId="0">
      <pane ySplit="1" topLeftCell="A8" activePane="bottomLeft" state="frozen"/>
      <selection pane="bottomLeft" activeCell="D41" sqref="D41"/>
    </sheetView>
  </sheetViews>
  <sheetFormatPr defaultColWidth="15.59765625" defaultRowHeight="18" x14ac:dyDescent="0.45"/>
  <cols>
    <col min="1" max="2" width="20.59765625" customWidth="1"/>
    <col min="3" max="3" width="6.59765625" style="2" customWidth="1"/>
  </cols>
  <sheetData>
    <row r="1" spans="1:3" s="6" customFormat="1" x14ac:dyDescent="0.45">
      <c r="A1" s="7" t="s">
        <v>3</v>
      </c>
      <c r="B1" s="7" t="s">
        <v>4</v>
      </c>
      <c r="C1" s="7" t="s">
        <v>9</v>
      </c>
    </row>
    <row r="2" spans="1:3" x14ac:dyDescent="0.45">
      <c r="A2" t="s">
        <v>5</v>
      </c>
      <c r="B2" t="s">
        <v>18</v>
      </c>
      <c r="C2" s="2" t="s">
        <v>33</v>
      </c>
    </row>
    <row r="3" spans="1:3" x14ac:dyDescent="0.45">
      <c r="A3" t="s">
        <v>5</v>
      </c>
      <c r="B3" t="s">
        <v>19</v>
      </c>
      <c r="C3" s="2" t="s">
        <v>33</v>
      </c>
    </row>
    <row r="4" spans="1:3" x14ac:dyDescent="0.45">
      <c r="A4" t="s">
        <v>5</v>
      </c>
      <c r="B4" t="s">
        <v>20</v>
      </c>
      <c r="C4" s="2" t="s">
        <v>34</v>
      </c>
    </row>
    <row r="5" spans="1:3" x14ac:dyDescent="0.45">
      <c r="A5" t="s">
        <v>5</v>
      </c>
      <c r="B5" t="s">
        <v>21</v>
      </c>
      <c r="C5" s="2" t="s">
        <v>33</v>
      </c>
    </row>
    <row r="6" spans="1:3" x14ac:dyDescent="0.45">
      <c r="A6" t="s">
        <v>5</v>
      </c>
      <c r="B6" t="s">
        <v>182</v>
      </c>
      <c r="C6" s="2" t="s">
        <v>33</v>
      </c>
    </row>
    <row r="7" spans="1:3" x14ac:dyDescent="0.45">
      <c r="A7" t="s">
        <v>5</v>
      </c>
      <c r="B7" t="s">
        <v>183</v>
      </c>
      <c r="C7" s="2" t="s">
        <v>33</v>
      </c>
    </row>
    <row r="8" spans="1:3" x14ac:dyDescent="0.45">
      <c r="A8" t="s">
        <v>5</v>
      </c>
      <c r="B8" t="s">
        <v>184</v>
      </c>
      <c r="C8" s="2" t="s">
        <v>33</v>
      </c>
    </row>
    <row r="9" spans="1:3" x14ac:dyDescent="0.45">
      <c r="A9" t="s">
        <v>5</v>
      </c>
      <c r="B9" t="s">
        <v>185</v>
      </c>
      <c r="C9" s="2" t="s">
        <v>33</v>
      </c>
    </row>
    <row r="10" spans="1:3" x14ac:dyDescent="0.45">
      <c r="A10" t="s">
        <v>5</v>
      </c>
      <c r="B10" t="s">
        <v>186</v>
      </c>
      <c r="C10" s="2" t="s">
        <v>33</v>
      </c>
    </row>
    <row r="11" spans="1:3" x14ac:dyDescent="0.45">
      <c r="A11" t="s">
        <v>6</v>
      </c>
      <c r="B11" t="s">
        <v>23</v>
      </c>
      <c r="C11" s="2" t="s">
        <v>33</v>
      </c>
    </row>
    <row r="12" spans="1:3" x14ac:dyDescent="0.45">
      <c r="A12" t="s">
        <v>6</v>
      </c>
      <c r="B12" t="s">
        <v>24</v>
      </c>
      <c r="C12" s="2" t="s">
        <v>33</v>
      </c>
    </row>
    <row r="13" spans="1:3" x14ac:dyDescent="0.45">
      <c r="A13" t="s">
        <v>6</v>
      </c>
      <c r="B13" t="s">
        <v>187</v>
      </c>
      <c r="C13" s="2" t="s">
        <v>33</v>
      </c>
    </row>
    <row r="14" spans="1:3" x14ac:dyDescent="0.45">
      <c r="A14" t="s">
        <v>6</v>
      </c>
      <c r="B14" t="s">
        <v>188</v>
      </c>
      <c r="C14" s="2" t="s">
        <v>33</v>
      </c>
    </row>
    <row r="15" spans="1:3" x14ac:dyDescent="0.45">
      <c r="A15" t="s">
        <v>6</v>
      </c>
      <c r="B15" t="s">
        <v>189</v>
      </c>
      <c r="C15" s="2" t="s">
        <v>33</v>
      </c>
    </row>
    <row r="16" spans="1:3" x14ac:dyDescent="0.45">
      <c r="A16" t="s">
        <v>6</v>
      </c>
      <c r="B16" t="s">
        <v>190</v>
      </c>
      <c r="C16" s="2" t="s">
        <v>34</v>
      </c>
    </row>
    <row r="17" spans="1:3" x14ac:dyDescent="0.45">
      <c r="A17" t="s">
        <v>6</v>
      </c>
      <c r="B17" t="s">
        <v>25</v>
      </c>
      <c r="C17" s="2" t="s">
        <v>33</v>
      </c>
    </row>
    <row r="18" spans="1:3" x14ac:dyDescent="0.45">
      <c r="A18" t="s">
        <v>6</v>
      </c>
      <c r="B18" t="s">
        <v>26</v>
      </c>
      <c r="C18" s="2" t="s">
        <v>34</v>
      </c>
    </row>
    <row r="19" spans="1:3" x14ac:dyDescent="0.45">
      <c r="A19" t="s">
        <v>6</v>
      </c>
      <c r="B19" t="s">
        <v>27</v>
      </c>
      <c r="C19" s="2" t="s">
        <v>34</v>
      </c>
    </row>
    <row r="20" spans="1:3" x14ac:dyDescent="0.45">
      <c r="A20" t="s">
        <v>7</v>
      </c>
      <c r="B20" t="s">
        <v>191</v>
      </c>
      <c r="C20" s="2" t="s">
        <v>33</v>
      </c>
    </row>
    <row r="21" spans="1:3" x14ac:dyDescent="0.45">
      <c r="A21" t="s">
        <v>7</v>
      </c>
      <c r="B21" t="s">
        <v>28</v>
      </c>
      <c r="C21" s="2" t="s">
        <v>33</v>
      </c>
    </row>
    <row r="22" spans="1:3" x14ac:dyDescent="0.45">
      <c r="A22" t="s">
        <v>7</v>
      </c>
      <c r="B22" t="s">
        <v>29</v>
      </c>
      <c r="C22" s="2" t="s">
        <v>34</v>
      </c>
    </row>
    <row r="23" spans="1:3" x14ac:dyDescent="0.45">
      <c r="A23" t="s">
        <v>7</v>
      </c>
      <c r="B23" t="s">
        <v>192</v>
      </c>
      <c r="C23" s="2" t="s">
        <v>33</v>
      </c>
    </row>
    <row r="24" spans="1:3" x14ac:dyDescent="0.45">
      <c r="A24" t="s">
        <v>7</v>
      </c>
      <c r="B24" t="s">
        <v>193</v>
      </c>
      <c r="C24" s="2" t="s">
        <v>34</v>
      </c>
    </row>
    <row r="25" spans="1:3" x14ac:dyDescent="0.45">
      <c r="A25" t="s">
        <v>7</v>
      </c>
      <c r="B25" t="s">
        <v>30</v>
      </c>
      <c r="C25" s="2" t="s">
        <v>33</v>
      </c>
    </row>
    <row r="26" spans="1:3" x14ac:dyDescent="0.45">
      <c r="A26" t="s">
        <v>7</v>
      </c>
      <c r="B26" t="s">
        <v>22</v>
      </c>
      <c r="C26" s="2" t="s">
        <v>34</v>
      </c>
    </row>
    <row r="27" spans="1:3" x14ac:dyDescent="0.45">
      <c r="A27" t="s">
        <v>7</v>
      </c>
      <c r="B27" t="s">
        <v>31</v>
      </c>
      <c r="C27" s="2" t="s">
        <v>33</v>
      </c>
    </row>
    <row r="28" spans="1:3" x14ac:dyDescent="0.45">
      <c r="A28" t="s">
        <v>7</v>
      </c>
      <c r="B28" t="s">
        <v>194</v>
      </c>
      <c r="C28" s="2" t="s">
        <v>33</v>
      </c>
    </row>
    <row r="29" spans="1:3" x14ac:dyDescent="0.45">
      <c r="A29" t="s">
        <v>7</v>
      </c>
      <c r="B29" t="s">
        <v>195</v>
      </c>
      <c r="C29" s="2" t="s">
        <v>34</v>
      </c>
    </row>
    <row r="30" spans="1:3" x14ac:dyDescent="0.45">
      <c r="A30" t="s">
        <v>7</v>
      </c>
      <c r="B30" t="s">
        <v>196</v>
      </c>
      <c r="C30" s="2" t="s">
        <v>33</v>
      </c>
    </row>
    <row r="31" spans="1:3" x14ac:dyDescent="0.45">
      <c r="A31" t="s">
        <v>7</v>
      </c>
      <c r="B31" t="s">
        <v>197</v>
      </c>
      <c r="C31" s="2" t="s">
        <v>33</v>
      </c>
    </row>
    <row r="32" spans="1:3" x14ac:dyDescent="0.45">
      <c r="A32" t="s">
        <v>8</v>
      </c>
      <c r="B32" t="s">
        <v>32</v>
      </c>
      <c r="C32" s="2" t="s">
        <v>33</v>
      </c>
    </row>
    <row r="33" spans="1:3" x14ac:dyDescent="0.45">
      <c r="A33" t="s">
        <v>8</v>
      </c>
      <c r="B33" t="s">
        <v>198</v>
      </c>
      <c r="C33" s="2" t="s">
        <v>33</v>
      </c>
    </row>
    <row r="34" spans="1:3" x14ac:dyDescent="0.45">
      <c r="A34" t="s">
        <v>8</v>
      </c>
      <c r="B34" t="s">
        <v>199</v>
      </c>
      <c r="C34" s="2" t="s">
        <v>33</v>
      </c>
    </row>
    <row r="35" spans="1:3" x14ac:dyDescent="0.45">
      <c r="A35" t="s">
        <v>8</v>
      </c>
      <c r="B35" t="s">
        <v>200</v>
      </c>
      <c r="C35" s="2" t="s">
        <v>34</v>
      </c>
    </row>
    <row r="36" spans="1:3" x14ac:dyDescent="0.45">
      <c r="A36" t="s">
        <v>8</v>
      </c>
      <c r="B36" t="s">
        <v>201</v>
      </c>
      <c r="C36" s="2" t="s">
        <v>33</v>
      </c>
    </row>
    <row r="37" spans="1:3" x14ac:dyDescent="0.45">
      <c r="A37" t="s">
        <v>8</v>
      </c>
      <c r="B37" t="s">
        <v>202</v>
      </c>
      <c r="C37" s="2" t="s">
        <v>33</v>
      </c>
    </row>
    <row r="38" spans="1:3" x14ac:dyDescent="0.45">
      <c r="A38" t="s">
        <v>8</v>
      </c>
      <c r="B38" t="s">
        <v>203</v>
      </c>
      <c r="C38" s="2" t="s">
        <v>33</v>
      </c>
    </row>
    <row r="39" spans="1:3" x14ac:dyDescent="0.45">
      <c r="A39" t="s">
        <v>8</v>
      </c>
      <c r="B39" t="s">
        <v>204</v>
      </c>
      <c r="C39" s="2" t="s">
        <v>33</v>
      </c>
    </row>
    <row r="40" spans="1:3" x14ac:dyDescent="0.45">
      <c r="A40" t="s">
        <v>149</v>
      </c>
      <c r="B40" t="s">
        <v>205</v>
      </c>
      <c r="C40" s="2" t="s">
        <v>33</v>
      </c>
    </row>
    <row r="41" spans="1:3" x14ac:dyDescent="0.45">
      <c r="A41" t="s">
        <v>149</v>
      </c>
      <c r="B41" t="s">
        <v>206</v>
      </c>
      <c r="C41" s="2" t="s">
        <v>33</v>
      </c>
    </row>
    <row r="42" spans="1:3" x14ac:dyDescent="0.45">
      <c r="A42" t="s">
        <v>149</v>
      </c>
      <c r="B42" t="s">
        <v>181</v>
      </c>
      <c r="C42" s="2" t="s">
        <v>33</v>
      </c>
    </row>
    <row r="43" spans="1:3" x14ac:dyDescent="0.45">
      <c r="A43" t="s">
        <v>149</v>
      </c>
      <c r="B43" t="s">
        <v>207</v>
      </c>
      <c r="C43" s="2" t="s">
        <v>33</v>
      </c>
    </row>
    <row r="44" spans="1:3" x14ac:dyDescent="0.45">
      <c r="A44" t="s">
        <v>149</v>
      </c>
      <c r="B44" t="s">
        <v>208</v>
      </c>
      <c r="C44" s="2" t="s">
        <v>33</v>
      </c>
    </row>
    <row r="45" spans="1:3" x14ac:dyDescent="0.45">
      <c r="A45" t="s">
        <v>149</v>
      </c>
      <c r="B45" t="s">
        <v>209</v>
      </c>
      <c r="C45" s="2" t="s">
        <v>33</v>
      </c>
    </row>
  </sheetData>
  <phoneticPr fontId="5"/>
  <dataValidations count="1">
    <dataValidation type="list" allowBlank="1" showInputMessage="1" showErrorMessage="1" sqref="C1:C1048576" xr:uid="{ADF9972C-10A3-45D6-9D70-E8A468072F33}">
      <formula1>"R,L"</formula1>
    </dataValidation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F85B25E-C164-4E09-A08F-5BD353A6CFF8}">
          <x14:formula1>
            <xm:f>OFFSET(所属マスタ!$A$2, 0, 0, COUNTA(所属マスタ!$A:$A) -1, 1)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3AB0C-9931-40A5-91ED-C0B54D9DC746}">
  <sheetPr codeName="wsLang"/>
  <dimension ref="A1:E22"/>
  <sheetViews>
    <sheetView workbookViewId="0">
      <pane ySplit="1" topLeftCell="A2" activePane="bottomLeft" state="frozen"/>
      <selection pane="bottomLeft" activeCell="F10" sqref="F10"/>
    </sheetView>
  </sheetViews>
  <sheetFormatPr defaultColWidth="8.69921875" defaultRowHeight="18" x14ac:dyDescent="0.45"/>
  <cols>
    <col min="1" max="1" width="15.59765625" style="26" customWidth="1"/>
    <col min="2" max="2" width="9" style="26" customWidth="1"/>
    <col min="3" max="5" width="15.59765625" style="26" customWidth="1"/>
    <col min="6" max="16384" width="8.69921875" style="26"/>
  </cols>
  <sheetData>
    <row r="1" spans="1:5" s="52" customFormat="1" x14ac:dyDescent="0.45">
      <c r="A1" s="7" t="s">
        <v>117</v>
      </c>
      <c r="B1" s="7" t="s">
        <v>138</v>
      </c>
      <c r="C1" s="7" t="s">
        <v>115</v>
      </c>
      <c r="D1" s="7" t="s">
        <v>116</v>
      </c>
      <c r="E1" s="7" t="s">
        <v>118</v>
      </c>
    </row>
    <row r="2" spans="1:5" s="50" customFormat="1" x14ac:dyDescent="0.45">
      <c r="A2" s="50" t="s">
        <v>37</v>
      </c>
      <c r="B2" s="50" t="s">
        <v>137</v>
      </c>
      <c r="C2" s="50" t="s">
        <v>38</v>
      </c>
      <c r="D2" s="120" t="s">
        <v>220</v>
      </c>
      <c r="E2" s="51" t="s">
        <v>126</v>
      </c>
    </row>
    <row r="3" spans="1:5" x14ac:dyDescent="0.45">
      <c r="A3" s="26" t="s">
        <v>35</v>
      </c>
      <c r="B3" s="50" t="s">
        <v>137</v>
      </c>
      <c r="C3" s="26" t="s">
        <v>36</v>
      </c>
      <c r="D3" s="121" t="s">
        <v>221</v>
      </c>
      <c r="E3" s="49" t="s">
        <v>127</v>
      </c>
    </row>
    <row r="4" spans="1:5" x14ac:dyDescent="0.45">
      <c r="A4" s="26" t="s">
        <v>39</v>
      </c>
      <c r="B4" s="50" t="s">
        <v>137</v>
      </c>
      <c r="C4" s="26" t="s">
        <v>40</v>
      </c>
      <c r="D4" s="121" t="s">
        <v>222</v>
      </c>
      <c r="E4" s="49" t="s">
        <v>128</v>
      </c>
    </row>
    <row r="5" spans="1:5" x14ac:dyDescent="0.45">
      <c r="A5" s="26" t="s">
        <v>41</v>
      </c>
      <c r="B5" s="50" t="s">
        <v>137</v>
      </c>
      <c r="C5" s="26" t="s">
        <v>42</v>
      </c>
      <c r="D5" s="121" t="s">
        <v>223</v>
      </c>
      <c r="E5" s="26" t="s">
        <v>119</v>
      </c>
    </row>
    <row r="6" spans="1:5" x14ac:dyDescent="0.45">
      <c r="A6" s="26" t="s">
        <v>43</v>
      </c>
      <c r="B6" s="50" t="s">
        <v>137</v>
      </c>
      <c r="C6" s="26" t="s">
        <v>44</v>
      </c>
      <c r="D6" s="121" t="s">
        <v>210</v>
      </c>
      <c r="E6" s="26" t="s">
        <v>15</v>
      </c>
    </row>
    <row r="7" spans="1:5" x14ac:dyDescent="0.45">
      <c r="A7" s="26" t="s">
        <v>47</v>
      </c>
      <c r="B7" s="50" t="s">
        <v>137</v>
      </c>
      <c r="C7" s="26" t="s">
        <v>48</v>
      </c>
      <c r="D7" s="122" t="s">
        <v>224</v>
      </c>
      <c r="E7" s="27" t="s">
        <v>17</v>
      </c>
    </row>
    <row r="8" spans="1:5" x14ac:dyDescent="0.45">
      <c r="A8" s="26" t="s">
        <v>45</v>
      </c>
      <c r="B8" s="50" t="s">
        <v>137</v>
      </c>
      <c r="C8" s="26" t="s">
        <v>46</v>
      </c>
      <c r="D8" s="121" t="s">
        <v>225</v>
      </c>
      <c r="E8" s="26" t="s">
        <v>120</v>
      </c>
    </row>
    <row r="9" spans="1:5" x14ac:dyDescent="0.45">
      <c r="A9" s="26" t="s">
        <v>51</v>
      </c>
      <c r="B9" s="50" t="s">
        <v>137</v>
      </c>
      <c r="C9" s="26" t="s">
        <v>51</v>
      </c>
      <c r="D9" s="122" t="s">
        <v>211</v>
      </c>
      <c r="E9" s="27" t="s">
        <v>121</v>
      </c>
    </row>
    <row r="10" spans="1:5" x14ac:dyDescent="0.45">
      <c r="A10" s="26" t="s">
        <v>49</v>
      </c>
      <c r="B10" s="50" t="s">
        <v>137</v>
      </c>
      <c r="C10" s="26" t="s">
        <v>49</v>
      </c>
      <c r="D10" s="122" t="s">
        <v>212</v>
      </c>
      <c r="E10" s="27" t="s">
        <v>122</v>
      </c>
    </row>
    <row r="11" spans="1:5" x14ac:dyDescent="0.45">
      <c r="A11" s="26" t="s">
        <v>50</v>
      </c>
      <c r="B11" s="50" t="s">
        <v>137</v>
      </c>
      <c r="C11" s="26" t="s">
        <v>50</v>
      </c>
      <c r="D11" s="122" t="s">
        <v>213</v>
      </c>
      <c r="E11" s="27" t="s">
        <v>123</v>
      </c>
    </row>
    <row r="12" spans="1:5" x14ac:dyDescent="0.45">
      <c r="A12" s="26" t="s">
        <v>108</v>
      </c>
      <c r="B12" s="50" t="s">
        <v>137</v>
      </c>
      <c r="C12" s="26" t="s">
        <v>108</v>
      </c>
      <c r="D12" s="122" t="s">
        <v>226</v>
      </c>
      <c r="E12" s="27"/>
    </row>
    <row r="13" spans="1:5" x14ac:dyDescent="0.45">
      <c r="A13" s="26" t="s">
        <v>97</v>
      </c>
      <c r="B13" s="50" t="s">
        <v>137</v>
      </c>
      <c r="C13" s="26" t="s">
        <v>154</v>
      </c>
      <c r="D13" s="122" t="s">
        <v>214</v>
      </c>
      <c r="E13" s="48" t="s">
        <v>124</v>
      </c>
    </row>
    <row r="14" spans="1:5" x14ac:dyDescent="0.45">
      <c r="A14" s="26" t="s">
        <v>114</v>
      </c>
      <c r="B14" s="50" t="s">
        <v>137</v>
      </c>
      <c r="C14" s="26" t="s">
        <v>114</v>
      </c>
      <c r="D14" s="122" t="s">
        <v>215</v>
      </c>
      <c r="E14" s="48"/>
    </row>
    <row r="15" spans="1:5" x14ac:dyDescent="0.45">
      <c r="A15" s="26" t="s">
        <v>98</v>
      </c>
      <c r="B15" s="50" t="s">
        <v>137</v>
      </c>
      <c r="C15" s="26" t="s">
        <v>98</v>
      </c>
      <c r="D15" s="122" t="s">
        <v>216</v>
      </c>
      <c r="E15" s="48" t="s">
        <v>125</v>
      </c>
    </row>
    <row r="16" spans="1:5" x14ac:dyDescent="0.45">
      <c r="A16" s="49" t="s">
        <v>129</v>
      </c>
      <c r="B16" s="50" t="s">
        <v>137</v>
      </c>
      <c r="C16" s="26" t="s">
        <v>132</v>
      </c>
      <c r="D16" s="121" t="s">
        <v>217</v>
      </c>
      <c r="E16" s="49" t="s">
        <v>129</v>
      </c>
    </row>
    <row r="17" spans="1:5" x14ac:dyDescent="0.45">
      <c r="A17" s="49" t="s">
        <v>130</v>
      </c>
      <c r="B17" s="50" t="s">
        <v>137</v>
      </c>
      <c r="C17" s="26" t="s">
        <v>133</v>
      </c>
      <c r="D17" s="121" t="s">
        <v>226</v>
      </c>
      <c r="E17" s="49" t="s">
        <v>130</v>
      </c>
    </row>
    <row r="18" spans="1:5" x14ac:dyDescent="0.45">
      <c r="A18" s="26" t="s">
        <v>143</v>
      </c>
      <c r="B18" s="26" t="s">
        <v>136</v>
      </c>
      <c r="C18" s="26" t="s">
        <v>143</v>
      </c>
      <c r="D18" s="121" t="s">
        <v>217</v>
      </c>
      <c r="E18" s="49"/>
    </row>
    <row r="19" spans="1:5" x14ac:dyDescent="0.45">
      <c r="A19" s="26" t="s">
        <v>144</v>
      </c>
      <c r="B19" s="26" t="s">
        <v>136</v>
      </c>
      <c r="C19" s="26" t="s">
        <v>144</v>
      </c>
      <c r="D19" s="121" t="s">
        <v>227</v>
      </c>
      <c r="E19" s="49" t="s">
        <v>147</v>
      </c>
    </row>
    <row r="20" spans="1:5" x14ac:dyDescent="0.45">
      <c r="A20" s="26" t="s">
        <v>145</v>
      </c>
      <c r="B20" s="26" t="s">
        <v>136</v>
      </c>
      <c r="C20" s="26" t="s">
        <v>145</v>
      </c>
      <c r="D20" s="121" t="s">
        <v>228</v>
      </c>
      <c r="E20" s="49" t="s">
        <v>146</v>
      </c>
    </row>
    <row r="21" spans="1:5" x14ac:dyDescent="0.45">
      <c r="A21" s="26" t="s">
        <v>148</v>
      </c>
      <c r="B21" s="26" t="s">
        <v>136</v>
      </c>
      <c r="C21" s="26" t="s">
        <v>148</v>
      </c>
      <c r="D21" s="121" t="s">
        <v>218</v>
      </c>
      <c r="E21" s="49"/>
    </row>
    <row r="22" spans="1:5" x14ac:dyDescent="0.45">
      <c r="A22" s="26" t="s">
        <v>135</v>
      </c>
      <c r="B22" s="26" t="s">
        <v>136</v>
      </c>
      <c r="C22" s="26" t="s">
        <v>134</v>
      </c>
      <c r="D22" s="121" t="s">
        <v>219</v>
      </c>
      <c r="E22" s="49" t="s">
        <v>131</v>
      </c>
    </row>
  </sheetData>
  <phoneticPr fontId="5"/>
  <dataValidations count="1">
    <dataValidation type="list" allowBlank="1" showInputMessage="1" showErrorMessage="1" sqref="B2:B1048576" xr:uid="{8B5A2D53-64BE-47B4-94E8-39521CE12B6F}">
      <formula1>"部分,完全"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所属マスタ</vt:lpstr>
      <vt:lpstr>選手マスタ</vt:lpstr>
      <vt:lpstr>言語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IKEBUKURO Haruhiko</cp:lastModifiedBy>
  <cp:lastPrinted>2021-10-15T06:43:15Z</cp:lastPrinted>
  <dcterms:created xsi:type="dcterms:W3CDTF">2016-04-09T01:49:32Z</dcterms:created>
  <dcterms:modified xsi:type="dcterms:W3CDTF">2022-02-28T13:56:44Z</dcterms:modified>
</cp:coreProperties>
</file>