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:\2021-22_Tリーグ\20210911\20210911_02_FENG_KIHARA\"/>
    </mc:Choice>
  </mc:AlternateContent>
  <xr:revisionPtr revIDLastSave="0" documentId="8_{AD4D40B2-C821-4A56-9215-412D0E9A1B72}" xr6:coauthVersionLast="47" xr6:coauthVersionMax="47" xr10:uidLastSave="{00000000-0000-0000-0000-000000000000}"/>
  <bookViews>
    <workbookView xWindow="-108" yWindow="-108" windowWidth="23256" windowHeight="12576" activeTab="2" xr2:uid="{00000000-000D-0000-FFFF-FFFF00000000}"/>
  </bookViews>
  <sheets>
    <sheet name="データの貼付" sheetId="3" r:id="rId1"/>
    <sheet name="cal" sheetId="1" r:id="rId2"/>
    <sheet name="graph" sheetId="2" r:id="rId3"/>
  </sheets>
  <definedNames>
    <definedName name="_">INDEX(cal!$AD$5:$AD$50,cal!$U$4):INDEX(cal!$AD$5:$AD$50,cal!$U$5-1)</definedName>
    <definedName name="graph_area11">INDEX(cal!$AC$5:'cal'!$AC$50,INDEX(cal!$U$4:$U$11,1)):INDEX(cal!$AC$5:$AC$50,INDEX(cal!$U$4:$U$11,cal!$AC$2+1)-INDEX(cal!$U$4:$U$11,cal!$AC$2))</definedName>
    <definedName name="graph_area12">INDEX(cal!$AD$5:'cal'!$AD$50,INDEX(cal!$U$4:$U$11,1)):INDEX(cal!$AD$5:$AD$50,INDEX(cal!$U$4:$U$11,cal!$AC$2+1)-INDEX(cal!$U$4:$U$11,cal!$AC$2))</definedName>
    <definedName name="graph_area21">INDEX(cal!$AE$5:'cal'!$AE$50,INDEX(cal!$U$4:$U$11,1)):INDEX(cal!$AE$5:$AE$50,INDEX(cal!$U$4:$U$11,cal!$AC$2+1)-INDEX(cal!$U$4:$U$11,cal!$AC$2))</definedName>
    <definedName name="graph_area22">INDEX(cal!$AF$5:'cal'!$AF$50,INDEX(cal!$U$4:$U$11,1)):INDEX(cal!$AF$5:$AF$50,INDEX(cal!$U$4:$U$11,cal!$AC$2+1)-INDEX(cal!$U$4:$U$11,cal!$AC$2))</definedName>
    <definedName name="graph_area31">INDEX(cal!$AG$5:'cal'!$AG$50,INDEX(cal!$U$4:$U$11,1)):INDEX(cal!$AG$5:$AG$50,INDEX(cal!$U$4:$U$11,cal!$AC$2+1)-INDEX(cal!$U$4:$U$11,cal!$AC$2))</definedName>
    <definedName name="graph_area32">INDEX(cal!$AH$5:'cal'!$AH$50,INDEX(cal!$U$4:$U$11,1)):INDEX(cal!$AH$5:$AH$50,INDEX(cal!$U$4:$U$11,cal!$AC$2+1)-INDEX(cal!$U$4:$U$11,cal!$AC$2))</definedName>
    <definedName name="graph_area41">INDEX(cal!$AI$5:'cal'!$AI$50,INDEX(cal!$U$4:$U$11,1)):INDEX(cal!$AI$5:$AI$50,INDEX(cal!$U$4:$U$11,cal!$AC$2+1)-INDEX(cal!$U$4:$U$11,cal!$AC$2))</definedName>
    <definedName name="graph_area42">INDEX(cal!$AJ$5:'cal'!$AJ$50,INDEX(cal!$U$4:$U$11,1)):INDEX(cal!$AJ$5:$AJ$50,INDEX(cal!$U$4:$U$11,cal!$AC$2+1)-INDEX(cal!$U$4:$U$11,cal!$AC$2))</definedName>
    <definedName name="graph_area51">INDEX(cal!$AK$5:'cal'!$AK$50,INDEX(cal!$U$4:$U$11,1)):INDEX(cal!$AK$5:$AK$50,INDEX(cal!$U$4:$U$11,cal!$AC$2+1)-INDEX(cal!$U$4:$U$11,cal!$AC$2))</definedName>
    <definedName name="graph_area52">INDEX(cal!$AL$5:'cal'!$AL$50,INDEX(cal!$U$4:$U$11,1)):INDEX(cal!$AL$5:$AL$50,INDEX(cal!$U$4:$U$11,cal!$AC$2+1)-INDEX(cal!$U$4:$U$11,cal!$AC$2))</definedName>
  </definedNames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L1" i="1" l="1"/>
  <c r="GY10" i="1" s="1"/>
  <c r="GY43" i="1" s="1"/>
  <c r="EK1" i="1"/>
  <c r="GX10" i="1" s="1"/>
  <c r="GX43" i="1" s="1"/>
  <c r="EJ1" i="1"/>
  <c r="GW10" i="1" s="1"/>
  <c r="GW43" i="1" s="1"/>
  <c r="EG1" i="1"/>
  <c r="GX9" i="1" s="1"/>
  <c r="GX42" i="1" s="1"/>
  <c r="GD1" i="1"/>
  <c r="HP19" i="1" s="1"/>
  <c r="HM48" i="1" s="1"/>
  <c r="GC1" i="1"/>
  <c r="HO19" i="1" s="1"/>
  <c r="HL48" i="1" s="1"/>
  <c r="GB1" i="1"/>
  <c r="HN19" i="1" s="1"/>
  <c r="HK48" i="1" s="1"/>
  <c r="GA1" i="1"/>
  <c r="HM19" i="1" s="1"/>
  <c r="HJ48" i="1" s="1"/>
  <c r="FZ1" i="1"/>
  <c r="HP20" i="1" s="1"/>
  <c r="HM49" i="1" s="1"/>
  <c r="FY1" i="1"/>
  <c r="HO20" i="1" s="1"/>
  <c r="HL49" i="1" s="1"/>
  <c r="FX1" i="1"/>
  <c r="HN20" i="1" s="1"/>
  <c r="HK49" i="1" s="1"/>
  <c r="FW1" i="1"/>
  <c r="HM20" i="1" s="1"/>
  <c r="HJ49" i="1" s="1"/>
  <c r="FM1" i="1"/>
  <c r="HN11" i="1" s="1"/>
  <c r="HK44" i="1" s="1"/>
  <c r="FQ1" i="1"/>
  <c r="HN10" i="1" s="1"/>
  <c r="HK43" i="1" s="1"/>
  <c r="FR1" i="1"/>
  <c r="HO10" i="1" s="1"/>
  <c r="HL43" i="1" s="1"/>
  <c r="FP1" i="1"/>
  <c r="HM10" i="1" s="1"/>
  <c r="HJ43" i="1" s="1"/>
  <c r="FS1" i="1"/>
  <c r="HP10" i="1" s="1"/>
  <c r="HM43" i="1" s="1"/>
  <c r="FN1" i="1"/>
  <c r="HO11" i="1" s="1"/>
  <c r="HL44" i="1" s="1"/>
  <c r="FL1" i="1"/>
  <c r="HM11" i="1" s="1"/>
  <c r="HJ44" i="1" s="1"/>
  <c r="FO1" i="1"/>
  <c r="HP11" i="1" s="1"/>
  <c r="HM44" i="1" s="1"/>
  <c r="EI1" i="1"/>
  <c r="GV10" i="1" s="1"/>
  <c r="GV43" i="1" s="1"/>
  <c r="EH1" i="1"/>
  <c r="GY9" i="1" s="1"/>
  <c r="GY42" i="1" s="1"/>
  <c r="EF1" i="1"/>
  <c r="GW9" i="1" s="1"/>
  <c r="GW42" i="1" s="1"/>
  <c r="EE1" i="1"/>
  <c r="GV9" i="1" s="1"/>
  <c r="GV42" i="1" s="1"/>
  <c r="EC1" i="1"/>
  <c r="GT10" i="1" s="1"/>
  <c r="GT43" i="1" s="1"/>
  <c r="EB1" i="1"/>
  <c r="GS10" i="1" s="1"/>
  <c r="GS43" i="1" s="1"/>
  <c r="DY1" i="1"/>
  <c r="GT9" i="1" s="1"/>
  <c r="GT42" i="1" s="1"/>
  <c r="DX1" i="1"/>
  <c r="GS9" i="1" s="1"/>
  <c r="GS42" i="1" s="1"/>
  <c r="DW1" i="1"/>
  <c r="GR9" i="1" s="1"/>
  <c r="GR42" i="1" s="1"/>
  <c r="DV1" i="1"/>
  <c r="GQ9" i="1" s="1"/>
  <c r="GQ42" i="1" s="1"/>
  <c r="EA1" i="1"/>
  <c r="GR10" i="1" s="1"/>
  <c r="GR43" i="1" s="1"/>
  <c r="DZ1" i="1"/>
  <c r="GQ10" i="1" s="1"/>
  <c r="GQ43" i="1" s="1"/>
  <c r="DT1" i="1" l="1"/>
  <c r="DS1" i="1"/>
  <c r="DQ1" i="1"/>
  <c r="DP1" i="1"/>
  <c r="GQ14" i="1" l="1"/>
  <c r="GQ47" i="1"/>
  <c r="GS14" i="1"/>
  <c r="GS47" i="1"/>
  <c r="GX47" i="1"/>
  <c r="GX14" i="1"/>
  <c r="GV47" i="1"/>
  <c r="GV14" i="1"/>
  <c r="V43" i="2"/>
  <c r="U43" i="2"/>
  <c r="AF43" i="2"/>
  <c r="AE43" i="2"/>
  <c r="AF29" i="2"/>
  <c r="AE29" i="2"/>
  <c r="V29" i="2"/>
  <c r="U29" i="2"/>
  <c r="V4" i="2" l="1"/>
  <c r="U4" i="2"/>
  <c r="AF4" i="2"/>
  <c r="AE4" i="2"/>
  <c r="V18" i="2"/>
  <c r="U18" i="2"/>
  <c r="AF18" i="2"/>
  <c r="AE18" i="2"/>
  <c r="B20" i="2" l="1"/>
  <c r="B21" i="2"/>
  <c r="N212" i="1"/>
  <c r="M212" i="1"/>
  <c r="L212" i="1"/>
  <c r="K212" i="1"/>
  <c r="J212" i="1"/>
  <c r="I212" i="1"/>
  <c r="H212" i="1"/>
  <c r="G212" i="1"/>
  <c r="F212" i="1"/>
  <c r="E212" i="1"/>
  <c r="D212" i="1"/>
  <c r="C212" i="1"/>
  <c r="B212" i="1"/>
  <c r="A212" i="1"/>
  <c r="N211" i="1"/>
  <c r="M211" i="1"/>
  <c r="L211" i="1"/>
  <c r="K211" i="1"/>
  <c r="J211" i="1"/>
  <c r="I211" i="1"/>
  <c r="H211" i="1"/>
  <c r="G211" i="1"/>
  <c r="F211" i="1"/>
  <c r="E211" i="1"/>
  <c r="D211" i="1"/>
  <c r="C211" i="1"/>
  <c r="B211" i="1"/>
  <c r="A211" i="1"/>
  <c r="N210" i="1"/>
  <c r="M210" i="1"/>
  <c r="L210" i="1"/>
  <c r="K210" i="1"/>
  <c r="J210" i="1"/>
  <c r="I210" i="1"/>
  <c r="H210" i="1"/>
  <c r="G210" i="1"/>
  <c r="F210" i="1"/>
  <c r="E210" i="1"/>
  <c r="D210" i="1"/>
  <c r="C210" i="1"/>
  <c r="B210" i="1"/>
  <c r="A210" i="1"/>
  <c r="N209" i="1"/>
  <c r="M209" i="1"/>
  <c r="L209" i="1"/>
  <c r="K209" i="1"/>
  <c r="J209" i="1"/>
  <c r="I209" i="1"/>
  <c r="H209" i="1"/>
  <c r="G209" i="1"/>
  <c r="F209" i="1"/>
  <c r="E209" i="1"/>
  <c r="D209" i="1"/>
  <c r="C209" i="1"/>
  <c r="B209" i="1"/>
  <c r="A209" i="1"/>
  <c r="N208" i="1"/>
  <c r="M208" i="1"/>
  <c r="L208" i="1"/>
  <c r="K208" i="1"/>
  <c r="J208" i="1"/>
  <c r="I208" i="1"/>
  <c r="H208" i="1"/>
  <c r="G208" i="1"/>
  <c r="F208" i="1"/>
  <c r="E208" i="1"/>
  <c r="D208" i="1"/>
  <c r="C208" i="1"/>
  <c r="B208" i="1"/>
  <c r="A208" i="1"/>
  <c r="N207" i="1"/>
  <c r="M207" i="1"/>
  <c r="L207" i="1"/>
  <c r="K207" i="1"/>
  <c r="J207" i="1"/>
  <c r="I207" i="1"/>
  <c r="H207" i="1"/>
  <c r="G207" i="1"/>
  <c r="F207" i="1"/>
  <c r="E207" i="1"/>
  <c r="D207" i="1"/>
  <c r="C207" i="1"/>
  <c r="B207" i="1"/>
  <c r="A207" i="1"/>
  <c r="N206" i="1"/>
  <c r="M206" i="1"/>
  <c r="L206" i="1"/>
  <c r="K206" i="1"/>
  <c r="J206" i="1"/>
  <c r="I206" i="1"/>
  <c r="H206" i="1"/>
  <c r="G206" i="1"/>
  <c r="F206" i="1"/>
  <c r="E206" i="1"/>
  <c r="D206" i="1"/>
  <c r="C206" i="1"/>
  <c r="B206" i="1"/>
  <c r="A206" i="1"/>
  <c r="N205" i="1"/>
  <c r="M205" i="1"/>
  <c r="L205" i="1"/>
  <c r="K205" i="1"/>
  <c r="J205" i="1"/>
  <c r="I205" i="1"/>
  <c r="H205" i="1"/>
  <c r="G205" i="1"/>
  <c r="F205" i="1"/>
  <c r="E205" i="1"/>
  <c r="D205" i="1"/>
  <c r="C205" i="1"/>
  <c r="B205" i="1"/>
  <c r="A205" i="1"/>
  <c r="N204" i="1"/>
  <c r="M204" i="1"/>
  <c r="L204" i="1"/>
  <c r="K204" i="1"/>
  <c r="J204" i="1"/>
  <c r="I204" i="1"/>
  <c r="H204" i="1"/>
  <c r="G204" i="1"/>
  <c r="F204" i="1"/>
  <c r="E204" i="1"/>
  <c r="D204" i="1"/>
  <c r="C204" i="1"/>
  <c r="B204" i="1"/>
  <c r="A204" i="1"/>
  <c r="N203" i="1"/>
  <c r="M203" i="1"/>
  <c r="L203" i="1"/>
  <c r="K203" i="1"/>
  <c r="J203" i="1"/>
  <c r="I203" i="1"/>
  <c r="H203" i="1"/>
  <c r="G203" i="1"/>
  <c r="F203" i="1"/>
  <c r="E203" i="1"/>
  <c r="D203" i="1"/>
  <c r="C203" i="1"/>
  <c r="B203" i="1"/>
  <c r="A203" i="1"/>
  <c r="N202" i="1"/>
  <c r="M202" i="1"/>
  <c r="L202" i="1"/>
  <c r="K202" i="1"/>
  <c r="J202" i="1"/>
  <c r="I202" i="1"/>
  <c r="H202" i="1"/>
  <c r="G202" i="1"/>
  <c r="F202" i="1"/>
  <c r="E202" i="1"/>
  <c r="D202" i="1"/>
  <c r="C202" i="1"/>
  <c r="B202" i="1"/>
  <c r="A202" i="1"/>
  <c r="N201" i="1"/>
  <c r="M201" i="1"/>
  <c r="L201" i="1"/>
  <c r="K201" i="1"/>
  <c r="J201" i="1"/>
  <c r="I201" i="1"/>
  <c r="H201" i="1"/>
  <c r="G201" i="1"/>
  <c r="F201" i="1"/>
  <c r="E201" i="1"/>
  <c r="D201" i="1"/>
  <c r="C201" i="1"/>
  <c r="B201" i="1"/>
  <c r="A201" i="1"/>
  <c r="N200" i="1"/>
  <c r="M200" i="1"/>
  <c r="L200" i="1"/>
  <c r="K200" i="1"/>
  <c r="J200" i="1"/>
  <c r="I200" i="1"/>
  <c r="H200" i="1"/>
  <c r="G200" i="1"/>
  <c r="F200" i="1"/>
  <c r="E200" i="1"/>
  <c r="D200" i="1"/>
  <c r="C200" i="1"/>
  <c r="B200" i="1"/>
  <c r="A200" i="1"/>
  <c r="N199" i="1"/>
  <c r="M199" i="1"/>
  <c r="L199" i="1"/>
  <c r="K199" i="1"/>
  <c r="J199" i="1"/>
  <c r="I199" i="1"/>
  <c r="H199" i="1"/>
  <c r="G199" i="1"/>
  <c r="F199" i="1"/>
  <c r="E199" i="1"/>
  <c r="D199" i="1"/>
  <c r="C199" i="1"/>
  <c r="B199" i="1"/>
  <c r="A199" i="1"/>
  <c r="N198" i="1"/>
  <c r="M198" i="1"/>
  <c r="L198" i="1"/>
  <c r="K198" i="1"/>
  <c r="J198" i="1"/>
  <c r="I198" i="1"/>
  <c r="H198" i="1"/>
  <c r="G198" i="1"/>
  <c r="F198" i="1"/>
  <c r="E198" i="1"/>
  <c r="D198" i="1"/>
  <c r="C198" i="1"/>
  <c r="B198" i="1"/>
  <c r="A198" i="1"/>
  <c r="N197" i="1"/>
  <c r="M197" i="1"/>
  <c r="L197" i="1"/>
  <c r="K197" i="1"/>
  <c r="J197" i="1"/>
  <c r="I197" i="1"/>
  <c r="H197" i="1"/>
  <c r="G197" i="1"/>
  <c r="F197" i="1"/>
  <c r="E197" i="1"/>
  <c r="D197" i="1"/>
  <c r="C197" i="1"/>
  <c r="B197" i="1"/>
  <c r="A197" i="1"/>
  <c r="N196" i="1"/>
  <c r="M196" i="1"/>
  <c r="L196" i="1"/>
  <c r="K196" i="1"/>
  <c r="J196" i="1"/>
  <c r="I196" i="1"/>
  <c r="H196" i="1"/>
  <c r="G196" i="1"/>
  <c r="F196" i="1"/>
  <c r="E196" i="1"/>
  <c r="D196" i="1"/>
  <c r="C196" i="1"/>
  <c r="B196" i="1"/>
  <c r="A196" i="1"/>
  <c r="N195" i="1"/>
  <c r="M195" i="1"/>
  <c r="L195" i="1"/>
  <c r="K195" i="1"/>
  <c r="J195" i="1"/>
  <c r="I195" i="1"/>
  <c r="H195" i="1"/>
  <c r="G195" i="1"/>
  <c r="F195" i="1"/>
  <c r="E195" i="1"/>
  <c r="D195" i="1"/>
  <c r="C195" i="1"/>
  <c r="B195" i="1"/>
  <c r="A195" i="1"/>
  <c r="N194" i="1"/>
  <c r="M194" i="1"/>
  <c r="L194" i="1"/>
  <c r="K194" i="1"/>
  <c r="J194" i="1"/>
  <c r="I194" i="1"/>
  <c r="H194" i="1"/>
  <c r="G194" i="1"/>
  <c r="F194" i="1"/>
  <c r="E194" i="1"/>
  <c r="D194" i="1"/>
  <c r="C194" i="1"/>
  <c r="B194" i="1"/>
  <c r="A194" i="1"/>
  <c r="N193" i="1"/>
  <c r="M193" i="1"/>
  <c r="L193" i="1"/>
  <c r="K193" i="1"/>
  <c r="J193" i="1"/>
  <c r="I193" i="1"/>
  <c r="H193" i="1"/>
  <c r="G193" i="1"/>
  <c r="F193" i="1"/>
  <c r="E193" i="1"/>
  <c r="D193" i="1"/>
  <c r="C193" i="1"/>
  <c r="B193" i="1"/>
  <c r="A193" i="1"/>
  <c r="N192" i="1"/>
  <c r="M192" i="1"/>
  <c r="L192" i="1"/>
  <c r="K192" i="1"/>
  <c r="J192" i="1"/>
  <c r="I192" i="1"/>
  <c r="H192" i="1"/>
  <c r="G192" i="1"/>
  <c r="F192" i="1"/>
  <c r="E192" i="1"/>
  <c r="D192" i="1"/>
  <c r="C192" i="1"/>
  <c r="B192" i="1"/>
  <c r="A192" i="1"/>
  <c r="N191" i="1"/>
  <c r="M191" i="1"/>
  <c r="L191" i="1"/>
  <c r="K191" i="1"/>
  <c r="J191" i="1"/>
  <c r="I191" i="1"/>
  <c r="H191" i="1"/>
  <c r="G191" i="1"/>
  <c r="F191" i="1"/>
  <c r="E191" i="1"/>
  <c r="D191" i="1"/>
  <c r="C191" i="1"/>
  <c r="B191" i="1"/>
  <c r="A191" i="1"/>
  <c r="N190" i="1"/>
  <c r="M190" i="1"/>
  <c r="L190" i="1"/>
  <c r="K190" i="1"/>
  <c r="J190" i="1"/>
  <c r="I190" i="1"/>
  <c r="H190" i="1"/>
  <c r="G190" i="1"/>
  <c r="F190" i="1"/>
  <c r="E190" i="1"/>
  <c r="D190" i="1"/>
  <c r="C190" i="1"/>
  <c r="B190" i="1"/>
  <c r="A190" i="1"/>
  <c r="N189" i="1"/>
  <c r="M189" i="1"/>
  <c r="L189" i="1"/>
  <c r="K189" i="1"/>
  <c r="J189" i="1"/>
  <c r="I189" i="1"/>
  <c r="H189" i="1"/>
  <c r="G189" i="1"/>
  <c r="F189" i="1"/>
  <c r="E189" i="1"/>
  <c r="D189" i="1"/>
  <c r="C189" i="1"/>
  <c r="B189" i="1"/>
  <c r="A189" i="1"/>
  <c r="N188" i="1"/>
  <c r="M188" i="1"/>
  <c r="L188" i="1"/>
  <c r="K188" i="1"/>
  <c r="J188" i="1"/>
  <c r="I188" i="1"/>
  <c r="H188" i="1"/>
  <c r="G188" i="1"/>
  <c r="F188" i="1"/>
  <c r="E188" i="1"/>
  <c r="D188" i="1"/>
  <c r="C188" i="1"/>
  <c r="B188" i="1"/>
  <c r="A188" i="1"/>
  <c r="N187" i="1"/>
  <c r="M187" i="1"/>
  <c r="L187" i="1"/>
  <c r="K187" i="1"/>
  <c r="J187" i="1"/>
  <c r="I187" i="1"/>
  <c r="H187" i="1"/>
  <c r="G187" i="1"/>
  <c r="F187" i="1"/>
  <c r="E187" i="1"/>
  <c r="D187" i="1"/>
  <c r="C187" i="1"/>
  <c r="B187" i="1"/>
  <c r="A187" i="1"/>
  <c r="N186" i="1"/>
  <c r="M186" i="1"/>
  <c r="L186" i="1"/>
  <c r="K186" i="1"/>
  <c r="J186" i="1"/>
  <c r="I186" i="1"/>
  <c r="H186" i="1"/>
  <c r="G186" i="1"/>
  <c r="F186" i="1"/>
  <c r="E186" i="1"/>
  <c r="D186" i="1"/>
  <c r="C186" i="1"/>
  <c r="B186" i="1"/>
  <c r="A186" i="1"/>
  <c r="N185" i="1"/>
  <c r="M185" i="1"/>
  <c r="L185" i="1"/>
  <c r="K185" i="1"/>
  <c r="J185" i="1"/>
  <c r="I185" i="1"/>
  <c r="H185" i="1"/>
  <c r="G185" i="1"/>
  <c r="F185" i="1"/>
  <c r="E185" i="1"/>
  <c r="D185" i="1"/>
  <c r="C185" i="1"/>
  <c r="B185" i="1"/>
  <c r="A185" i="1"/>
  <c r="N184" i="1"/>
  <c r="M184" i="1"/>
  <c r="L184" i="1"/>
  <c r="K184" i="1"/>
  <c r="J184" i="1"/>
  <c r="I184" i="1"/>
  <c r="H184" i="1"/>
  <c r="G184" i="1"/>
  <c r="F184" i="1"/>
  <c r="E184" i="1"/>
  <c r="D184" i="1"/>
  <c r="C184" i="1"/>
  <c r="B184" i="1"/>
  <c r="A184" i="1"/>
  <c r="N183" i="1"/>
  <c r="M183" i="1"/>
  <c r="L183" i="1"/>
  <c r="K183" i="1"/>
  <c r="J183" i="1"/>
  <c r="I183" i="1"/>
  <c r="H183" i="1"/>
  <c r="G183" i="1"/>
  <c r="F183" i="1"/>
  <c r="E183" i="1"/>
  <c r="D183" i="1"/>
  <c r="C183" i="1"/>
  <c r="B183" i="1"/>
  <c r="A183" i="1"/>
  <c r="N182" i="1"/>
  <c r="M182" i="1"/>
  <c r="L182" i="1"/>
  <c r="K182" i="1"/>
  <c r="J182" i="1"/>
  <c r="I182" i="1"/>
  <c r="H182" i="1"/>
  <c r="G182" i="1"/>
  <c r="F182" i="1"/>
  <c r="E182" i="1"/>
  <c r="D182" i="1"/>
  <c r="C182" i="1"/>
  <c r="B182" i="1"/>
  <c r="A182" i="1"/>
  <c r="N181" i="1"/>
  <c r="M181" i="1"/>
  <c r="L181" i="1"/>
  <c r="K181" i="1"/>
  <c r="J181" i="1"/>
  <c r="I181" i="1"/>
  <c r="H181" i="1"/>
  <c r="G181" i="1"/>
  <c r="F181" i="1"/>
  <c r="E181" i="1"/>
  <c r="D181" i="1"/>
  <c r="C181" i="1"/>
  <c r="B181" i="1"/>
  <c r="A181" i="1"/>
  <c r="N180" i="1"/>
  <c r="M180" i="1"/>
  <c r="L180" i="1"/>
  <c r="K180" i="1"/>
  <c r="J180" i="1"/>
  <c r="I180" i="1"/>
  <c r="H180" i="1"/>
  <c r="G180" i="1"/>
  <c r="F180" i="1"/>
  <c r="E180" i="1"/>
  <c r="D180" i="1"/>
  <c r="C180" i="1"/>
  <c r="B180" i="1"/>
  <c r="A180" i="1"/>
  <c r="N179" i="1"/>
  <c r="M179" i="1"/>
  <c r="L179" i="1"/>
  <c r="K179" i="1"/>
  <c r="J179" i="1"/>
  <c r="I179" i="1"/>
  <c r="H179" i="1"/>
  <c r="G179" i="1"/>
  <c r="F179" i="1"/>
  <c r="E179" i="1"/>
  <c r="D179" i="1"/>
  <c r="C179" i="1"/>
  <c r="B179" i="1"/>
  <c r="A179" i="1"/>
  <c r="N178" i="1"/>
  <c r="M178" i="1"/>
  <c r="L178" i="1"/>
  <c r="K178" i="1"/>
  <c r="J178" i="1"/>
  <c r="I178" i="1"/>
  <c r="H178" i="1"/>
  <c r="G178" i="1"/>
  <c r="F178" i="1"/>
  <c r="E178" i="1"/>
  <c r="D178" i="1"/>
  <c r="C178" i="1"/>
  <c r="B178" i="1"/>
  <c r="A178" i="1"/>
  <c r="N177" i="1"/>
  <c r="M177" i="1"/>
  <c r="L177" i="1"/>
  <c r="K177" i="1"/>
  <c r="J177" i="1"/>
  <c r="I177" i="1"/>
  <c r="H177" i="1"/>
  <c r="G177" i="1"/>
  <c r="F177" i="1"/>
  <c r="E177" i="1"/>
  <c r="D177" i="1"/>
  <c r="C177" i="1"/>
  <c r="B177" i="1"/>
  <c r="A177" i="1"/>
  <c r="N176" i="1"/>
  <c r="M176" i="1"/>
  <c r="L176" i="1"/>
  <c r="K176" i="1"/>
  <c r="J176" i="1"/>
  <c r="I176" i="1"/>
  <c r="H176" i="1"/>
  <c r="G176" i="1"/>
  <c r="F176" i="1"/>
  <c r="E176" i="1"/>
  <c r="D176" i="1"/>
  <c r="C176" i="1"/>
  <c r="B176" i="1"/>
  <c r="A176" i="1"/>
  <c r="N175" i="1"/>
  <c r="M175" i="1"/>
  <c r="L175" i="1"/>
  <c r="K175" i="1"/>
  <c r="J175" i="1"/>
  <c r="I175" i="1"/>
  <c r="H175" i="1"/>
  <c r="G175" i="1"/>
  <c r="F175" i="1"/>
  <c r="E175" i="1"/>
  <c r="D175" i="1"/>
  <c r="C175" i="1"/>
  <c r="B175" i="1"/>
  <c r="A175" i="1"/>
  <c r="N174" i="1"/>
  <c r="M174" i="1"/>
  <c r="L174" i="1"/>
  <c r="K174" i="1"/>
  <c r="J174" i="1"/>
  <c r="I174" i="1"/>
  <c r="H174" i="1"/>
  <c r="G174" i="1"/>
  <c r="F174" i="1"/>
  <c r="E174" i="1"/>
  <c r="D174" i="1"/>
  <c r="C174" i="1"/>
  <c r="B174" i="1"/>
  <c r="A174" i="1"/>
  <c r="N173" i="1"/>
  <c r="M173" i="1"/>
  <c r="L173" i="1"/>
  <c r="K173" i="1"/>
  <c r="J173" i="1"/>
  <c r="I173" i="1"/>
  <c r="H173" i="1"/>
  <c r="G173" i="1"/>
  <c r="F173" i="1"/>
  <c r="E173" i="1"/>
  <c r="D173" i="1"/>
  <c r="C173" i="1"/>
  <c r="B173" i="1"/>
  <c r="A173" i="1"/>
  <c r="N172" i="1"/>
  <c r="M172" i="1"/>
  <c r="L172" i="1"/>
  <c r="K172" i="1"/>
  <c r="J172" i="1"/>
  <c r="I172" i="1"/>
  <c r="H172" i="1"/>
  <c r="G172" i="1"/>
  <c r="F172" i="1"/>
  <c r="E172" i="1"/>
  <c r="D172" i="1"/>
  <c r="C172" i="1"/>
  <c r="B172" i="1"/>
  <c r="A172" i="1"/>
  <c r="N171" i="1"/>
  <c r="M171" i="1"/>
  <c r="L171" i="1"/>
  <c r="K171" i="1"/>
  <c r="J171" i="1"/>
  <c r="I171" i="1"/>
  <c r="H171" i="1"/>
  <c r="G171" i="1"/>
  <c r="F171" i="1"/>
  <c r="E171" i="1"/>
  <c r="D171" i="1"/>
  <c r="C171" i="1"/>
  <c r="B171" i="1"/>
  <c r="A171" i="1"/>
  <c r="N170" i="1"/>
  <c r="M170" i="1"/>
  <c r="L170" i="1"/>
  <c r="K170" i="1"/>
  <c r="J170" i="1"/>
  <c r="I170" i="1"/>
  <c r="H170" i="1"/>
  <c r="G170" i="1"/>
  <c r="F170" i="1"/>
  <c r="E170" i="1"/>
  <c r="D170" i="1"/>
  <c r="C170" i="1"/>
  <c r="B170" i="1"/>
  <c r="A170" i="1"/>
  <c r="N169" i="1"/>
  <c r="M169" i="1"/>
  <c r="L169" i="1"/>
  <c r="K169" i="1"/>
  <c r="J169" i="1"/>
  <c r="I169" i="1"/>
  <c r="H169" i="1"/>
  <c r="G169" i="1"/>
  <c r="F169" i="1"/>
  <c r="E169" i="1"/>
  <c r="D169" i="1"/>
  <c r="C169" i="1"/>
  <c r="B169" i="1"/>
  <c r="A169" i="1"/>
  <c r="N168" i="1"/>
  <c r="M168" i="1"/>
  <c r="L168" i="1"/>
  <c r="K168" i="1"/>
  <c r="J168" i="1"/>
  <c r="I168" i="1"/>
  <c r="H168" i="1"/>
  <c r="G168" i="1"/>
  <c r="F168" i="1"/>
  <c r="E168" i="1"/>
  <c r="D168" i="1"/>
  <c r="C168" i="1"/>
  <c r="B168" i="1"/>
  <c r="A168" i="1"/>
  <c r="N167" i="1"/>
  <c r="M167" i="1"/>
  <c r="L167" i="1"/>
  <c r="K167" i="1"/>
  <c r="J167" i="1"/>
  <c r="I167" i="1"/>
  <c r="H167" i="1"/>
  <c r="G167" i="1"/>
  <c r="F167" i="1"/>
  <c r="E167" i="1"/>
  <c r="D167" i="1"/>
  <c r="C167" i="1"/>
  <c r="B167" i="1"/>
  <c r="A167" i="1"/>
  <c r="N166" i="1"/>
  <c r="M166" i="1"/>
  <c r="L166" i="1"/>
  <c r="K166" i="1"/>
  <c r="J166" i="1"/>
  <c r="I166" i="1"/>
  <c r="H166" i="1"/>
  <c r="G166" i="1"/>
  <c r="F166" i="1"/>
  <c r="E166" i="1"/>
  <c r="D166" i="1"/>
  <c r="C166" i="1"/>
  <c r="B166" i="1"/>
  <c r="A166" i="1"/>
  <c r="N165" i="1"/>
  <c r="M165" i="1"/>
  <c r="L165" i="1"/>
  <c r="K165" i="1"/>
  <c r="J165" i="1"/>
  <c r="I165" i="1"/>
  <c r="H165" i="1"/>
  <c r="G165" i="1"/>
  <c r="F165" i="1"/>
  <c r="E165" i="1"/>
  <c r="D165" i="1"/>
  <c r="C165" i="1"/>
  <c r="B165" i="1"/>
  <c r="A165" i="1"/>
  <c r="N164" i="1"/>
  <c r="M164" i="1"/>
  <c r="L164" i="1"/>
  <c r="K164" i="1"/>
  <c r="J164" i="1"/>
  <c r="I164" i="1"/>
  <c r="H164" i="1"/>
  <c r="G164" i="1"/>
  <c r="F164" i="1"/>
  <c r="E164" i="1"/>
  <c r="D164" i="1"/>
  <c r="C164" i="1"/>
  <c r="B164" i="1"/>
  <c r="A164" i="1"/>
  <c r="N163" i="1"/>
  <c r="M163" i="1"/>
  <c r="L163" i="1"/>
  <c r="K163" i="1"/>
  <c r="J163" i="1"/>
  <c r="I163" i="1"/>
  <c r="H163" i="1"/>
  <c r="G163" i="1"/>
  <c r="F163" i="1"/>
  <c r="E163" i="1"/>
  <c r="D163" i="1"/>
  <c r="C163" i="1"/>
  <c r="B163" i="1"/>
  <c r="A163" i="1"/>
  <c r="N162" i="1"/>
  <c r="M162" i="1"/>
  <c r="L162" i="1"/>
  <c r="K162" i="1"/>
  <c r="J162" i="1"/>
  <c r="I162" i="1"/>
  <c r="H162" i="1"/>
  <c r="G162" i="1"/>
  <c r="F162" i="1"/>
  <c r="E162" i="1"/>
  <c r="D162" i="1"/>
  <c r="C162" i="1"/>
  <c r="B162" i="1"/>
  <c r="A162" i="1"/>
  <c r="N161" i="1"/>
  <c r="M161" i="1"/>
  <c r="L161" i="1"/>
  <c r="K161" i="1"/>
  <c r="J161" i="1"/>
  <c r="I161" i="1"/>
  <c r="H161" i="1"/>
  <c r="G161" i="1"/>
  <c r="F161" i="1"/>
  <c r="E161" i="1"/>
  <c r="D161" i="1"/>
  <c r="C161" i="1"/>
  <c r="B161" i="1"/>
  <c r="A161" i="1"/>
  <c r="N160" i="1"/>
  <c r="M160" i="1"/>
  <c r="L160" i="1"/>
  <c r="K160" i="1"/>
  <c r="J160" i="1"/>
  <c r="I160" i="1"/>
  <c r="H160" i="1"/>
  <c r="G160" i="1"/>
  <c r="F160" i="1"/>
  <c r="E160" i="1"/>
  <c r="D160" i="1"/>
  <c r="C160" i="1"/>
  <c r="B160" i="1"/>
  <c r="A160" i="1"/>
  <c r="N159" i="1"/>
  <c r="M159" i="1"/>
  <c r="L159" i="1"/>
  <c r="K159" i="1"/>
  <c r="J159" i="1"/>
  <c r="I159" i="1"/>
  <c r="H159" i="1"/>
  <c r="G159" i="1"/>
  <c r="F159" i="1"/>
  <c r="E159" i="1"/>
  <c r="D159" i="1"/>
  <c r="C159" i="1"/>
  <c r="B159" i="1"/>
  <c r="A159" i="1"/>
  <c r="N158" i="1"/>
  <c r="M158" i="1"/>
  <c r="L158" i="1"/>
  <c r="K158" i="1"/>
  <c r="J158" i="1"/>
  <c r="I158" i="1"/>
  <c r="H158" i="1"/>
  <c r="G158" i="1"/>
  <c r="F158" i="1"/>
  <c r="E158" i="1"/>
  <c r="D158" i="1"/>
  <c r="C158" i="1"/>
  <c r="B158" i="1"/>
  <c r="A158" i="1"/>
  <c r="N157" i="1"/>
  <c r="M157" i="1"/>
  <c r="L157" i="1"/>
  <c r="K157" i="1"/>
  <c r="J157" i="1"/>
  <c r="I157" i="1"/>
  <c r="H157" i="1"/>
  <c r="G157" i="1"/>
  <c r="F157" i="1"/>
  <c r="E157" i="1"/>
  <c r="D157" i="1"/>
  <c r="C157" i="1"/>
  <c r="B157" i="1"/>
  <c r="A157" i="1"/>
  <c r="N156" i="1"/>
  <c r="M156" i="1"/>
  <c r="L156" i="1"/>
  <c r="K156" i="1"/>
  <c r="J156" i="1"/>
  <c r="I156" i="1"/>
  <c r="H156" i="1"/>
  <c r="G156" i="1"/>
  <c r="F156" i="1"/>
  <c r="E156" i="1"/>
  <c r="D156" i="1"/>
  <c r="C156" i="1"/>
  <c r="B156" i="1"/>
  <c r="A156" i="1"/>
  <c r="N155" i="1"/>
  <c r="M155" i="1"/>
  <c r="L155" i="1"/>
  <c r="K155" i="1"/>
  <c r="J155" i="1"/>
  <c r="I155" i="1"/>
  <c r="H155" i="1"/>
  <c r="G155" i="1"/>
  <c r="F155" i="1"/>
  <c r="E155" i="1"/>
  <c r="D155" i="1"/>
  <c r="C155" i="1"/>
  <c r="B155" i="1"/>
  <c r="A155" i="1"/>
  <c r="N154" i="1"/>
  <c r="M154" i="1"/>
  <c r="L154" i="1"/>
  <c r="K154" i="1"/>
  <c r="J154" i="1"/>
  <c r="I154" i="1"/>
  <c r="H154" i="1"/>
  <c r="G154" i="1"/>
  <c r="F154" i="1"/>
  <c r="E154" i="1"/>
  <c r="D154" i="1"/>
  <c r="C154" i="1"/>
  <c r="B154" i="1"/>
  <c r="A154" i="1"/>
  <c r="N153" i="1"/>
  <c r="M153" i="1"/>
  <c r="L153" i="1"/>
  <c r="K153" i="1"/>
  <c r="J153" i="1"/>
  <c r="I153" i="1"/>
  <c r="H153" i="1"/>
  <c r="G153" i="1"/>
  <c r="F153" i="1"/>
  <c r="E153" i="1"/>
  <c r="D153" i="1"/>
  <c r="C153" i="1"/>
  <c r="B153" i="1"/>
  <c r="A153" i="1"/>
  <c r="N152" i="1"/>
  <c r="M152" i="1"/>
  <c r="L152" i="1"/>
  <c r="K152" i="1"/>
  <c r="J152" i="1"/>
  <c r="I152" i="1"/>
  <c r="H152" i="1"/>
  <c r="G152" i="1"/>
  <c r="F152" i="1"/>
  <c r="E152" i="1"/>
  <c r="D152" i="1"/>
  <c r="C152" i="1"/>
  <c r="B152" i="1"/>
  <c r="A152" i="1"/>
  <c r="N151" i="1"/>
  <c r="M151" i="1"/>
  <c r="L151" i="1"/>
  <c r="K151" i="1"/>
  <c r="J151" i="1"/>
  <c r="I151" i="1"/>
  <c r="H151" i="1"/>
  <c r="G151" i="1"/>
  <c r="F151" i="1"/>
  <c r="E151" i="1"/>
  <c r="D151" i="1"/>
  <c r="C151" i="1"/>
  <c r="B151" i="1"/>
  <c r="A151" i="1"/>
  <c r="N150" i="1"/>
  <c r="M150" i="1"/>
  <c r="L150" i="1"/>
  <c r="K150" i="1"/>
  <c r="J150" i="1"/>
  <c r="I150" i="1"/>
  <c r="H150" i="1"/>
  <c r="G150" i="1"/>
  <c r="F150" i="1"/>
  <c r="E150" i="1"/>
  <c r="D150" i="1"/>
  <c r="C150" i="1"/>
  <c r="B150" i="1"/>
  <c r="A150" i="1"/>
  <c r="N149" i="1"/>
  <c r="M149" i="1"/>
  <c r="L149" i="1"/>
  <c r="K149" i="1"/>
  <c r="J149" i="1"/>
  <c r="I149" i="1"/>
  <c r="H149" i="1"/>
  <c r="G149" i="1"/>
  <c r="F149" i="1"/>
  <c r="E149" i="1"/>
  <c r="D149" i="1"/>
  <c r="C149" i="1"/>
  <c r="B149" i="1"/>
  <c r="A149" i="1"/>
  <c r="N148" i="1"/>
  <c r="M148" i="1"/>
  <c r="L148" i="1"/>
  <c r="K148" i="1"/>
  <c r="J148" i="1"/>
  <c r="I148" i="1"/>
  <c r="H148" i="1"/>
  <c r="G148" i="1"/>
  <c r="F148" i="1"/>
  <c r="E148" i="1"/>
  <c r="D148" i="1"/>
  <c r="C148" i="1"/>
  <c r="B148" i="1"/>
  <c r="A148" i="1"/>
  <c r="N147" i="1"/>
  <c r="M147" i="1"/>
  <c r="L147" i="1"/>
  <c r="K147" i="1"/>
  <c r="J147" i="1"/>
  <c r="I147" i="1"/>
  <c r="H147" i="1"/>
  <c r="G147" i="1"/>
  <c r="F147" i="1"/>
  <c r="E147" i="1"/>
  <c r="D147" i="1"/>
  <c r="C147" i="1"/>
  <c r="B147" i="1"/>
  <c r="A147" i="1"/>
  <c r="N146" i="1"/>
  <c r="M146" i="1"/>
  <c r="L146" i="1"/>
  <c r="K146" i="1"/>
  <c r="J146" i="1"/>
  <c r="I146" i="1"/>
  <c r="H146" i="1"/>
  <c r="G146" i="1"/>
  <c r="F146" i="1"/>
  <c r="E146" i="1"/>
  <c r="D146" i="1"/>
  <c r="C146" i="1"/>
  <c r="B146" i="1"/>
  <c r="A146" i="1"/>
  <c r="N145" i="1"/>
  <c r="M145" i="1"/>
  <c r="L145" i="1"/>
  <c r="K145" i="1"/>
  <c r="J145" i="1"/>
  <c r="I145" i="1"/>
  <c r="H145" i="1"/>
  <c r="G145" i="1"/>
  <c r="F145" i="1"/>
  <c r="E145" i="1"/>
  <c r="D145" i="1"/>
  <c r="C145" i="1"/>
  <c r="B145" i="1"/>
  <c r="A145" i="1"/>
  <c r="N144" i="1"/>
  <c r="M144" i="1"/>
  <c r="L144" i="1"/>
  <c r="K144" i="1"/>
  <c r="J144" i="1"/>
  <c r="I144" i="1"/>
  <c r="H144" i="1"/>
  <c r="G144" i="1"/>
  <c r="F144" i="1"/>
  <c r="E144" i="1"/>
  <c r="D144" i="1"/>
  <c r="C144" i="1"/>
  <c r="B144" i="1"/>
  <c r="A144" i="1"/>
  <c r="N143" i="1"/>
  <c r="M143" i="1"/>
  <c r="L143" i="1"/>
  <c r="K143" i="1"/>
  <c r="J143" i="1"/>
  <c r="I143" i="1"/>
  <c r="H143" i="1"/>
  <c r="G143" i="1"/>
  <c r="F143" i="1"/>
  <c r="E143" i="1"/>
  <c r="D143" i="1"/>
  <c r="C143" i="1"/>
  <c r="B143" i="1"/>
  <c r="A143" i="1"/>
  <c r="N142" i="1"/>
  <c r="M142" i="1"/>
  <c r="L142" i="1"/>
  <c r="K142" i="1"/>
  <c r="J142" i="1"/>
  <c r="I142" i="1"/>
  <c r="H142" i="1"/>
  <c r="G142" i="1"/>
  <c r="F142" i="1"/>
  <c r="E142" i="1"/>
  <c r="D142" i="1"/>
  <c r="C142" i="1"/>
  <c r="B142" i="1"/>
  <c r="A142" i="1"/>
  <c r="N141" i="1"/>
  <c r="M141" i="1"/>
  <c r="L141" i="1"/>
  <c r="K141" i="1"/>
  <c r="J141" i="1"/>
  <c r="I141" i="1"/>
  <c r="H141" i="1"/>
  <c r="G141" i="1"/>
  <c r="F141" i="1"/>
  <c r="E141" i="1"/>
  <c r="D141" i="1"/>
  <c r="C141" i="1"/>
  <c r="B141" i="1"/>
  <c r="A141" i="1"/>
  <c r="N140" i="1"/>
  <c r="M140" i="1"/>
  <c r="L140" i="1"/>
  <c r="K140" i="1"/>
  <c r="J140" i="1"/>
  <c r="I140" i="1"/>
  <c r="H140" i="1"/>
  <c r="G140" i="1"/>
  <c r="F140" i="1"/>
  <c r="E140" i="1"/>
  <c r="D140" i="1"/>
  <c r="C140" i="1"/>
  <c r="B140" i="1"/>
  <c r="A140" i="1"/>
  <c r="N139" i="1"/>
  <c r="M139" i="1"/>
  <c r="L139" i="1"/>
  <c r="K139" i="1"/>
  <c r="J139" i="1"/>
  <c r="I139" i="1"/>
  <c r="H139" i="1"/>
  <c r="G139" i="1"/>
  <c r="F139" i="1"/>
  <c r="E139" i="1"/>
  <c r="D139" i="1"/>
  <c r="C139" i="1"/>
  <c r="B139" i="1"/>
  <c r="A139" i="1"/>
  <c r="N138" i="1"/>
  <c r="M138" i="1"/>
  <c r="L138" i="1"/>
  <c r="K138" i="1"/>
  <c r="J138" i="1"/>
  <c r="I138" i="1"/>
  <c r="H138" i="1"/>
  <c r="G138" i="1"/>
  <c r="F138" i="1"/>
  <c r="E138" i="1"/>
  <c r="D138" i="1"/>
  <c r="C138" i="1"/>
  <c r="B138" i="1"/>
  <c r="A138" i="1"/>
  <c r="N137" i="1"/>
  <c r="M137" i="1"/>
  <c r="L137" i="1"/>
  <c r="K137" i="1"/>
  <c r="J137" i="1"/>
  <c r="I137" i="1"/>
  <c r="H137" i="1"/>
  <c r="G137" i="1"/>
  <c r="F137" i="1"/>
  <c r="E137" i="1"/>
  <c r="D137" i="1"/>
  <c r="C137" i="1"/>
  <c r="B137" i="1"/>
  <c r="A137" i="1"/>
  <c r="N136" i="1"/>
  <c r="M136" i="1"/>
  <c r="L136" i="1"/>
  <c r="K136" i="1"/>
  <c r="J136" i="1"/>
  <c r="I136" i="1"/>
  <c r="H136" i="1"/>
  <c r="G136" i="1"/>
  <c r="F136" i="1"/>
  <c r="E136" i="1"/>
  <c r="D136" i="1"/>
  <c r="C136" i="1"/>
  <c r="B136" i="1"/>
  <c r="A136" i="1"/>
  <c r="N135" i="1"/>
  <c r="M135" i="1"/>
  <c r="L135" i="1"/>
  <c r="K135" i="1"/>
  <c r="J135" i="1"/>
  <c r="I135" i="1"/>
  <c r="H135" i="1"/>
  <c r="G135" i="1"/>
  <c r="F135" i="1"/>
  <c r="E135" i="1"/>
  <c r="D135" i="1"/>
  <c r="C135" i="1"/>
  <c r="B135" i="1"/>
  <c r="A135" i="1"/>
  <c r="N134" i="1"/>
  <c r="M134" i="1"/>
  <c r="L134" i="1"/>
  <c r="K134" i="1"/>
  <c r="J134" i="1"/>
  <c r="I134" i="1"/>
  <c r="H134" i="1"/>
  <c r="G134" i="1"/>
  <c r="F134" i="1"/>
  <c r="E134" i="1"/>
  <c r="D134" i="1"/>
  <c r="C134" i="1"/>
  <c r="B134" i="1"/>
  <c r="A134" i="1"/>
  <c r="N133" i="1"/>
  <c r="M133" i="1"/>
  <c r="L133" i="1"/>
  <c r="K133" i="1"/>
  <c r="J133" i="1"/>
  <c r="I133" i="1"/>
  <c r="H133" i="1"/>
  <c r="G133" i="1"/>
  <c r="F133" i="1"/>
  <c r="E133" i="1"/>
  <c r="D133" i="1"/>
  <c r="C133" i="1"/>
  <c r="B133" i="1"/>
  <c r="A133" i="1"/>
  <c r="N132" i="1"/>
  <c r="M132" i="1"/>
  <c r="L132" i="1"/>
  <c r="K132" i="1"/>
  <c r="J132" i="1"/>
  <c r="I132" i="1"/>
  <c r="H132" i="1"/>
  <c r="G132" i="1"/>
  <c r="F132" i="1"/>
  <c r="E132" i="1"/>
  <c r="D132" i="1"/>
  <c r="C132" i="1"/>
  <c r="B132" i="1"/>
  <c r="A132" i="1"/>
  <c r="N131" i="1"/>
  <c r="M131" i="1"/>
  <c r="L131" i="1"/>
  <c r="K131" i="1"/>
  <c r="J131" i="1"/>
  <c r="I131" i="1"/>
  <c r="H131" i="1"/>
  <c r="G131" i="1"/>
  <c r="F131" i="1"/>
  <c r="E131" i="1"/>
  <c r="D131" i="1"/>
  <c r="C131" i="1"/>
  <c r="B131" i="1"/>
  <c r="A131" i="1"/>
  <c r="N130" i="1"/>
  <c r="M130" i="1"/>
  <c r="L130" i="1"/>
  <c r="K130" i="1"/>
  <c r="J130" i="1"/>
  <c r="I130" i="1"/>
  <c r="H130" i="1"/>
  <c r="G130" i="1"/>
  <c r="F130" i="1"/>
  <c r="E130" i="1"/>
  <c r="D130" i="1"/>
  <c r="C130" i="1"/>
  <c r="B130" i="1"/>
  <c r="A130" i="1"/>
  <c r="N129" i="1"/>
  <c r="M129" i="1"/>
  <c r="L129" i="1"/>
  <c r="K129" i="1"/>
  <c r="J129" i="1"/>
  <c r="I129" i="1"/>
  <c r="H129" i="1"/>
  <c r="G129" i="1"/>
  <c r="F129" i="1"/>
  <c r="E129" i="1"/>
  <c r="D129" i="1"/>
  <c r="C129" i="1"/>
  <c r="B129" i="1"/>
  <c r="A129" i="1"/>
  <c r="N128" i="1"/>
  <c r="M128" i="1"/>
  <c r="L128" i="1"/>
  <c r="K128" i="1"/>
  <c r="J128" i="1"/>
  <c r="I128" i="1"/>
  <c r="H128" i="1"/>
  <c r="G128" i="1"/>
  <c r="F128" i="1"/>
  <c r="E128" i="1"/>
  <c r="D128" i="1"/>
  <c r="C128" i="1"/>
  <c r="B128" i="1"/>
  <c r="A128" i="1"/>
  <c r="N127" i="1"/>
  <c r="M127" i="1"/>
  <c r="L127" i="1"/>
  <c r="K127" i="1"/>
  <c r="J127" i="1"/>
  <c r="I127" i="1"/>
  <c r="H127" i="1"/>
  <c r="G127" i="1"/>
  <c r="F127" i="1"/>
  <c r="E127" i="1"/>
  <c r="D127" i="1"/>
  <c r="C127" i="1"/>
  <c r="B127" i="1"/>
  <c r="A127" i="1"/>
  <c r="N126" i="1"/>
  <c r="M126" i="1"/>
  <c r="L126" i="1"/>
  <c r="K126" i="1"/>
  <c r="J126" i="1"/>
  <c r="I126" i="1"/>
  <c r="H126" i="1"/>
  <c r="G126" i="1"/>
  <c r="F126" i="1"/>
  <c r="E126" i="1"/>
  <c r="D126" i="1"/>
  <c r="C126" i="1"/>
  <c r="B126" i="1"/>
  <c r="A126" i="1"/>
  <c r="N125" i="1"/>
  <c r="M125" i="1"/>
  <c r="L125" i="1"/>
  <c r="K125" i="1"/>
  <c r="J125" i="1"/>
  <c r="I125" i="1"/>
  <c r="H125" i="1"/>
  <c r="G125" i="1"/>
  <c r="F125" i="1"/>
  <c r="E125" i="1"/>
  <c r="D125" i="1"/>
  <c r="C125" i="1"/>
  <c r="B125" i="1"/>
  <c r="A125" i="1"/>
  <c r="N124" i="1"/>
  <c r="M124" i="1"/>
  <c r="L124" i="1"/>
  <c r="K124" i="1"/>
  <c r="J124" i="1"/>
  <c r="I124" i="1"/>
  <c r="H124" i="1"/>
  <c r="G124" i="1"/>
  <c r="F124" i="1"/>
  <c r="E124" i="1"/>
  <c r="D124" i="1"/>
  <c r="C124" i="1"/>
  <c r="B124" i="1"/>
  <c r="A124" i="1"/>
  <c r="N123" i="1"/>
  <c r="M123" i="1"/>
  <c r="L123" i="1"/>
  <c r="K123" i="1"/>
  <c r="J123" i="1"/>
  <c r="I123" i="1"/>
  <c r="H123" i="1"/>
  <c r="G123" i="1"/>
  <c r="F123" i="1"/>
  <c r="E123" i="1"/>
  <c r="D123" i="1"/>
  <c r="C123" i="1"/>
  <c r="B123" i="1"/>
  <c r="A123" i="1"/>
  <c r="N122" i="1"/>
  <c r="M122" i="1"/>
  <c r="L122" i="1"/>
  <c r="K122" i="1"/>
  <c r="J122" i="1"/>
  <c r="I122" i="1"/>
  <c r="H122" i="1"/>
  <c r="G122" i="1"/>
  <c r="F122" i="1"/>
  <c r="E122" i="1"/>
  <c r="D122" i="1"/>
  <c r="C122" i="1"/>
  <c r="B122" i="1"/>
  <c r="A122" i="1"/>
  <c r="N121" i="1"/>
  <c r="M121" i="1"/>
  <c r="L121" i="1"/>
  <c r="K121" i="1"/>
  <c r="J121" i="1"/>
  <c r="I121" i="1"/>
  <c r="H121" i="1"/>
  <c r="G121" i="1"/>
  <c r="F121" i="1"/>
  <c r="E121" i="1"/>
  <c r="D121" i="1"/>
  <c r="C121" i="1"/>
  <c r="B121" i="1"/>
  <c r="A121" i="1"/>
  <c r="N120" i="1"/>
  <c r="M120" i="1"/>
  <c r="L120" i="1"/>
  <c r="K120" i="1"/>
  <c r="J120" i="1"/>
  <c r="I120" i="1"/>
  <c r="H120" i="1"/>
  <c r="G120" i="1"/>
  <c r="F120" i="1"/>
  <c r="E120" i="1"/>
  <c r="D120" i="1"/>
  <c r="C120" i="1"/>
  <c r="B120" i="1"/>
  <c r="A120" i="1"/>
  <c r="N119" i="1"/>
  <c r="M119" i="1"/>
  <c r="L119" i="1"/>
  <c r="K119" i="1"/>
  <c r="J119" i="1"/>
  <c r="I119" i="1"/>
  <c r="H119" i="1"/>
  <c r="G119" i="1"/>
  <c r="F119" i="1"/>
  <c r="E119" i="1"/>
  <c r="D119" i="1"/>
  <c r="C119" i="1"/>
  <c r="B119" i="1"/>
  <c r="A119" i="1"/>
  <c r="N118" i="1"/>
  <c r="M118" i="1"/>
  <c r="L118" i="1"/>
  <c r="K118" i="1"/>
  <c r="J118" i="1"/>
  <c r="I118" i="1"/>
  <c r="H118" i="1"/>
  <c r="G118" i="1"/>
  <c r="F118" i="1"/>
  <c r="E118" i="1"/>
  <c r="D118" i="1"/>
  <c r="C118" i="1"/>
  <c r="B118" i="1"/>
  <c r="A118" i="1"/>
  <c r="N117" i="1"/>
  <c r="M117" i="1"/>
  <c r="L117" i="1"/>
  <c r="K117" i="1"/>
  <c r="J117" i="1"/>
  <c r="I117" i="1"/>
  <c r="H117" i="1"/>
  <c r="G117" i="1"/>
  <c r="F117" i="1"/>
  <c r="E117" i="1"/>
  <c r="D117" i="1"/>
  <c r="C117" i="1"/>
  <c r="B117" i="1"/>
  <c r="A117" i="1"/>
  <c r="N116" i="1"/>
  <c r="M116" i="1"/>
  <c r="L116" i="1"/>
  <c r="K116" i="1"/>
  <c r="J116" i="1"/>
  <c r="I116" i="1"/>
  <c r="H116" i="1"/>
  <c r="G116" i="1"/>
  <c r="F116" i="1"/>
  <c r="E116" i="1"/>
  <c r="D116" i="1"/>
  <c r="C116" i="1"/>
  <c r="B116" i="1"/>
  <c r="A116" i="1"/>
  <c r="N115" i="1"/>
  <c r="M115" i="1"/>
  <c r="L115" i="1"/>
  <c r="K115" i="1"/>
  <c r="J115" i="1"/>
  <c r="I115" i="1"/>
  <c r="H115" i="1"/>
  <c r="G115" i="1"/>
  <c r="F115" i="1"/>
  <c r="E115" i="1"/>
  <c r="D115" i="1"/>
  <c r="C115" i="1"/>
  <c r="B115" i="1"/>
  <c r="A115" i="1"/>
  <c r="N114" i="1"/>
  <c r="M114" i="1"/>
  <c r="L114" i="1"/>
  <c r="K114" i="1"/>
  <c r="J114" i="1"/>
  <c r="I114" i="1"/>
  <c r="H114" i="1"/>
  <c r="G114" i="1"/>
  <c r="F114" i="1"/>
  <c r="E114" i="1"/>
  <c r="D114" i="1"/>
  <c r="C114" i="1"/>
  <c r="B114" i="1"/>
  <c r="A114" i="1"/>
  <c r="N113" i="1"/>
  <c r="M113" i="1"/>
  <c r="L113" i="1"/>
  <c r="K113" i="1"/>
  <c r="J113" i="1"/>
  <c r="I113" i="1"/>
  <c r="H113" i="1"/>
  <c r="G113" i="1"/>
  <c r="F113" i="1"/>
  <c r="E113" i="1"/>
  <c r="D113" i="1"/>
  <c r="C113" i="1"/>
  <c r="B113" i="1"/>
  <c r="A113" i="1"/>
  <c r="N112" i="1"/>
  <c r="M112" i="1"/>
  <c r="L112" i="1"/>
  <c r="K112" i="1"/>
  <c r="J112" i="1"/>
  <c r="I112" i="1"/>
  <c r="H112" i="1"/>
  <c r="G112" i="1"/>
  <c r="F112" i="1"/>
  <c r="E112" i="1"/>
  <c r="D112" i="1"/>
  <c r="C112" i="1"/>
  <c r="B112" i="1"/>
  <c r="A112" i="1"/>
  <c r="N111" i="1"/>
  <c r="M111" i="1"/>
  <c r="L111" i="1"/>
  <c r="K111" i="1"/>
  <c r="J111" i="1"/>
  <c r="I111" i="1"/>
  <c r="H111" i="1"/>
  <c r="G111" i="1"/>
  <c r="F111" i="1"/>
  <c r="E111" i="1"/>
  <c r="D111" i="1"/>
  <c r="C111" i="1"/>
  <c r="B111" i="1"/>
  <c r="A111" i="1"/>
  <c r="N110" i="1"/>
  <c r="M110" i="1"/>
  <c r="L110" i="1"/>
  <c r="K110" i="1"/>
  <c r="J110" i="1"/>
  <c r="I110" i="1"/>
  <c r="H110" i="1"/>
  <c r="G110" i="1"/>
  <c r="F110" i="1"/>
  <c r="E110" i="1"/>
  <c r="D110" i="1"/>
  <c r="C110" i="1"/>
  <c r="B110" i="1"/>
  <c r="A110" i="1"/>
  <c r="N109" i="1"/>
  <c r="M109" i="1"/>
  <c r="L109" i="1"/>
  <c r="K109" i="1"/>
  <c r="J109" i="1"/>
  <c r="I109" i="1"/>
  <c r="H109" i="1"/>
  <c r="G109" i="1"/>
  <c r="F109" i="1"/>
  <c r="E109" i="1"/>
  <c r="D109" i="1"/>
  <c r="C109" i="1"/>
  <c r="B109" i="1"/>
  <c r="A109" i="1"/>
  <c r="N108" i="1"/>
  <c r="M108" i="1"/>
  <c r="L108" i="1"/>
  <c r="K108" i="1"/>
  <c r="J108" i="1"/>
  <c r="I108" i="1"/>
  <c r="H108" i="1"/>
  <c r="G108" i="1"/>
  <c r="F108" i="1"/>
  <c r="E108" i="1"/>
  <c r="D108" i="1"/>
  <c r="C108" i="1"/>
  <c r="B108" i="1"/>
  <c r="A108" i="1"/>
  <c r="N107" i="1"/>
  <c r="M107" i="1"/>
  <c r="L107" i="1"/>
  <c r="K107" i="1"/>
  <c r="J107" i="1"/>
  <c r="I107" i="1"/>
  <c r="H107" i="1"/>
  <c r="G107" i="1"/>
  <c r="F107" i="1"/>
  <c r="E107" i="1"/>
  <c r="D107" i="1"/>
  <c r="C107" i="1"/>
  <c r="B107" i="1"/>
  <c r="A107" i="1"/>
  <c r="N106" i="1"/>
  <c r="M106" i="1"/>
  <c r="L106" i="1"/>
  <c r="K106" i="1"/>
  <c r="J106" i="1"/>
  <c r="I106" i="1"/>
  <c r="H106" i="1"/>
  <c r="G106" i="1"/>
  <c r="F106" i="1"/>
  <c r="E106" i="1"/>
  <c r="D106" i="1"/>
  <c r="C106" i="1"/>
  <c r="B106" i="1"/>
  <c r="A106" i="1"/>
  <c r="N105" i="1"/>
  <c r="M105" i="1"/>
  <c r="L105" i="1"/>
  <c r="K105" i="1"/>
  <c r="J105" i="1"/>
  <c r="I105" i="1"/>
  <c r="H105" i="1"/>
  <c r="G105" i="1"/>
  <c r="F105" i="1"/>
  <c r="E105" i="1"/>
  <c r="D105" i="1"/>
  <c r="C105" i="1"/>
  <c r="B105" i="1"/>
  <c r="A105" i="1"/>
  <c r="N104" i="1"/>
  <c r="M104" i="1"/>
  <c r="L104" i="1"/>
  <c r="K104" i="1"/>
  <c r="J104" i="1"/>
  <c r="I104" i="1"/>
  <c r="H104" i="1"/>
  <c r="G104" i="1"/>
  <c r="F104" i="1"/>
  <c r="E104" i="1"/>
  <c r="D104" i="1"/>
  <c r="C104" i="1"/>
  <c r="B104" i="1"/>
  <c r="A104" i="1"/>
  <c r="N103" i="1"/>
  <c r="M103" i="1"/>
  <c r="L103" i="1"/>
  <c r="K103" i="1"/>
  <c r="J103" i="1"/>
  <c r="I103" i="1"/>
  <c r="H103" i="1"/>
  <c r="G103" i="1"/>
  <c r="F103" i="1"/>
  <c r="E103" i="1"/>
  <c r="D103" i="1"/>
  <c r="C103" i="1"/>
  <c r="B103" i="1"/>
  <c r="A103" i="1"/>
  <c r="N102" i="1"/>
  <c r="M102" i="1"/>
  <c r="L102" i="1"/>
  <c r="K102" i="1"/>
  <c r="J102" i="1"/>
  <c r="I102" i="1"/>
  <c r="H102" i="1"/>
  <c r="G102" i="1"/>
  <c r="F102" i="1"/>
  <c r="E102" i="1"/>
  <c r="D102" i="1"/>
  <c r="C102" i="1"/>
  <c r="B102" i="1"/>
  <c r="A102" i="1"/>
  <c r="N101" i="1"/>
  <c r="M101" i="1"/>
  <c r="L101" i="1"/>
  <c r="K101" i="1"/>
  <c r="J101" i="1"/>
  <c r="I101" i="1"/>
  <c r="H101" i="1"/>
  <c r="G101" i="1"/>
  <c r="F101" i="1"/>
  <c r="E101" i="1"/>
  <c r="D101" i="1"/>
  <c r="C101" i="1"/>
  <c r="B101" i="1"/>
  <c r="A101" i="1"/>
  <c r="N100" i="1"/>
  <c r="M100" i="1"/>
  <c r="L100" i="1"/>
  <c r="K100" i="1"/>
  <c r="J100" i="1"/>
  <c r="I100" i="1"/>
  <c r="H100" i="1"/>
  <c r="G100" i="1"/>
  <c r="F100" i="1"/>
  <c r="E100" i="1"/>
  <c r="D100" i="1"/>
  <c r="C100" i="1"/>
  <c r="B100" i="1"/>
  <c r="A100" i="1"/>
  <c r="N99" i="1"/>
  <c r="M99" i="1"/>
  <c r="L99" i="1"/>
  <c r="K99" i="1"/>
  <c r="J99" i="1"/>
  <c r="I99" i="1"/>
  <c r="H99" i="1"/>
  <c r="G99" i="1"/>
  <c r="F99" i="1"/>
  <c r="E99" i="1"/>
  <c r="D99" i="1"/>
  <c r="C99" i="1"/>
  <c r="B99" i="1"/>
  <c r="A99" i="1"/>
  <c r="N98" i="1"/>
  <c r="M98" i="1"/>
  <c r="L98" i="1"/>
  <c r="K98" i="1"/>
  <c r="J98" i="1"/>
  <c r="I98" i="1"/>
  <c r="H98" i="1"/>
  <c r="G98" i="1"/>
  <c r="F98" i="1"/>
  <c r="E98" i="1"/>
  <c r="D98" i="1"/>
  <c r="C98" i="1"/>
  <c r="B98" i="1"/>
  <c r="A98" i="1"/>
  <c r="N97" i="1"/>
  <c r="M97" i="1"/>
  <c r="L97" i="1"/>
  <c r="K97" i="1"/>
  <c r="J97" i="1"/>
  <c r="I97" i="1"/>
  <c r="H97" i="1"/>
  <c r="G97" i="1"/>
  <c r="F97" i="1"/>
  <c r="E97" i="1"/>
  <c r="D97" i="1"/>
  <c r="C97" i="1"/>
  <c r="B97" i="1"/>
  <c r="A97" i="1"/>
  <c r="N96" i="1"/>
  <c r="M96" i="1"/>
  <c r="L96" i="1"/>
  <c r="K96" i="1"/>
  <c r="J96" i="1"/>
  <c r="I96" i="1"/>
  <c r="H96" i="1"/>
  <c r="G96" i="1"/>
  <c r="F96" i="1"/>
  <c r="E96" i="1"/>
  <c r="D96" i="1"/>
  <c r="C96" i="1"/>
  <c r="B96" i="1"/>
  <c r="A96" i="1"/>
  <c r="N95" i="1"/>
  <c r="M95" i="1"/>
  <c r="L95" i="1"/>
  <c r="K95" i="1"/>
  <c r="J95" i="1"/>
  <c r="I95" i="1"/>
  <c r="H95" i="1"/>
  <c r="G95" i="1"/>
  <c r="F95" i="1"/>
  <c r="E95" i="1"/>
  <c r="D95" i="1"/>
  <c r="C95" i="1"/>
  <c r="B95" i="1"/>
  <c r="A95" i="1"/>
  <c r="N94" i="1"/>
  <c r="M94" i="1"/>
  <c r="L94" i="1"/>
  <c r="K94" i="1"/>
  <c r="J94" i="1"/>
  <c r="I94" i="1"/>
  <c r="H94" i="1"/>
  <c r="G94" i="1"/>
  <c r="F94" i="1"/>
  <c r="E94" i="1"/>
  <c r="D94" i="1"/>
  <c r="C94" i="1"/>
  <c r="B94" i="1"/>
  <c r="A94" i="1"/>
  <c r="N93" i="1"/>
  <c r="M93" i="1"/>
  <c r="L93" i="1"/>
  <c r="K93" i="1"/>
  <c r="J93" i="1"/>
  <c r="I93" i="1"/>
  <c r="H93" i="1"/>
  <c r="G93" i="1"/>
  <c r="F93" i="1"/>
  <c r="E93" i="1"/>
  <c r="D93" i="1"/>
  <c r="C93" i="1"/>
  <c r="B93" i="1"/>
  <c r="A93" i="1"/>
  <c r="N92" i="1"/>
  <c r="M92" i="1"/>
  <c r="L92" i="1"/>
  <c r="K92" i="1"/>
  <c r="J92" i="1"/>
  <c r="I92" i="1"/>
  <c r="H92" i="1"/>
  <c r="G92" i="1"/>
  <c r="F92" i="1"/>
  <c r="E92" i="1"/>
  <c r="D92" i="1"/>
  <c r="C92" i="1"/>
  <c r="B92" i="1"/>
  <c r="A92" i="1"/>
  <c r="N91" i="1"/>
  <c r="M91" i="1"/>
  <c r="L91" i="1"/>
  <c r="K91" i="1"/>
  <c r="J91" i="1"/>
  <c r="I91" i="1"/>
  <c r="H91" i="1"/>
  <c r="G91" i="1"/>
  <c r="F91" i="1"/>
  <c r="E91" i="1"/>
  <c r="D91" i="1"/>
  <c r="C91" i="1"/>
  <c r="B91" i="1"/>
  <c r="A91" i="1"/>
  <c r="N90" i="1"/>
  <c r="M90" i="1"/>
  <c r="L90" i="1"/>
  <c r="K90" i="1"/>
  <c r="J90" i="1"/>
  <c r="I90" i="1"/>
  <c r="H90" i="1"/>
  <c r="G90" i="1"/>
  <c r="F90" i="1"/>
  <c r="E90" i="1"/>
  <c r="D90" i="1"/>
  <c r="C90" i="1"/>
  <c r="B90" i="1"/>
  <c r="A90" i="1"/>
  <c r="N89" i="1"/>
  <c r="M89" i="1"/>
  <c r="L89" i="1"/>
  <c r="K89" i="1"/>
  <c r="J89" i="1"/>
  <c r="I89" i="1"/>
  <c r="H89" i="1"/>
  <c r="G89" i="1"/>
  <c r="F89" i="1"/>
  <c r="E89" i="1"/>
  <c r="D89" i="1"/>
  <c r="C89" i="1"/>
  <c r="B89" i="1"/>
  <c r="A89" i="1"/>
  <c r="N88" i="1"/>
  <c r="M88" i="1"/>
  <c r="L88" i="1"/>
  <c r="K88" i="1"/>
  <c r="J88" i="1"/>
  <c r="I88" i="1"/>
  <c r="H88" i="1"/>
  <c r="G88" i="1"/>
  <c r="F88" i="1"/>
  <c r="E88" i="1"/>
  <c r="D88" i="1"/>
  <c r="C88" i="1"/>
  <c r="B88" i="1"/>
  <c r="A88" i="1"/>
  <c r="N87" i="1"/>
  <c r="M87" i="1"/>
  <c r="L87" i="1"/>
  <c r="K87" i="1"/>
  <c r="J87" i="1"/>
  <c r="I87" i="1"/>
  <c r="H87" i="1"/>
  <c r="G87" i="1"/>
  <c r="F87" i="1"/>
  <c r="E87" i="1"/>
  <c r="D87" i="1"/>
  <c r="C87" i="1"/>
  <c r="B87" i="1"/>
  <c r="A87" i="1"/>
  <c r="N86" i="1"/>
  <c r="M86" i="1"/>
  <c r="L86" i="1"/>
  <c r="K86" i="1"/>
  <c r="J86" i="1"/>
  <c r="I86" i="1"/>
  <c r="H86" i="1"/>
  <c r="G86" i="1"/>
  <c r="F86" i="1"/>
  <c r="E86" i="1"/>
  <c r="D86" i="1"/>
  <c r="C86" i="1"/>
  <c r="B86" i="1"/>
  <c r="A86" i="1"/>
  <c r="N85" i="1"/>
  <c r="M85" i="1"/>
  <c r="L85" i="1"/>
  <c r="K85" i="1"/>
  <c r="J85" i="1"/>
  <c r="I85" i="1"/>
  <c r="H85" i="1"/>
  <c r="G85" i="1"/>
  <c r="F85" i="1"/>
  <c r="E85" i="1"/>
  <c r="D85" i="1"/>
  <c r="C85" i="1"/>
  <c r="B85" i="1"/>
  <c r="A85" i="1"/>
  <c r="N84" i="1"/>
  <c r="M84" i="1"/>
  <c r="L84" i="1"/>
  <c r="K84" i="1"/>
  <c r="J84" i="1"/>
  <c r="I84" i="1"/>
  <c r="H84" i="1"/>
  <c r="G84" i="1"/>
  <c r="F84" i="1"/>
  <c r="E84" i="1"/>
  <c r="D84" i="1"/>
  <c r="C84" i="1"/>
  <c r="B84" i="1"/>
  <c r="A84" i="1"/>
  <c r="N83" i="1"/>
  <c r="M83" i="1"/>
  <c r="L83" i="1"/>
  <c r="K83" i="1"/>
  <c r="J83" i="1"/>
  <c r="I83" i="1"/>
  <c r="H83" i="1"/>
  <c r="G83" i="1"/>
  <c r="F83" i="1"/>
  <c r="E83" i="1"/>
  <c r="D83" i="1"/>
  <c r="C83" i="1"/>
  <c r="B83" i="1"/>
  <c r="A83" i="1"/>
  <c r="N82" i="1"/>
  <c r="M82" i="1"/>
  <c r="L82" i="1"/>
  <c r="K82" i="1"/>
  <c r="J82" i="1"/>
  <c r="I82" i="1"/>
  <c r="H82" i="1"/>
  <c r="G82" i="1"/>
  <c r="F82" i="1"/>
  <c r="E82" i="1"/>
  <c r="D82" i="1"/>
  <c r="C82" i="1"/>
  <c r="B82" i="1"/>
  <c r="A82" i="1"/>
  <c r="N81" i="1"/>
  <c r="M81" i="1"/>
  <c r="L81" i="1"/>
  <c r="K81" i="1"/>
  <c r="J81" i="1"/>
  <c r="I81" i="1"/>
  <c r="H81" i="1"/>
  <c r="G81" i="1"/>
  <c r="F81" i="1"/>
  <c r="E81" i="1"/>
  <c r="D81" i="1"/>
  <c r="C81" i="1"/>
  <c r="B81" i="1"/>
  <c r="A81" i="1"/>
  <c r="N80" i="1"/>
  <c r="M80" i="1"/>
  <c r="L80" i="1"/>
  <c r="K80" i="1"/>
  <c r="J80" i="1"/>
  <c r="I80" i="1"/>
  <c r="H80" i="1"/>
  <c r="G80" i="1"/>
  <c r="F80" i="1"/>
  <c r="E80" i="1"/>
  <c r="D80" i="1"/>
  <c r="C80" i="1"/>
  <c r="B80" i="1"/>
  <c r="A80" i="1"/>
  <c r="N79" i="1"/>
  <c r="M79" i="1"/>
  <c r="L79" i="1"/>
  <c r="K79" i="1"/>
  <c r="J79" i="1"/>
  <c r="I79" i="1"/>
  <c r="H79" i="1"/>
  <c r="G79" i="1"/>
  <c r="F79" i="1"/>
  <c r="E79" i="1"/>
  <c r="D79" i="1"/>
  <c r="C79" i="1"/>
  <c r="B79" i="1"/>
  <c r="A79" i="1"/>
  <c r="N78" i="1"/>
  <c r="M78" i="1"/>
  <c r="L78" i="1"/>
  <c r="K78" i="1"/>
  <c r="J78" i="1"/>
  <c r="I78" i="1"/>
  <c r="H78" i="1"/>
  <c r="G78" i="1"/>
  <c r="F78" i="1"/>
  <c r="E78" i="1"/>
  <c r="D78" i="1"/>
  <c r="C78" i="1"/>
  <c r="B78" i="1"/>
  <c r="A78" i="1"/>
  <c r="N77" i="1"/>
  <c r="M77" i="1"/>
  <c r="L77" i="1"/>
  <c r="K77" i="1"/>
  <c r="J77" i="1"/>
  <c r="I77" i="1"/>
  <c r="H77" i="1"/>
  <c r="G77" i="1"/>
  <c r="F77" i="1"/>
  <c r="E77" i="1"/>
  <c r="D77" i="1"/>
  <c r="C77" i="1"/>
  <c r="B77" i="1"/>
  <c r="A77" i="1"/>
  <c r="N76" i="1"/>
  <c r="M76" i="1"/>
  <c r="L76" i="1"/>
  <c r="K76" i="1"/>
  <c r="J76" i="1"/>
  <c r="I76" i="1"/>
  <c r="H76" i="1"/>
  <c r="G76" i="1"/>
  <c r="F76" i="1"/>
  <c r="E76" i="1"/>
  <c r="D76" i="1"/>
  <c r="C76" i="1"/>
  <c r="B76" i="1"/>
  <c r="A76" i="1"/>
  <c r="N75" i="1"/>
  <c r="M75" i="1"/>
  <c r="L75" i="1"/>
  <c r="K75" i="1"/>
  <c r="J75" i="1"/>
  <c r="I75" i="1"/>
  <c r="H75" i="1"/>
  <c r="G75" i="1"/>
  <c r="F75" i="1"/>
  <c r="E75" i="1"/>
  <c r="D75" i="1"/>
  <c r="C75" i="1"/>
  <c r="B75" i="1"/>
  <c r="A75" i="1"/>
  <c r="N74" i="1"/>
  <c r="M74" i="1"/>
  <c r="L74" i="1"/>
  <c r="K74" i="1"/>
  <c r="J74" i="1"/>
  <c r="I74" i="1"/>
  <c r="H74" i="1"/>
  <c r="G74" i="1"/>
  <c r="F74" i="1"/>
  <c r="E74" i="1"/>
  <c r="D74" i="1"/>
  <c r="C74" i="1"/>
  <c r="B74" i="1"/>
  <c r="A74" i="1"/>
  <c r="N73" i="1"/>
  <c r="M73" i="1"/>
  <c r="L73" i="1"/>
  <c r="K73" i="1"/>
  <c r="J73" i="1"/>
  <c r="I73" i="1"/>
  <c r="H73" i="1"/>
  <c r="G73" i="1"/>
  <c r="F73" i="1"/>
  <c r="E73" i="1"/>
  <c r="D73" i="1"/>
  <c r="C73" i="1"/>
  <c r="B73" i="1"/>
  <c r="A73" i="1"/>
  <c r="N72" i="1"/>
  <c r="M72" i="1"/>
  <c r="L72" i="1"/>
  <c r="K72" i="1"/>
  <c r="J72" i="1"/>
  <c r="I72" i="1"/>
  <c r="H72" i="1"/>
  <c r="G72" i="1"/>
  <c r="F72" i="1"/>
  <c r="E72" i="1"/>
  <c r="D72" i="1"/>
  <c r="C72" i="1"/>
  <c r="B72" i="1"/>
  <c r="A72" i="1"/>
  <c r="N71" i="1"/>
  <c r="M71" i="1"/>
  <c r="L71" i="1"/>
  <c r="K71" i="1"/>
  <c r="J71" i="1"/>
  <c r="I71" i="1"/>
  <c r="H71" i="1"/>
  <c r="G71" i="1"/>
  <c r="F71" i="1"/>
  <c r="E71" i="1"/>
  <c r="D71" i="1"/>
  <c r="C71" i="1"/>
  <c r="B71" i="1"/>
  <c r="A71" i="1"/>
  <c r="N70" i="1"/>
  <c r="M70" i="1"/>
  <c r="L70" i="1"/>
  <c r="K70" i="1"/>
  <c r="J70" i="1"/>
  <c r="I70" i="1"/>
  <c r="H70" i="1"/>
  <c r="G70" i="1"/>
  <c r="F70" i="1"/>
  <c r="E70" i="1"/>
  <c r="D70" i="1"/>
  <c r="C70" i="1"/>
  <c r="B70" i="1"/>
  <c r="A70" i="1"/>
  <c r="N69" i="1"/>
  <c r="M69" i="1"/>
  <c r="L69" i="1"/>
  <c r="K69" i="1"/>
  <c r="J69" i="1"/>
  <c r="I69" i="1"/>
  <c r="H69" i="1"/>
  <c r="G69" i="1"/>
  <c r="F69" i="1"/>
  <c r="E69" i="1"/>
  <c r="D69" i="1"/>
  <c r="C69" i="1"/>
  <c r="B69" i="1"/>
  <c r="A69" i="1"/>
  <c r="N68" i="1"/>
  <c r="M68" i="1"/>
  <c r="L68" i="1"/>
  <c r="K68" i="1"/>
  <c r="J68" i="1"/>
  <c r="I68" i="1"/>
  <c r="H68" i="1"/>
  <c r="G68" i="1"/>
  <c r="F68" i="1"/>
  <c r="E68" i="1"/>
  <c r="D68" i="1"/>
  <c r="C68" i="1"/>
  <c r="B68" i="1"/>
  <c r="A68" i="1"/>
  <c r="N67" i="1"/>
  <c r="M67" i="1"/>
  <c r="L67" i="1"/>
  <c r="K67" i="1"/>
  <c r="J67" i="1"/>
  <c r="I67" i="1"/>
  <c r="H67" i="1"/>
  <c r="G67" i="1"/>
  <c r="F67" i="1"/>
  <c r="E67" i="1"/>
  <c r="D67" i="1"/>
  <c r="C67" i="1"/>
  <c r="B67" i="1"/>
  <c r="A67" i="1"/>
  <c r="N66" i="1"/>
  <c r="M66" i="1"/>
  <c r="L66" i="1"/>
  <c r="K66" i="1"/>
  <c r="J66" i="1"/>
  <c r="I66" i="1"/>
  <c r="H66" i="1"/>
  <c r="G66" i="1"/>
  <c r="F66" i="1"/>
  <c r="E66" i="1"/>
  <c r="D66" i="1"/>
  <c r="C66" i="1"/>
  <c r="B66" i="1"/>
  <c r="A66" i="1"/>
  <c r="N65" i="1"/>
  <c r="M65" i="1"/>
  <c r="L65" i="1"/>
  <c r="K65" i="1"/>
  <c r="J65" i="1"/>
  <c r="I65" i="1"/>
  <c r="H65" i="1"/>
  <c r="G65" i="1"/>
  <c r="F65" i="1"/>
  <c r="E65" i="1"/>
  <c r="D65" i="1"/>
  <c r="C65" i="1"/>
  <c r="B65" i="1"/>
  <c r="A65" i="1"/>
  <c r="N64" i="1"/>
  <c r="M64" i="1"/>
  <c r="L64" i="1"/>
  <c r="K64" i="1"/>
  <c r="J64" i="1"/>
  <c r="I64" i="1"/>
  <c r="H64" i="1"/>
  <c r="G64" i="1"/>
  <c r="F64" i="1"/>
  <c r="E64" i="1"/>
  <c r="D64" i="1"/>
  <c r="C64" i="1"/>
  <c r="B64" i="1"/>
  <c r="A64" i="1"/>
  <c r="N63" i="1"/>
  <c r="M63" i="1"/>
  <c r="L63" i="1"/>
  <c r="K63" i="1"/>
  <c r="J63" i="1"/>
  <c r="I63" i="1"/>
  <c r="H63" i="1"/>
  <c r="G63" i="1"/>
  <c r="F63" i="1"/>
  <c r="E63" i="1"/>
  <c r="D63" i="1"/>
  <c r="C63" i="1"/>
  <c r="B63" i="1"/>
  <c r="A63" i="1"/>
  <c r="N62" i="1"/>
  <c r="M62" i="1"/>
  <c r="L62" i="1"/>
  <c r="K62" i="1"/>
  <c r="J62" i="1"/>
  <c r="I62" i="1"/>
  <c r="H62" i="1"/>
  <c r="G62" i="1"/>
  <c r="F62" i="1"/>
  <c r="E62" i="1"/>
  <c r="D62" i="1"/>
  <c r="C62" i="1"/>
  <c r="B62" i="1"/>
  <c r="A62" i="1"/>
  <c r="N61" i="1"/>
  <c r="M61" i="1"/>
  <c r="L61" i="1"/>
  <c r="K61" i="1"/>
  <c r="J61" i="1"/>
  <c r="I61" i="1"/>
  <c r="H61" i="1"/>
  <c r="G61" i="1"/>
  <c r="F61" i="1"/>
  <c r="E61" i="1"/>
  <c r="D61" i="1"/>
  <c r="C61" i="1"/>
  <c r="B61" i="1"/>
  <c r="A61" i="1"/>
  <c r="N60" i="1"/>
  <c r="M60" i="1"/>
  <c r="L60" i="1"/>
  <c r="K60" i="1"/>
  <c r="J60" i="1"/>
  <c r="I60" i="1"/>
  <c r="H60" i="1"/>
  <c r="G60" i="1"/>
  <c r="F60" i="1"/>
  <c r="E60" i="1"/>
  <c r="D60" i="1"/>
  <c r="C60" i="1"/>
  <c r="B60" i="1"/>
  <c r="A60" i="1"/>
  <c r="N59" i="1"/>
  <c r="M59" i="1"/>
  <c r="L59" i="1"/>
  <c r="K59" i="1"/>
  <c r="J59" i="1"/>
  <c r="I59" i="1"/>
  <c r="H59" i="1"/>
  <c r="G59" i="1"/>
  <c r="F59" i="1"/>
  <c r="E59" i="1"/>
  <c r="D59" i="1"/>
  <c r="C59" i="1"/>
  <c r="B59" i="1"/>
  <c r="A59" i="1"/>
  <c r="N58" i="1"/>
  <c r="M58" i="1"/>
  <c r="L58" i="1"/>
  <c r="K58" i="1"/>
  <c r="J58" i="1"/>
  <c r="I58" i="1"/>
  <c r="H58" i="1"/>
  <c r="G58" i="1"/>
  <c r="F58" i="1"/>
  <c r="E58" i="1"/>
  <c r="D58" i="1"/>
  <c r="C58" i="1"/>
  <c r="B58" i="1"/>
  <c r="A58" i="1"/>
  <c r="N57" i="1"/>
  <c r="M57" i="1"/>
  <c r="L57" i="1"/>
  <c r="K57" i="1"/>
  <c r="J57" i="1"/>
  <c r="I57" i="1"/>
  <c r="H57" i="1"/>
  <c r="G57" i="1"/>
  <c r="F57" i="1"/>
  <c r="E57" i="1"/>
  <c r="D57" i="1"/>
  <c r="C57" i="1"/>
  <c r="B57" i="1"/>
  <c r="A57" i="1"/>
  <c r="N56" i="1"/>
  <c r="M56" i="1"/>
  <c r="L56" i="1"/>
  <c r="K56" i="1"/>
  <c r="J56" i="1"/>
  <c r="I56" i="1"/>
  <c r="H56" i="1"/>
  <c r="G56" i="1"/>
  <c r="F56" i="1"/>
  <c r="E56" i="1"/>
  <c r="D56" i="1"/>
  <c r="C56" i="1"/>
  <c r="B56" i="1"/>
  <c r="A56" i="1"/>
  <c r="N55" i="1"/>
  <c r="M55" i="1"/>
  <c r="L55" i="1"/>
  <c r="K55" i="1"/>
  <c r="J55" i="1"/>
  <c r="I55" i="1"/>
  <c r="H55" i="1"/>
  <c r="G55" i="1"/>
  <c r="F55" i="1"/>
  <c r="E55" i="1"/>
  <c r="D55" i="1"/>
  <c r="C55" i="1"/>
  <c r="B55" i="1"/>
  <c r="A55" i="1"/>
  <c r="N54" i="1"/>
  <c r="M54" i="1"/>
  <c r="L54" i="1"/>
  <c r="K54" i="1"/>
  <c r="J54" i="1"/>
  <c r="I54" i="1"/>
  <c r="H54" i="1"/>
  <c r="G54" i="1"/>
  <c r="F54" i="1"/>
  <c r="E54" i="1"/>
  <c r="D54" i="1"/>
  <c r="C54" i="1"/>
  <c r="B54" i="1"/>
  <c r="A54" i="1"/>
  <c r="N53" i="1"/>
  <c r="M53" i="1"/>
  <c r="L53" i="1"/>
  <c r="K53" i="1"/>
  <c r="J53" i="1"/>
  <c r="I53" i="1"/>
  <c r="H53" i="1"/>
  <c r="G53" i="1"/>
  <c r="F53" i="1"/>
  <c r="E53" i="1"/>
  <c r="D53" i="1"/>
  <c r="C53" i="1"/>
  <c r="B53" i="1"/>
  <c r="A53" i="1"/>
  <c r="N52" i="1"/>
  <c r="M52" i="1"/>
  <c r="L52" i="1"/>
  <c r="K52" i="1"/>
  <c r="J52" i="1"/>
  <c r="I52" i="1"/>
  <c r="H52" i="1"/>
  <c r="G52" i="1"/>
  <c r="F52" i="1"/>
  <c r="E52" i="1"/>
  <c r="D52" i="1"/>
  <c r="C52" i="1"/>
  <c r="B52" i="1"/>
  <c r="A52" i="1"/>
  <c r="N51" i="1"/>
  <c r="M51" i="1"/>
  <c r="L51" i="1"/>
  <c r="K51" i="1"/>
  <c r="J51" i="1"/>
  <c r="I51" i="1"/>
  <c r="H51" i="1"/>
  <c r="G51" i="1"/>
  <c r="F51" i="1"/>
  <c r="E51" i="1"/>
  <c r="D51" i="1"/>
  <c r="C51" i="1"/>
  <c r="B51" i="1"/>
  <c r="A51" i="1"/>
  <c r="N50" i="1"/>
  <c r="M50" i="1"/>
  <c r="L50" i="1"/>
  <c r="K50" i="1"/>
  <c r="J50" i="1"/>
  <c r="I50" i="1"/>
  <c r="H50" i="1"/>
  <c r="G50" i="1"/>
  <c r="F50" i="1"/>
  <c r="E50" i="1"/>
  <c r="D50" i="1"/>
  <c r="C50" i="1"/>
  <c r="B50" i="1"/>
  <c r="A50" i="1"/>
  <c r="N49" i="1"/>
  <c r="M49" i="1"/>
  <c r="L49" i="1"/>
  <c r="K49" i="1"/>
  <c r="J49" i="1"/>
  <c r="I49" i="1"/>
  <c r="H49" i="1"/>
  <c r="G49" i="1"/>
  <c r="F49" i="1"/>
  <c r="E49" i="1"/>
  <c r="D49" i="1"/>
  <c r="C49" i="1"/>
  <c r="B49" i="1"/>
  <c r="A49" i="1"/>
  <c r="N48" i="1"/>
  <c r="M48" i="1"/>
  <c r="L48" i="1"/>
  <c r="K48" i="1"/>
  <c r="J48" i="1"/>
  <c r="I48" i="1"/>
  <c r="H48" i="1"/>
  <c r="G48" i="1"/>
  <c r="F48" i="1"/>
  <c r="E48" i="1"/>
  <c r="D48" i="1"/>
  <c r="C48" i="1"/>
  <c r="B48" i="1"/>
  <c r="A48" i="1"/>
  <c r="N47" i="1"/>
  <c r="M47" i="1"/>
  <c r="L47" i="1"/>
  <c r="K47" i="1"/>
  <c r="J47" i="1"/>
  <c r="I47" i="1"/>
  <c r="H47" i="1"/>
  <c r="G47" i="1"/>
  <c r="F47" i="1"/>
  <c r="E47" i="1"/>
  <c r="D47" i="1"/>
  <c r="C47" i="1"/>
  <c r="B47" i="1"/>
  <c r="A47" i="1"/>
  <c r="N46" i="1"/>
  <c r="M46" i="1"/>
  <c r="L46" i="1"/>
  <c r="K46" i="1"/>
  <c r="J46" i="1"/>
  <c r="I46" i="1"/>
  <c r="H46" i="1"/>
  <c r="G46" i="1"/>
  <c r="F46" i="1"/>
  <c r="E46" i="1"/>
  <c r="D46" i="1"/>
  <c r="C46" i="1"/>
  <c r="B46" i="1"/>
  <c r="A46" i="1"/>
  <c r="N45" i="1"/>
  <c r="M45" i="1"/>
  <c r="L45" i="1"/>
  <c r="K45" i="1"/>
  <c r="J45" i="1"/>
  <c r="I45" i="1"/>
  <c r="H45" i="1"/>
  <c r="G45" i="1"/>
  <c r="F45" i="1"/>
  <c r="E45" i="1"/>
  <c r="D45" i="1"/>
  <c r="C45" i="1"/>
  <c r="B45" i="1"/>
  <c r="A45" i="1"/>
  <c r="N44" i="1"/>
  <c r="M44" i="1"/>
  <c r="L44" i="1"/>
  <c r="K44" i="1"/>
  <c r="J44" i="1"/>
  <c r="I44" i="1"/>
  <c r="H44" i="1"/>
  <c r="G44" i="1"/>
  <c r="F44" i="1"/>
  <c r="E44" i="1"/>
  <c r="D44" i="1"/>
  <c r="C44" i="1"/>
  <c r="B44" i="1"/>
  <c r="A44" i="1"/>
  <c r="N43" i="1"/>
  <c r="M43" i="1"/>
  <c r="L43" i="1"/>
  <c r="K43" i="1"/>
  <c r="J43" i="1"/>
  <c r="I43" i="1"/>
  <c r="H43" i="1"/>
  <c r="G43" i="1"/>
  <c r="F43" i="1"/>
  <c r="E43" i="1"/>
  <c r="D43" i="1"/>
  <c r="C43" i="1"/>
  <c r="B43" i="1"/>
  <c r="A43" i="1"/>
  <c r="N42" i="1"/>
  <c r="M42" i="1"/>
  <c r="L42" i="1"/>
  <c r="K42" i="1"/>
  <c r="J42" i="1"/>
  <c r="I42" i="1"/>
  <c r="H42" i="1"/>
  <c r="G42" i="1"/>
  <c r="F42" i="1"/>
  <c r="E42" i="1"/>
  <c r="D42" i="1"/>
  <c r="C42" i="1"/>
  <c r="B42" i="1"/>
  <c r="A42" i="1"/>
  <c r="N41" i="1"/>
  <c r="M41" i="1"/>
  <c r="L41" i="1"/>
  <c r="K41" i="1"/>
  <c r="J41" i="1"/>
  <c r="I41" i="1"/>
  <c r="H41" i="1"/>
  <c r="G41" i="1"/>
  <c r="F41" i="1"/>
  <c r="E41" i="1"/>
  <c r="D41" i="1"/>
  <c r="C41" i="1"/>
  <c r="B41" i="1"/>
  <c r="A41" i="1"/>
  <c r="N40" i="1"/>
  <c r="M40" i="1"/>
  <c r="L40" i="1"/>
  <c r="K40" i="1"/>
  <c r="J40" i="1"/>
  <c r="I40" i="1"/>
  <c r="H40" i="1"/>
  <c r="G40" i="1"/>
  <c r="F40" i="1"/>
  <c r="E40" i="1"/>
  <c r="D40" i="1"/>
  <c r="C40" i="1"/>
  <c r="B40" i="1"/>
  <c r="A40" i="1"/>
  <c r="N39" i="1"/>
  <c r="M39" i="1"/>
  <c r="L39" i="1"/>
  <c r="K39" i="1"/>
  <c r="J39" i="1"/>
  <c r="I39" i="1"/>
  <c r="H39" i="1"/>
  <c r="G39" i="1"/>
  <c r="F39" i="1"/>
  <c r="E39" i="1"/>
  <c r="D39" i="1"/>
  <c r="C39" i="1"/>
  <c r="B39" i="1"/>
  <c r="A39" i="1"/>
  <c r="N38" i="1"/>
  <c r="M38" i="1"/>
  <c r="L38" i="1"/>
  <c r="K38" i="1"/>
  <c r="J38" i="1"/>
  <c r="I38" i="1"/>
  <c r="H38" i="1"/>
  <c r="G38" i="1"/>
  <c r="F38" i="1"/>
  <c r="E38" i="1"/>
  <c r="D38" i="1"/>
  <c r="C38" i="1"/>
  <c r="B38" i="1"/>
  <c r="A38" i="1"/>
  <c r="N37" i="1"/>
  <c r="M37" i="1"/>
  <c r="L37" i="1"/>
  <c r="K37" i="1"/>
  <c r="J37" i="1"/>
  <c r="I37" i="1"/>
  <c r="H37" i="1"/>
  <c r="G37" i="1"/>
  <c r="F37" i="1"/>
  <c r="E37" i="1"/>
  <c r="D37" i="1"/>
  <c r="C37" i="1"/>
  <c r="B37" i="1"/>
  <c r="A37" i="1"/>
  <c r="N36" i="1"/>
  <c r="M36" i="1"/>
  <c r="L36" i="1"/>
  <c r="K36" i="1"/>
  <c r="J36" i="1"/>
  <c r="I36" i="1"/>
  <c r="H36" i="1"/>
  <c r="G36" i="1"/>
  <c r="F36" i="1"/>
  <c r="E36" i="1"/>
  <c r="D36" i="1"/>
  <c r="C36" i="1"/>
  <c r="B36" i="1"/>
  <c r="A36" i="1"/>
  <c r="N35" i="1"/>
  <c r="M35" i="1"/>
  <c r="L35" i="1"/>
  <c r="K35" i="1"/>
  <c r="J35" i="1"/>
  <c r="I35" i="1"/>
  <c r="H35" i="1"/>
  <c r="G35" i="1"/>
  <c r="F35" i="1"/>
  <c r="E35" i="1"/>
  <c r="D35" i="1"/>
  <c r="C35" i="1"/>
  <c r="B35" i="1"/>
  <c r="A35" i="1"/>
  <c r="N34" i="1"/>
  <c r="M34" i="1"/>
  <c r="L34" i="1"/>
  <c r="K34" i="1"/>
  <c r="J34" i="1"/>
  <c r="I34" i="1"/>
  <c r="H34" i="1"/>
  <c r="G34" i="1"/>
  <c r="F34" i="1"/>
  <c r="E34" i="1"/>
  <c r="D34" i="1"/>
  <c r="C34" i="1"/>
  <c r="B34" i="1"/>
  <c r="A34" i="1"/>
  <c r="N33" i="1"/>
  <c r="M33" i="1"/>
  <c r="L33" i="1"/>
  <c r="K33" i="1"/>
  <c r="J33" i="1"/>
  <c r="I33" i="1"/>
  <c r="H33" i="1"/>
  <c r="G33" i="1"/>
  <c r="F33" i="1"/>
  <c r="E33" i="1"/>
  <c r="D33" i="1"/>
  <c r="C33" i="1"/>
  <c r="B33" i="1"/>
  <c r="A33" i="1"/>
  <c r="N32" i="1"/>
  <c r="M32" i="1"/>
  <c r="L32" i="1"/>
  <c r="K32" i="1"/>
  <c r="J32" i="1"/>
  <c r="I32" i="1"/>
  <c r="H32" i="1"/>
  <c r="G32" i="1"/>
  <c r="F32" i="1"/>
  <c r="E32" i="1"/>
  <c r="D32" i="1"/>
  <c r="C32" i="1"/>
  <c r="B32" i="1"/>
  <c r="A32" i="1"/>
  <c r="N31" i="1"/>
  <c r="M31" i="1"/>
  <c r="L31" i="1"/>
  <c r="K31" i="1"/>
  <c r="J31" i="1"/>
  <c r="I31" i="1"/>
  <c r="H31" i="1"/>
  <c r="G31" i="1"/>
  <c r="F31" i="1"/>
  <c r="E31" i="1"/>
  <c r="D31" i="1"/>
  <c r="C31" i="1"/>
  <c r="B31" i="1"/>
  <c r="A31" i="1"/>
  <c r="N30" i="1"/>
  <c r="M30" i="1"/>
  <c r="L30" i="1"/>
  <c r="K30" i="1"/>
  <c r="J30" i="1"/>
  <c r="I30" i="1"/>
  <c r="H30" i="1"/>
  <c r="G30" i="1"/>
  <c r="F30" i="1"/>
  <c r="E30" i="1"/>
  <c r="D30" i="1"/>
  <c r="C30" i="1"/>
  <c r="B30" i="1"/>
  <c r="A30" i="1"/>
  <c r="N29" i="1"/>
  <c r="M29" i="1"/>
  <c r="L29" i="1"/>
  <c r="K29" i="1"/>
  <c r="J29" i="1"/>
  <c r="I29" i="1"/>
  <c r="H29" i="1"/>
  <c r="G29" i="1"/>
  <c r="F29" i="1"/>
  <c r="E29" i="1"/>
  <c r="D29" i="1"/>
  <c r="C29" i="1"/>
  <c r="B29" i="1"/>
  <c r="A29" i="1"/>
  <c r="N28" i="1"/>
  <c r="M28" i="1"/>
  <c r="L28" i="1"/>
  <c r="K28" i="1"/>
  <c r="J28" i="1"/>
  <c r="I28" i="1"/>
  <c r="H28" i="1"/>
  <c r="G28" i="1"/>
  <c r="F28" i="1"/>
  <c r="E28" i="1"/>
  <c r="D28" i="1"/>
  <c r="C28" i="1"/>
  <c r="B28" i="1"/>
  <c r="A28" i="1"/>
  <c r="N27" i="1"/>
  <c r="M27" i="1"/>
  <c r="L27" i="1"/>
  <c r="K27" i="1"/>
  <c r="J27" i="1"/>
  <c r="I27" i="1"/>
  <c r="H27" i="1"/>
  <c r="G27" i="1"/>
  <c r="F27" i="1"/>
  <c r="E27" i="1"/>
  <c r="D27" i="1"/>
  <c r="C27" i="1"/>
  <c r="B27" i="1"/>
  <c r="A27" i="1"/>
  <c r="N26" i="1"/>
  <c r="M26" i="1"/>
  <c r="L26" i="1"/>
  <c r="K26" i="1"/>
  <c r="J26" i="1"/>
  <c r="I26" i="1"/>
  <c r="H26" i="1"/>
  <c r="G26" i="1"/>
  <c r="F26" i="1"/>
  <c r="E26" i="1"/>
  <c r="D26" i="1"/>
  <c r="C26" i="1"/>
  <c r="B26" i="1"/>
  <c r="A26" i="1"/>
  <c r="N25" i="1"/>
  <c r="M25" i="1"/>
  <c r="L25" i="1"/>
  <c r="K25" i="1"/>
  <c r="J25" i="1"/>
  <c r="I25" i="1"/>
  <c r="H25" i="1"/>
  <c r="G25" i="1"/>
  <c r="F25" i="1"/>
  <c r="E25" i="1"/>
  <c r="D25" i="1"/>
  <c r="C25" i="1"/>
  <c r="B25" i="1"/>
  <c r="A25" i="1"/>
  <c r="N24" i="1"/>
  <c r="M24" i="1"/>
  <c r="L24" i="1"/>
  <c r="K24" i="1"/>
  <c r="J24" i="1"/>
  <c r="I24" i="1"/>
  <c r="H24" i="1"/>
  <c r="G24" i="1"/>
  <c r="F24" i="1"/>
  <c r="E24" i="1"/>
  <c r="D24" i="1"/>
  <c r="C24" i="1"/>
  <c r="B24" i="1"/>
  <c r="A24" i="1"/>
  <c r="N23" i="1"/>
  <c r="M23" i="1"/>
  <c r="L23" i="1"/>
  <c r="K23" i="1"/>
  <c r="J23" i="1"/>
  <c r="I23" i="1"/>
  <c r="H23" i="1"/>
  <c r="G23" i="1"/>
  <c r="F23" i="1"/>
  <c r="E23" i="1"/>
  <c r="D23" i="1"/>
  <c r="C23" i="1"/>
  <c r="B23" i="1"/>
  <c r="A23" i="1"/>
  <c r="N22" i="1"/>
  <c r="M22" i="1"/>
  <c r="L22" i="1"/>
  <c r="K22" i="1"/>
  <c r="J22" i="1"/>
  <c r="I22" i="1"/>
  <c r="H22" i="1"/>
  <c r="G22" i="1"/>
  <c r="F22" i="1"/>
  <c r="E22" i="1"/>
  <c r="D22" i="1"/>
  <c r="C22" i="1"/>
  <c r="B22" i="1"/>
  <c r="A22" i="1"/>
  <c r="N21" i="1"/>
  <c r="M21" i="1"/>
  <c r="L21" i="1"/>
  <c r="K21" i="1"/>
  <c r="J21" i="1"/>
  <c r="I21" i="1"/>
  <c r="H21" i="1"/>
  <c r="G21" i="1"/>
  <c r="F21" i="1"/>
  <c r="E21" i="1"/>
  <c r="D21" i="1"/>
  <c r="C21" i="1"/>
  <c r="B21" i="1"/>
  <c r="A21" i="1"/>
  <c r="N20" i="1"/>
  <c r="M20" i="1"/>
  <c r="L20" i="1"/>
  <c r="K20" i="1"/>
  <c r="J20" i="1"/>
  <c r="I20" i="1"/>
  <c r="H20" i="1"/>
  <c r="G20" i="1"/>
  <c r="F20" i="1"/>
  <c r="E20" i="1"/>
  <c r="D20" i="1"/>
  <c r="C20" i="1"/>
  <c r="B20" i="1"/>
  <c r="A20" i="1"/>
  <c r="N19" i="1"/>
  <c r="M19" i="1"/>
  <c r="L19" i="1"/>
  <c r="K19" i="1"/>
  <c r="J19" i="1"/>
  <c r="I19" i="1"/>
  <c r="H19" i="1"/>
  <c r="G19" i="1"/>
  <c r="F19" i="1"/>
  <c r="E19" i="1"/>
  <c r="D19" i="1"/>
  <c r="C19" i="1"/>
  <c r="B19" i="1"/>
  <c r="A19" i="1"/>
  <c r="N18" i="1"/>
  <c r="M18" i="1"/>
  <c r="L18" i="1"/>
  <c r="K18" i="1"/>
  <c r="J18" i="1"/>
  <c r="I18" i="1"/>
  <c r="H18" i="1"/>
  <c r="G18" i="1"/>
  <c r="F18" i="1"/>
  <c r="E18" i="1"/>
  <c r="D18" i="1"/>
  <c r="C18" i="1"/>
  <c r="B18" i="1"/>
  <c r="A18" i="1"/>
  <c r="N17" i="1"/>
  <c r="M17" i="1"/>
  <c r="L17" i="1"/>
  <c r="K17" i="1"/>
  <c r="J17" i="1"/>
  <c r="I17" i="1"/>
  <c r="H17" i="1"/>
  <c r="G17" i="1"/>
  <c r="F17" i="1"/>
  <c r="E17" i="1"/>
  <c r="D17" i="1"/>
  <c r="C17" i="1"/>
  <c r="B17" i="1"/>
  <c r="A17" i="1"/>
  <c r="N16" i="1"/>
  <c r="M16" i="1"/>
  <c r="L16" i="1"/>
  <c r="K16" i="1"/>
  <c r="J16" i="1"/>
  <c r="I16" i="1"/>
  <c r="H16" i="1"/>
  <c r="G16" i="1"/>
  <c r="F16" i="1"/>
  <c r="E16" i="1"/>
  <c r="D16" i="1"/>
  <c r="C16" i="1"/>
  <c r="B16" i="1"/>
  <c r="A16" i="1"/>
  <c r="N15" i="1"/>
  <c r="M15" i="1"/>
  <c r="L15" i="1"/>
  <c r="K15" i="1"/>
  <c r="J15" i="1"/>
  <c r="I15" i="1"/>
  <c r="H15" i="1"/>
  <c r="G15" i="1"/>
  <c r="F15" i="1"/>
  <c r="E15" i="1"/>
  <c r="D15" i="1"/>
  <c r="C15" i="1"/>
  <c r="B15" i="1"/>
  <c r="A15" i="1"/>
  <c r="N14" i="1"/>
  <c r="M14" i="1"/>
  <c r="L14" i="1"/>
  <c r="K14" i="1"/>
  <c r="J14" i="1"/>
  <c r="I14" i="1"/>
  <c r="H14" i="1"/>
  <c r="G14" i="1"/>
  <c r="F14" i="1"/>
  <c r="E14" i="1"/>
  <c r="D14" i="1"/>
  <c r="C14" i="1"/>
  <c r="B14" i="1"/>
  <c r="A14" i="1"/>
  <c r="N13" i="1"/>
  <c r="M13" i="1"/>
  <c r="L13" i="1"/>
  <c r="K13" i="1"/>
  <c r="J13" i="1"/>
  <c r="I13" i="1"/>
  <c r="H13" i="1"/>
  <c r="G13" i="1"/>
  <c r="F13" i="1"/>
  <c r="E13" i="1"/>
  <c r="D13" i="1"/>
  <c r="C13" i="1"/>
  <c r="B13" i="1"/>
  <c r="A13" i="1"/>
  <c r="N12" i="1"/>
  <c r="M12" i="1"/>
  <c r="L12" i="1"/>
  <c r="K12" i="1"/>
  <c r="J12" i="1"/>
  <c r="I12" i="1"/>
  <c r="H12" i="1"/>
  <c r="G12" i="1"/>
  <c r="F12" i="1"/>
  <c r="E12" i="1"/>
  <c r="D12" i="1"/>
  <c r="C12" i="1"/>
  <c r="B12" i="1"/>
  <c r="A12" i="1"/>
  <c r="N11" i="1"/>
  <c r="M11" i="1"/>
  <c r="L11" i="1"/>
  <c r="K11" i="1"/>
  <c r="J11" i="1"/>
  <c r="I11" i="1"/>
  <c r="H11" i="1"/>
  <c r="G11" i="1"/>
  <c r="F11" i="1"/>
  <c r="E11" i="1"/>
  <c r="D11" i="1"/>
  <c r="C11" i="1"/>
  <c r="B11" i="1"/>
  <c r="A11" i="1"/>
  <c r="N10" i="1"/>
  <c r="M10" i="1"/>
  <c r="L10" i="1"/>
  <c r="K10" i="1"/>
  <c r="J10" i="1"/>
  <c r="I10" i="1"/>
  <c r="H10" i="1"/>
  <c r="G10" i="1"/>
  <c r="F10" i="1"/>
  <c r="E10" i="1"/>
  <c r="D10" i="1"/>
  <c r="C10" i="1"/>
  <c r="B10" i="1"/>
  <c r="A10" i="1"/>
  <c r="N9" i="1"/>
  <c r="M9" i="1"/>
  <c r="L9" i="1"/>
  <c r="K9" i="1"/>
  <c r="J9" i="1"/>
  <c r="I9" i="1"/>
  <c r="H9" i="1"/>
  <c r="G9" i="1"/>
  <c r="F9" i="1"/>
  <c r="E9" i="1"/>
  <c r="D9" i="1"/>
  <c r="C9" i="1"/>
  <c r="B9" i="1"/>
  <c r="A9" i="1"/>
  <c r="N8" i="1"/>
  <c r="M8" i="1"/>
  <c r="L8" i="1"/>
  <c r="K8" i="1"/>
  <c r="J8" i="1"/>
  <c r="I8" i="1"/>
  <c r="H8" i="1"/>
  <c r="G8" i="1"/>
  <c r="F8" i="1"/>
  <c r="E8" i="1"/>
  <c r="D8" i="1"/>
  <c r="C8" i="1"/>
  <c r="B8" i="1"/>
  <c r="A8" i="1"/>
  <c r="N7" i="1"/>
  <c r="M7" i="1"/>
  <c r="L7" i="1"/>
  <c r="K7" i="1"/>
  <c r="J7" i="1"/>
  <c r="I7" i="1"/>
  <c r="H7" i="1"/>
  <c r="G7" i="1"/>
  <c r="F7" i="1"/>
  <c r="E7" i="1"/>
  <c r="D7" i="1"/>
  <c r="C7" i="1"/>
  <c r="B7" i="1"/>
  <c r="A7" i="1"/>
  <c r="N6" i="1"/>
  <c r="M6" i="1"/>
  <c r="L6" i="1"/>
  <c r="K6" i="1"/>
  <c r="J6" i="1"/>
  <c r="I6" i="1"/>
  <c r="H6" i="1"/>
  <c r="G6" i="1"/>
  <c r="F6" i="1"/>
  <c r="E6" i="1"/>
  <c r="D6" i="1"/>
  <c r="C6" i="1"/>
  <c r="B6" i="1"/>
  <c r="A6" i="1"/>
  <c r="N5" i="1"/>
  <c r="M5" i="1"/>
  <c r="L5" i="1"/>
  <c r="K5" i="1"/>
  <c r="J5" i="1"/>
  <c r="I5" i="1"/>
  <c r="H5" i="1"/>
  <c r="G5" i="1"/>
  <c r="F5" i="1"/>
  <c r="E5" i="1"/>
  <c r="D5" i="1"/>
  <c r="C5" i="1"/>
  <c r="B5" i="1"/>
  <c r="A5" i="1"/>
  <c r="N4" i="1"/>
  <c r="M4" i="1"/>
  <c r="L4" i="1"/>
  <c r="K4" i="1"/>
  <c r="J4" i="1"/>
  <c r="I4" i="1"/>
  <c r="H4" i="1"/>
  <c r="G4" i="1"/>
  <c r="F4" i="1"/>
  <c r="E4" i="1"/>
  <c r="D4" i="1"/>
  <c r="C4" i="1"/>
  <c r="B4" i="1"/>
  <c r="A4" i="1"/>
  <c r="N3" i="1"/>
  <c r="M3" i="1"/>
  <c r="L3" i="1"/>
  <c r="K3" i="1"/>
  <c r="J3" i="1"/>
  <c r="I3" i="1"/>
  <c r="H3" i="1"/>
  <c r="G3" i="1"/>
  <c r="F3" i="1"/>
  <c r="E3" i="1"/>
  <c r="D3" i="1"/>
  <c r="C3" i="1"/>
  <c r="B3" i="1"/>
  <c r="A3" i="1"/>
  <c r="X36" i="2"/>
  <c r="X30" i="2"/>
  <c r="N36" i="2"/>
  <c r="N30" i="2"/>
  <c r="B33" i="2" l="1"/>
  <c r="B32" i="2"/>
  <c r="B31" i="2"/>
  <c r="B30" i="2"/>
  <c r="B29" i="2"/>
  <c r="B28" i="2"/>
  <c r="B27" i="2"/>
  <c r="B26" i="2"/>
  <c r="B25" i="2"/>
  <c r="B24" i="2"/>
  <c r="B23" i="2"/>
  <c r="B22" i="2"/>
  <c r="AG48" i="1" l="1"/>
  <c r="AH48" i="1" s="1"/>
  <c r="AI48" i="1" l="1"/>
  <c r="Y12" i="1"/>
  <c r="AJ48" i="1" l="1"/>
  <c r="N11" i="2"/>
  <c r="N5" i="2"/>
  <c r="X5" i="2"/>
  <c r="X11" i="2"/>
  <c r="AK48" i="1" l="1"/>
  <c r="AL48" i="1" l="1"/>
  <c r="R21" i="2"/>
  <c r="R46" i="2" s="1"/>
  <c r="R20" i="2"/>
  <c r="R45" i="2" s="1"/>
  <c r="R19" i="2"/>
  <c r="R44" i="2" s="1"/>
  <c r="AB21" i="2"/>
  <c r="AB46" i="2" s="1"/>
  <c r="AB20" i="2"/>
  <c r="AB45" i="2" s="1"/>
  <c r="AB19" i="2"/>
  <c r="AB44" i="2" s="1"/>
  <c r="R12" i="2"/>
  <c r="R37" i="2" s="1"/>
  <c r="R11" i="2"/>
  <c r="R36" i="2" s="1"/>
  <c r="R10" i="2"/>
  <c r="R35" i="2" s="1"/>
  <c r="R9" i="2"/>
  <c r="R34" i="2" s="1"/>
  <c r="R8" i="2"/>
  <c r="R33" i="2" s="1"/>
  <c r="R7" i="2"/>
  <c r="R32" i="2" s="1"/>
  <c r="R6" i="2"/>
  <c r="R31" i="2" s="1"/>
  <c r="R5" i="2"/>
  <c r="R30" i="2" s="1"/>
  <c r="AB12" i="2"/>
  <c r="AB37" i="2" s="1"/>
  <c r="AB11" i="2"/>
  <c r="AB36" i="2" s="1"/>
  <c r="AB10" i="2"/>
  <c r="AB35" i="2" s="1"/>
  <c r="AB9" i="2"/>
  <c r="AB34" i="2" s="1"/>
  <c r="AB8" i="2"/>
  <c r="AB33" i="2" s="1"/>
  <c r="AB7" i="2"/>
  <c r="AB32" i="2" s="1"/>
  <c r="AB6" i="2"/>
  <c r="AB31" i="2" s="1"/>
  <c r="AB5" i="2"/>
  <c r="AB30" i="2" s="1"/>
  <c r="FL2" i="1" l="1"/>
  <c r="ET2" i="1"/>
  <c r="ET52" i="1" s="1"/>
  <c r="EN2" i="1"/>
  <c r="DV2" i="1"/>
  <c r="DP2" i="1"/>
  <c r="CZ2" i="1" l="1"/>
  <c r="CR2" i="1"/>
  <c r="CR52" i="1" s="1"/>
  <c r="CJ2" i="1"/>
  <c r="CB2" i="1"/>
  <c r="BT2" i="1"/>
  <c r="BL2" i="1"/>
  <c r="BD2" i="1"/>
  <c r="AV2" i="1"/>
  <c r="DH2" i="1" l="1"/>
  <c r="DH52" i="1" s="1"/>
  <c r="BL52" i="1"/>
  <c r="AC3" i="1"/>
  <c r="Z10" i="1"/>
  <c r="AC2" i="1" s="1"/>
  <c r="Z9" i="1"/>
  <c r="AD2" i="1" s="1"/>
  <c r="BB4" i="1"/>
  <c r="BJ4" i="1" s="1"/>
  <c r="BR4" i="1" s="1"/>
  <c r="BA4" i="1"/>
  <c r="BI4" i="1" s="1"/>
  <c r="BQ4" i="1" s="1"/>
  <c r="AZ4" i="1"/>
  <c r="BH4" i="1" s="1"/>
  <c r="BP4" i="1" s="1"/>
  <c r="AY4" i="1"/>
  <c r="BG4" i="1" s="1"/>
  <c r="BO4" i="1" s="1"/>
  <c r="AX4" i="1"/>
  <c r="BF4" i="1" s="1"/>
  <c r="BN4" i="1" s="1"/>
  <c r="AW4" i="1"/>
  <c r="BE4" i="1" s="1"/>
  <c r="BM4" i="1" s="1"/>
  <c r="BB3" i="1"/>
  <c r="BJ3" i="1" s="1"/>
  <c r="BR3" i="1" s="1"/>
  <c r="BA3" i="1"/>
  <c r="BI3" i="1" s="1"/>
  <c r="BQ3" i="1" s="1"/>
  <c r="AZ3" i="1"/>
  <c r="BH3" i="1" s="1"/>
  <c r="BP3" i="1" s="1"/>
  <c r="AY3" i="1"/>
  <c r="BG3" i="1" s="1"/>
  <c r="BO3" i="1" s="1"/>
  <c r="AX3" i="1"/>
  <c r="BF3" i="1" s="1"/>
  <c r="BN3" i="1" s="1"/>
  <c r="AW3" i="1"/>
  <c r="BE3" i="1" s="1"/>
  <c r="BM3" i="1" s="1"/>
  <c r="AV3" i="1"/>
  <c r="BD3" i="1" s="1"/>
  <c r="BL3" i="1" s="1"/>
  <c r="AV4" i="1"/>
  <c r="BD4" i="1" s="1"/>
  <c r="BL4" i="1" s="1"/>
  <c r="AN5" i="1"/>
  <c r="Y6" i="1"/>
  <c r="Y5" i="1"/>
  <c r="V11" i="1"/>
  <c r="D2" i="2"/>
  <c r="C2" i="2"/>
  <c r="AI4" i="1"/>
  <c r="Q4" i="2" l="1"/>
  <c r="Q29" i="2" s="1"/>
  <c r="X22" i="2"/>
  <c r="X47" i="2" s="1"/>
  <c r="AA4" i="2"/>
  <c r="AA29" i="2" s="1"/>
  <c r="N22" i="2"/>
  <c r="N47" i="2" s="1"/>
  <c r="EW53" i="1"/>
  <c r="EV53" i="1"/>
  <c r="EU53" i="1"/>
  <c r="EZ53" i="1"/>
  <c r="EY53" i="1"/>
  <c r="EX53" i="1"/>
  <c r="ET53" i="1"/>
  <c r="FA53" i="1"/>
  <c r="AA22" i="2"/>
  <c r="AA47" i="2" s="1"/>
  <c r="N4" i="2"/>
  <c r="N29" i="2" s="1"/>
  <c r="X4" i="2"/>
  <c r="X29" i="2" s="1"/>
  <c r="Q22" i="2"/>
  <c r="Q47" i="2" s="1"/>
  <c r="AG4" i="1"/>
  <c r="DH53" i="1"/>
  <c r="DI53" i="1"/>
  <c r="DJ53" i="1"/>
  <c r="BZ4" i="1"/>
  <c r="CH4" i="1" s="1"/>
  <c r="CP4" i="1" s="1"/>
  <c r="CX4" i="1" s="1"/>
  <c r="BR54" i="1"/>
  <c r="BX4" i="1"/>
  <c r="CF4" i="1" s="1"/>
  <c r="CN4" i="1" s="1"/>
  <c r="CV4" i="1" s="1"/>
  <c r="BP54" i="1"/>
  <c r="BX3" i="1"/>
  <c r="CF3" i="1" s="1"/>
  <c r="CN3" i="1" s="1"/>
  <c r="CV3" i="1" s="1"/>
  <c r="BP53" i="1"/>
  <c r="BY3" i="1"/>
  <c r="CG3" i="1" s="1"/>
  <c r="CO3" i="1" s="1"/>
  <c r="CW3" i="1" s="1"/>
  <c r="BQ53" i="1"/>
  <c r="BV3" i="1"/>
  <c r="CD3" i="1" s="1"/>
  <c r="CL3" i="1" s="1"/>
  <c r="CT3" i="1" s="1"/>
  <c r="BN53" i="1"/>
  <c r="BY4" i="1"/>
  <c r="CG4" i="1" s="1"/>
  <c r="CO4" i="1" s="1"/>
  <c r="CW4" i="1" s="1"/>
  <c r="BQ54" i="1"/>
  <c r="BZ3" i="1"/>
  <c r="CH3" i="1" s="1"/>
  <c r="CP3" i="1" s="1"/>
  <c r="CX3" i="1" s="1"/>
  <c r="BR53" i="1"/>
  <c r="BT4" i="1"/>
  <c r="CB4" i="1" s="1"/>
  <c r="CJ4" i="1" s="1"/>
  <c r="CR4" i="1" s="1"/>
  <c r="BL54" i="1"/>
  <c r="BU4" i="1"/>
  <c r="CC4" i="1" s="1"/>
  <c r="CK4" i="1" s="1"/>
  <c r="CS4" i="1" s="1"/>
  <c r="BM54" i="1"/>
  <c r="BT3" i="1"/>
  <c r="CB3" i="1" s="1"/>
  <c r="CJ3" i="1" s="1"/>
  <c r="CR3" i="1" s="1"/>
  <c r="BL53" i="1"/>
  <c r="BV4" i="1"/>
  <c r="CD4" i="1" s="1"/>
  <c r="CL4" i="1" s="1"/>
  <c r="CT4" i="1" s="1"/>
  <c r="BN54" i="1"/>
  <c r="BW3" i="1"/>
  <c r="CE3" i="1" s="1"/>
  <c r="CM3" i="1" s="1"/>
  <c r="CU3" i="1" s="1"/>
  <c r="BO53" i="1"/>
  <c r="BU3" i="1"/>
  <c r="CC3" i="1" s="1"/>
  <c r="CK3" i="1" s="1"/>
  <c r="CS3" i="1" s="1"/>
  <c r="BM53" i="1"/>
  <c r="BW4" i="1"/>
  <c r="CE4" i="1" s="1"/>
  <c r="CM4" i="1" s="1"/>
  <c r="CU4" i="1" s="1"/>
  <c r="BO54" i="1"/>
  <c r="AK4" i="1"/>
  <c r="AE4" i="1"/>
  <c r="HH43" i="1"/>
  <c r="HE34" i="1"/>
  <c r="GP54" i="1"/>
  <c r="EA3" i="1"/>
  <c r="FN3" i="1"/>
  <c r="FP3" i="1"/>
  <c r="DY3" i="1"/>
  <c r="FL3" i="1"/>
  <c r="FM3" i="1"/>
  <c r="DQ3" i="1"/>
  <c r="FQ3" i="1"/>
  <c r="FO3" i="1"/>
  <c r="EC3" i="1"/>
  <c r="DZ3" i="1"/>
  <c r="DP3" i="1"/>
  <c r="FS3" i="1"/>
  <c r="EB3" i="1"/>
  <c r="DX3" i="1"/>
  <c r="FR3" i="1"/>
  <c r="DW3" i="1"/>
  <c r="DV3" i="1"/>
  <c r="Z20" i="1"/>
  <c r="Y14" i="1"/>
  <c r="Y15" i="1"/>
  <c r="HE1" i="1"/>
  <c r="HK10" i="1"/>
  <c r="AC4" i="1"/>
  <c r="GP21" i="1"/>
  <c r="EX3" i="1"/>
  <c r="EN3" i="1"/>
  <c r="DJ3" i="1"/>
  <c r="EW3" i="1"/>
  <c r="DI3" i="1"/>
  <c r="FA3" i="1"/>
  <c r="EO3" i="1"/>
  <c r="EV3" i="1"/>
  <c r="DH3" i="1"/>
  <c r="FU3" i="1"/>
  <c r="EU3" i="1"/>
  <c r="FT3" i="1"/>
  <c r="ET3" i="1"/>
  <c r="EY3" i="1"/>
  <c r="EZ3" i="1"/>
  <c r="BD5" i="1"/>
  <c r="AV5" i="1"/>
  <c r="F5" i="2" s="1"/>
  <c r="R200" i="1"/>
  <c r="R199" i="1"/>
  <c r="R198" i="1"/>
  <c r="R197" i="1"/>
  <c r="R196" i="1"/>
  <c r="R195" i="1"/>
  <c r="R194" i="1"/>
  <c r="R193" i="1"/>
  <c r="R192" i="1"/>
  <c r="R191" i="1"/>
  <c r="R190" i="1"/>
  <c r="R189" i="1"/>
  <c r="R188" i="1"/>
  <c r="R187" i="1"/>
  <c r="R186" i="1"/>
  <c r="R185" i="1"/>
  <c r="R184" i="1"/>
  <c r="R183" i="1"/>
  <c r="R182" i="1"/>
  <c r="R181" i="1"/>
  <c r="R180" i="1"/>
  <c r="R179" i="1"/>
  <c r="R178" i="1"/>
  <c r="R177" i="1"/>
  <c r="R176" i="1"/>
  <c r="R175" i="1"/>
  <c r="R174" i="1"/>
  <c r="R173" i="1"/>
  <c r="R172" i="1"/>
  <c r="R171" i="1"/>
  <c r="R170" i="1"/>
  <c r="R169" i="1"/>
  <c r="R168" i="1"/>
  <c r="R167" i="1"/>
  <c r="R166" i="1"/>
  <c r="R165" i="1"/>
  <c r="R164" i="1"/>
  <c r="R163" i="1"/>
  <c r="R162" i="1"/>
  <c r="R161" i="1"/>
  <c r="R160" i="1"/>
  <c r="R159" i="1"/>
  <c r="R158" i="1"/>
  <c r="R157" i="1"/>
  <c r="R156" i="1"/>
  <c r="R155" i="1"/>
  <c r="R154" i="1"/>
  <c r="R153" i="1"/>
  <c r="R152" i="1"/>
  <c r="R151" i="1"/>
  <c r="R150" i="1"/>
  <c r="R149" i="1"/>
  <c r="R148" i="1"/>
  <c r="R147" i="1"/>
  <c r="R146" i="1"/>
  <c r="R145" i="1"/>
  <c r="R144" i="1"/>
  <c r="R143" i="1"/>
  <c r="R142" i="1"/>
  <c r="R141" i="1"/>
  <c r="R140" i="1"/>
  <c r="R139" i="1"/>
  <c r="R138" i="1"/>
  <c r="R137" i="1"/>
  <c r="R136" i="1"/>
  <c r="R135" i="1"/>
  <c r="R134" i="1"/>
  <c r="R133" i="1"/>
  <c r="R132" i="1"/>
  <c r="R131" i="1"/>
  <c r="R130" i="1"/>
  <c r="R129" i="1"/>
  <c r="R128" i="1"/>
  <c r="R127" i="1"/>
  <c r="R126" i="1"/>
  <c r="R125" i="1"/>
  <c r="R124" i="1"/>
  <c r="R123" i="1"/>
  <c r="R122" i="1"/>
  <c r="R121" i="1"/>
  <c r="R120" i="1"/>
  <c r="R119" i="1"/>
  <c r="R118" i="1"/>
  <c r="R117" i="1"/>
  <c r="R116" i="1"/>
  <c r="R115" i="1"/>
  <c r="R114" i="1"/>
  <c r="R113" i="1"/>
  <c r="R112" i="1"/>
  <c r="R111" i="1"/>
  <c r="R110" i="1"/>
  <c r="R109" i="1"/>
  <c r="R108" i="1"/>
  <c r="R107" i="1"/>
  <c r="R106" i="1"/>
  <c r="R105" i="1"/>
  <c r="R104" i="1"/>
  <c r="R103" i="1"/>
  <c r="R102" i="1"/>
  <c r="R101" i="1"/>
  <c r="R100" i="1"/>
  <c r="R99" i="1"/>
  <c r="R98" i="1"/>
  <c r="R97" i="1"/>
  <c r="R96" i="1"/>
  <c r="R95" i="1"/>
  <c r="R94" i="1"/>
  <c r="R93" i="1"/>
  <c r="R92" i="1"/>
  <c r="R91" i="1"/>
  <c r="R90" i="1"/>
  <c r="R89" i="1"/>
  <c r="R88" i="1"/>
  <c r="R87" i="1"/>
  <c r="R86" i="1"/>
  <c r="R85" i="1"/>
  <c r="R84" i="1"/>
  <c r="R83" i="1"/>
  <c r="R82" i="1"/>
  <c r="R81" i="1"/>
  <c r="R80" i="1"/>
  <c r="R79" i="1"/>
  <c r="R78" i="1"/>
  <c r="R77" i="1"/>
  <c r="R76" i="1"/>
  <c r="R75" i="1"/>
  <c r="R74" i="1"/>
  <c r="R73" i="1"/>
  <c r="R72" i="1"/>
  <c r="R71" i="1"/>
  <c r="R70" i="1"/>
  <c r="R69" i="1"/>
  <c r="R68" i="1"/>
  <c r="R67" i="1"/>
  <c r="R66" i="1"/>
  <c r="R65" i="1"/>
  <c r="R64" i="1"/>
  <c r="R63" i="1"/>
  <c r="R62" i="1"/>
  <c r="R61" i="1"/>
  <c r="R60" i="1"/>
  <c r="R59" i="1"/>
  <c r="R58" i="1"/>
  <c r="R57" i="1"/>
  <c r="R56" i="1"/>
  <c r="R55" i="1"/>
  <c r="R54" i="1"/>
  <c r="R53" i="1"/>
  <c r="R52" i="1"/>
  <c r="R51" i="1"/>
  <c r="R50" i="1"/>
  <c r="R49" i="1"/>
  <c r="R48" i="1"/>
  <c r="R47" i="1"/>
  <c r="R46" i="1"/>
  <c r="R45" i="1"/>
  <c r="R44" i="1"/>
  <c r="R43" i="1"/>
  <c r="R42" i="1"/>
  <c r="R41" i="1"/>
  <c r="R40" i="1"/>
  <c r="R39" i="1"/>
  <c r="R38" i="1"/>
  <c r="R37" i="1"/>
  <c r="R36" i="1"/>
  <c r="R35" i="1"/>
  <c r="R34" i="1"/>
  <c r="R33" i="1"/>
  <c r="R32" i="1"/>
  <c r="R31" i="1"/>
  <c r="R30" i="1"/>
  <c r="R29" i="1"/>
  <c r="R28" i="1"/>
  <c r="R27" i="1"/>
  <c r="R26" i="1"/>
  <c r="R25" i="1"/>
  <c r="R24" i="1"/>
  <c r="R23" i="1"/>
  <c r="R22" i="1"/>
  <c r="R21" i="1"/>
  <c r="R20" i="1"/>
  <c r="R19" i="1"/>
  <c r="R18" i="1"/>
  <c r="R17" i="1"/>
  <c r="R16" i="1"/>
  <c r="R15" i="1"/>
  <c r="R14" i="1"/>
  <c r="R13" i="1"/>
  <c r="R12" i="1"/>
  <c r="R11" i="1"/>
  <c r="R10" i="1"/>
  <c r="R9" i="1"/>
  <c r="R8" i="1"/>
  <c r="R7" i="1"/>
  <c r="R6" i="1"/>
  <c r="R5" i="1"/>
  <c r="R4" i="1"/>
  <c r="R3" i="1"/>
  <c r="S3" i="1" s="1"/>
  <c r="X200" i="1"/>
  <c r="X199" i="1"/>
  <c r="X198" i="1"/>
  <c r="X197" i="1"/>
  <c r="X196" i="1"/>
  <c r="X195" i="1"/>
  <c r="X194" i="1"/>
  <c r="X193" i="1"/>
  <c r="X192" i="1"/>
  <c r="X191" i="1"/>
  <c r="X190" i="1"/>
  <c r="X189" i="1"/>
  <c r="X188" i="1"/>
  <c r="X187" i="1"/>
  <c r="X186" i="1"/>
  <c r="X185" i="1"/>
  <c r="X184" i="1"/>
  <c r="X183" i="1"/>
  <c r="X182" i="1"/>
  <c r="X181" i="1"/>
  <c r="X180" i="1"/>
  <c r="X179" i="1"/>
  <c r="X178" i="1"/>
  <c r="X177" i="1"/>
  <c r="X176" i="1"/>
  <c r="X175" i="1"/>
  <c r="X174" i="1"/>
  <c r="X173" i="1"/>
  <c r="X172" i="1"/>
  <c r="X171" i="1"/>
  <c r="X170" i="1"/>
  <c r="X169" i="1"/>
  <c r="X168" i="1"/>
  <c r="X167" i="1"/>
  <c r="X166" i="1"/>
  <c r="X165" i="1"/>
  <c r="X164" i="1"/>
  <c r="X163" i="1"/>
  <c r="X162" i="1"/>
  <c r="X161" i="1"/>
  <c r="X160" i="1"/>
  <c r="X159" i="1"/>
  <c r="X158" i="1"/>
  <c r="X157" i="1"/>
  <c r="X156" i="1"/>
  <c r="X155" i="1"/>
  <c r="X154" i="1"/>
  <c r="X153" i="1"/>
  <c r="X152" i="1"/>
  <c r="X151" i="1"/>
  <c r="X150" i="1"/>
  <c r="X149" i="1"/>
  <c r="X148" i="1"/>
  <c r="X147" i="1"/>
  <c r="X146" i="1"/>
  <c r="X145" i="1"/>
  <c r="X144" i="1"/>
  <c r="X143" i="1"/>
  <c r="X142" i="1"/>
  <c r="X141" i="1"/>
  <c r="X140" i="1"/>
  <c r="X139" i="1"/>
  <c r="X138" i="1"/>
  <c r="X137" i="1"/>
  <c r="X136" i="1"/>
  <c r="X135" i="1"/>
  <c r="X134" i="1"/>
  <c r="X133" i="1"/>
  <c r="X132" i="1"/>
  <c r="X131" i="1"/>
  <c r="X130" i="1"/>
  <c r="X129" i="1"/>
  <c r="X128" i="1"/>
  <c r="X127" i="1"/>
  <c r="X126" i="1"/>
  <c r="X125" i="1"/>
  <c r="X124" i="1"/>
  <c r="X123" i="1"/>
  <c r="X122" i="1"/>
  <c r="X121" i="1"/>
  <c r="X120" i="1"/>
  <c r="X119" i="1"/>
  <c r="X118" i="1"/>
  <c r="X117" i="1"/>
  <c r="X116" i="1"/>
  <c r="X115" i="1"/>
  <c r="X114" i="1"/>
  <c r="X113" i="1"/>
  <c r="X112" i="1"/>
  <c r="X111" i="1"/>
  <c r="X110" i="1"/>
  <c r="X109" i="1"/>
  <c r="X108" i="1"/>
  <c r="X107" i="1"/>
  <c r="X106" i="1"/>
  <c r="X105" i="1"/>
  <c r="X104" i="1"/>
  <c r="X103" i="1"/>
  <c r="X102" i="1"/>
  <c r="X101" i="1"/>
  <c r="X100" i="1"/>
  <c r="X99" i="1"/>
  <c r="X98" i="1"/>
  <c r="X97" i="1"/>
  <c r="X96" i="1"/>
  <c r="X95" i="1"/>
  <c r="X94" i="1"/>
  <c r="X93" i="1"/>
  <c r="X92" i="1"/>
  <c r="X91" i="1"/>
  <c r="X90" i="1"/>
  <c r="X89" i="1"/>
  <c r="X88" i="1"/>
  <c r="X87" i="1"/>
  <c r="X86" i="1"/>
  <c r="X85" i="1"/>
  <c r="X84" i="1"/>
  <c r="X83" i="1"/>
  <c r="X82" i="1"/>
  <c r="X81" i="1"/>
  <c r="X80" i="1"/>
  <c r="X79" i="1"/>
  <c r="X78" i="1"/>
  <c r="X77" i="1"/>
  <c r="X76" i="1"/>
  <c r="X75" i="1"/>
  <c r="X74" i="1"/>
  <c r="X73" i="1"/>
  <c r="X72" i="1"/>
  <c r="X71" i="1"/>
  <c r="X70" i="1"/>
  <c r="X69" i="1"/>
  <c r="X68" i="1"/>
  <c r="X67" i="1"/>
  <c r="X66" i="1"/>
  <c r="X65" i="1"/>
  <c r="X64" i="1"/>
  <c r="X63" i="1"/>
  <c r="X62" i="1"/>
  <c r="X61" i="1"/>
  <c r="X60" i="1"/>
  <c r="X59" i="1"/>
  <c r="X58" i="1"/>
  <c r="X57" i="1"/>
  <c r="X56" i="1"/>
  <c r="X55" i="1"/>
  <c r="X54" i="1"/>
  <c r="X53" i="1"/>
  <c r="X52" i="1"/>
  <c r="X51" i="1"/>
  <c r="X50" i="1"/>
  <c r="X49" i="1"/>
  <c r="X48" i="1"/>
  <c r="X47" i="1"/>
  <c r="X46" i="1"/>
  <c r="X45" i="1"/>
  <c r="X44" i="1"/>
  <c r="X43" i="1"/>
  <c r="X42" i="1"/>
  <c r="X41" i="1"/>
  <c r="X40" i="1"/>
  <c r="X39" i="1"/>
  <c r="X38" i="1"/>
  <c r="X37" i="1"/>
  <c r="X36" i="1"/>
  <c r="X35" i="1"/>
  <c r="X34" i="1"/>
  <c r="X33" i="1"/>
  <c r="X32" i="1"/>
  <c r="X31" i="1"/>
  <c r="X30" i="1"/>
  <c r="X29" i="1"/>
  <c r="X28" i="1"/>
  <c r="X27" i="1"/>
  <c r="X26" i="1"/>
  <c r="X25" i="1"/>
  <c r="X24" i="1"/>
  <c r="X23" i="1"/>
  <c r="X22" i="1"/>
  <c r="X21" i="1"/>
  <c r="X20" i="1"/>
  <c r="X19" i="1"/>
  <c r="X18" i="1"/>
  <c r="X17" i="1"/>
  <c r="X16" i="1"/>
  <c r="X15" i="1"/>
  <c r="X14" i="1"/>
  <c r="X13" i="1"/>
  <c r="X12" i="1"/>
  <c r="X11" i="1"/>
  <c r="X10" i="1"/>
  <c r="X9" i="1"/>
  <c r="X8" i="1"/>
  <c r="X7" i="1"/>
  <c r="X6" i="1"/>
  <c r="X5" i="1"/>
  <c r="X4" i="1"/>
  <c r="X3" i="1"/>
  <c r="W200" i="1"/>
  <c r="W199" i="1"/>
  <c r="W198" i="1"/>
  <c r="W197" i="1"/>
  <c r="W196" i="1"/>
  <c r="W195" i="1"/>
  <c r="W194" i="1"/>
  <c r="W193" i="1"/>
  <c r="W192" i="1"/>
  <c r="W191" i="1"/>
  <c r="W190" i="1"/>
  <c r="W189" i="1"/>
  <c r="W188" i="1"/>
  <c r="W187" i="1"/>
  <c r="W186" i="1"/>
  <c r="W185" i="1"/>
  <c r="W184" i="1"/>
  <c r="W183" i="1"/>
  <c r="W182" i="1"/>
  <c r="W181" i="1"/>
  <c r="W180" i="1"/>
  <c r="W179" i="1"/>
  <c r="W178" i="1"/>
  <c r="W177" i="1"/>
  <c r="W176" i="1"/>
  <c r="W175" i="1"/>
  <c r="W174" i="1"/>
  <c r="W173" i="1"/>
  <c r="W172" i="1"/>
  <c r="W171" i="1"/>
  <c r="W170" i="1"/>
  <c r="W169" i="1"/>
  <c r="W168" i="1"/>
  <c r="W167" i="1"/>
  <c r="W166" i="1"/>
  <c r="W165" i="1"/>
  <c r="W164" i="1"/>
  <c r="W163" i="1"/>
  <c r="W162" i="1"/>
  <c r="W161" i="1"/>
  <c r="W160" i="1"/>
  <c r="W159" i="1"/>
  <c r="W158" i="1"/>
  <c r="W157" i="1"/>
  <c r="W156" i="1"/>
  <c r="W155" i="1"/>
  <c r="W154" i="1"/>
  <c r="W153" i="1"/>
  <c r="W152" i="1"/>
  <c r="W151" i="1"/>
  <c r="W150" i="1"/>
  <c r="W149" i="1"/>
  <c r="W148" i="1"/>
  <c r="W147" i="1"/>
  <c r="W146" i="1"/>
  <c r="W145" i="1"/>
  <c r="W144" i="1"/>
  <c r="W143" i="1"/>
  <c r="W142" i="1"/>
  <c r="W141" i="1"/>
  <c r="W140" i="1"/>
  <c r="W139" i="1"/>
  <c r="W138" i="1"/>
  <c r="W137" i="1"/>
  <c r="W136" i="1"/>
  <c r="W135" i="1"/>
  <c r="W134" i="1"/>
  <c r="W133" i="1"/>
  <c r="W132" i="1"/>
  <c r="W131" i="1"/>
  <c r="W130" i="1"/>
  <c r="W129" i="1"/>
  <c r="W128" i="1"/>
  <c r="W127" i="1"/>
  <c r="W126" i="1"/>
  <c r="W125" i="1"/>
  <c r="W124" i="1"/>
  <c r="W123" i="1"/>
  <c r="W122" i="1"/>
  <c r="W121" i="1"/>
  <c r="W120" i="1"/>
  <c r="W119" i="1"/>
  <c r="W118" i="1"/>
  <c r="W117" i="1"/>
  <c r="W116" i="1"/>
  <c r="W115" i="1"/>
  <c r="W114" i="1"/>
  <c r="W113" i="1"/>
  <c r="W112" i="1"/>
  <c r="W111" i="1"/>
  <c r="W110" i="1"/>
  <c r="W109" i="1"/>
  <c r="W108" i="1"/>
  <c r="W107" i="1"/>
  <c r="W106" i="1"/>
  <c r="W105" i="1"/>
  <c r="W104" i="1"/>
  <c r="W103" i="1"/>
  <c r="W102" i="1"/>
  <c r="W101" i="1"/>
  <c r="W100" i="1"/>
  <c r="W99" i="1"/>
  <c r="W98" i="1"/>
  <c r="W97" i="1"/>
  <c r="W96" i="1"/>
  <c r="W95" i="1"/>
  <c r="W94" i="1"/>
  <c r="W93" i="1"/>
  <c r="W92" i="1"/>
  <c r="W91" i="1"/>
  <c r="W90" i="1"/>
  <c r="W89" i="1"/>
  <c r="W88" i="1"/>
  <c r="W87" i="1"/>
  <c r="W86" i="1"/>
  <c r="W85" i="1"/>
  <c r="W84" i="1"/>
  <c r="W83" i="1"/>
  <c r="W82" i="1"/>
  <c r="W81" i="1"/>
  <c r="W80" i="1"/>
  <c r="W79" i="1"/>
  <c r="W78" i="1"/>
  <c r="W77" i="1"/>
  <c r="W76" i="1"/>
  <c r="W75" i="1"/>
  <c r="W74" i="1"/>
  <c r="W73" i="1"/>
  <c r="W72" i="1"/>
  <c r="W71" i="1"/>
  <c r="W70" i="1"/>
  <c r="W69" i="1"/>
  <c r="W68" i="1"/>
  <c r="W67" i="1"/>
  <c r="W66" i="1"/>
  <c r="W65" i="1"/>
  <c r="W64" i="1"/>
  <c r="W63" i="1"/>
  <c r="W62" i="1"/>
  <c r="W61" i="1"/>
  <c r="W60" i="1"/>
  <c r="W59" i="1"/>
  <c r="W58" i="1"/>
  <c r="W57" i="1"/>
  <c r="W56" i="1"/>
  <c r="W55" i="1"/>
  <c r="W54" i="1"/>
  <c r="W53" i="1"/>
  <c r="W52" i="1"/>
  <c r="W51" i="1"/>
  <c r="W50" i="1"/>
  <c r="W49" i="1"/>
  <c r="W48" i="1"/>
  <c r="W47" i="1"/>
  <c r="W46" i="1"/>
  <c r="W45" i="1"/>
  <c r="W44" i="1"/>
  <c r="W43" i="1"/>
  <c r="W42" i="1"/>
  <c r="W41" i="1"/>
  <c r="W40" i="1"/>
  <c r="W39" i="1"/>
  <c r="W38" i="1"/>
  <c r="W37" i="1"/>
  <c r="W36" i="1"/>
  <c r="W35" i="1"/>
  <c r="W34" i="1"/>
  <c r="W33" i="1"/>
  <c r="W32" i="1"/>
  <c r="W31" i="1"/>
  <c r="W30" i="1"/>
  <c r="W29" i="1"/>
  <c r="W28" i="1"/>
  <c r="W27" i="1"/>
  <c r="W26" i="1"/>
  <c r="W25" i="1"/>
  <c r="W24" i="1"/>
  <c r="W23" i="1"/>
  <c r="W22" i="1"/>
  <c r="W21" i="1"/>
  <c r="W20" i="1"/>
  <c r="W19" i="1"/>
  <c r="W18" i="1"/>
  <c r="W17" i="1"/>
  <c r="W16" i="1"/>
  <c r="W15" i="1"/>
  <c r="W14" i="1"/>
  <c r="W13" i="1"/>
  <c r="W12" i="1"/>
  <c r="W11" i="1"/>
  <c r="W10" i="1"/>
  <c r="W9" i="1"/>
  <c r="W8" i="1"/>
  <c r="W7" i="1"/>
  <c r="W6" i="1"/>
  <c r="W5" i="1"/>
  <c r="W4" i="1"/>
  <c r="W3" i="1"/>
  <c r="AD3" i="1"/>
  <c r="FG53" i="1" l="1"/>
  <c r="FF53" i="1"/>
  <c r="FH53" i="1"/>
  <c r="FE53" i="1"/>
  <c r="FD53" i="1"/>
  <c r="FI53" i="1"/>
  <c r="FC53" i="1"/>
  <c r="FJ53" i="1"/>
  <c r="DB4" i="1"/>
  <c r="CT54" i="1"/>
  <c r="DF3" i="1"/>
  <c r="CX53" i="1"/>
  <c r="DD3" i="1"/>
  <c r="CV53" i="1"/>
  <c r="DC4" i="1"/>
  <c r="CU54" i="1"/>
  <c r="CZ3" i="1"/>
  <c r="CR53" i="1"/>
  <c r="DE4" i="1"/>
  <c r="CW54" i="1"/>
  <c r="DD4" i="1"/>
  <c r="CV54" i="1"/>
  <c r="DN53" i="1"/>
  <c r="DM53" i="1"/>
  <c r="DL53" i="1"/>
  <c r="DA3" i="1"/>
  <c r="CS53" i="1"/>
  <c r="DA4" i="1"/>
  <c r="CS54" i="1"/>
  <c r="DB3" i="1"/>
  <c r="CT53" i="1"/>
  <c r="DF4" i="1"/>
  <c r="CX54" i="1"/>
  <c r="BL55" i="1"/>
  <c r="CR55" i="1"/>
  <c r="DC3" i="1"/>
  <c r="CU53" i="1"/>
  <c r="CZ4" i="1"/>
  <c r="CR54" i="1"/>
  <c r="DE3" i="1"/>
  <c r="CW53" i="1"/>
  <c r="U5" i="1"/>
  <c r="GZ41" i="1"/>
  <c r="HE62" i="1"/>
  <c r="HH53" i="1"/>
  <c r="EH3" i="1"/>
  <c r="EE3" i="1"/>
  <c r="EF3" i="1"/>
  <c r="FY3" i="1"/>
  <c r="EJ3" i="1"/>
  <c r="FX3" i="1"/>
  <c r="EL3" i="1"/>
  <c r="EK3" i="1"/>
  <c r="GB3" i="1"/>
  <c r="FW3" i="1"/>
  <c r="FZ3" i="1"/>
  <c r="GD3" i="1"/>
  <c r="EG3" i="1"/>
  <c r="EI3" i="1"/>
  <c r="GC3" i="1"/>
  <c r="GA3" i="1"/>
  <c r="AA20" i="1"/>
  <c r="Y16" i="1"/>
  <c r="Y17" i="1"/>
  <c r="HE29" i="1"/>
  <c r="HK20" i="1"/>
  <c r="GZ8" i="1"/>
  <c r="FG3" i="1"/>
  <c r="GF3" i="1"/>
  <c r="FF3" i="1"/>
  <c r="FH3" i="1"/>
  <c r="DL3" i="1"/>
  <c r="GE3" i="1"/>
  <c r="FE3" i="1"/>
  <c r="DT3" i="1"/>
  <c r="FD3" i="1"/>
  <c r="DS3" i="1"/>
  <c r="FC3" i="1"/>
  <c r="FJ3" i="1"/>
  <c r="ER3" i="1"/>
  <c r="DN3" i="1"/>
  <c r="FI3" i="1"/>
  <c r="EQ3" i="1"/>
  <c r="DM3" i="1"/>
  <c r="S5" i="1"/>
  <c r="CZ5" i="1"/>
  <c r="CR5" i="1"/>
  <c r="CJ5" i="1"/>
  <c r="CB5" i="1"/>
  <c r="BL5" i="1"/>
  <c r="BT5" i="1"/>
  <c r="U3" i="1"/>
  <c r="T3" i="1"/>
  <c r="AJ4" i="1"/>
  <c r="AH4" i="1"/>
  <c r="AF4" i="1"/>
  <c r="AL4" i="1"/>
  <c r="AD4" i="1"/>
  <c r="S9" i="1"/>
  <c r="S195" i="1"/>
  <c r="S190" i="1"/>
  <c r="S29" i="1"/>
  <c r="S43" i="1"/>
  <c r="S55" i="1"/>
  <c r="S67" i="1"/>
  <c r="S75" i="1"/>
  <c r="S86" i="1"/>
  <c r="S158" i="1"/>
  <c r="S182" i="1"/>
  <c r="S198" i="1"/>
  <c r="S12" i="1"/>
  <c r="S89" i="1"/>
  <c r="S97" i="1"/>
  <c r="S105" i="1"/>
  <c r="S113" i="1"/>
  <c r="S121" i="1"/>
  <c r="S129" i="1"/>
  <c r="S137" i="1"/>
  <c r="S145" i="1"/>
  <c r="S153" i="1"/>
  <c r="S161" i="1"/>
  <c r="S169" i="1"/>
  <c r="S177" i="1"/>
  <c r="S185" i="1"/>
  <c r="S193" i="1"/>
  <c r="S33" i="1"/>
  <c r="S41" i="1"/>
  <c r="S53" i="1"/>
  <c r="S65" i="1"/>
  <c r="S77" i="1"/>
  <c r="S134" i="1"/>
  <c r="S84" i="1"/>
  <c r="S92" i="1"/>
  <c r="S100" i="1"/>
  <c r="S108" i="1"/>
  <c r="S116" i="1"/>
  <c r="S124" i="1"/>
  <c r="S132" i="1"/>
  <c r="S140" i="1"/>
  <c r="S148" i="1"/>
  <c r="S156" i="1"/>
  <c r="S164" i="1"/>
  <c r="S172" i="1"/>
  <c r="S180" i="1"/>
  <c r="S188" i="1"/>
  <c r="S196" i="1"/>
  <c r="S15" i="1"/>
  <c r="S27" i="1"/>
  <c r="S39" i="1"/>
  <c r="S51" i="1"/>
  <c r="S63" i="1"/>
  <c r="S118" i="1"/>
  <c r="S166" i="1"/>
  <c r="S17" i="1"/>
  <c r="S4" i="1"/>
  <c r="S11" i="1"/>
  <c r="S14" i="1"/>
  <c r="S20" i="1"/>
  <c r="S22" i="1"/>
  <c r="S24" i="1"/>
  <c r="S26" i="1"/>
  <c r="S87" i="1"/>
  <c r="S95" i="1"/>
  <c r="S103" i="1"/>
  <c r="S111" i="1"/>
  <c r="S119" i="1"/>
  <c r="S127" i="1"/>
  <c r="S135" i="1"/>
  <c r="S143" i="1"/>
  <c r="S151" i="1"/>
  <c r="S159" i="1"/>
  <c r="S167" i="1"/>
  <c r="S175" i="1"/>
  <c r="S183" i="1"/>
  <c r="S191" i="1"/>
  <c r="S199" i="1"/>
  <c r="S8" i="1"/>
  <c r="S7" i="1"/>
  <c r="S28" i="1"/>
  <c r="S30" i="1"/>
  <c r="S32" i="1"/>
  <c r="S34" i="1"/>
  <c r="S36" i="1"/>
  <c r="S38" i="1"/>
  <c r="S40" i="1"/>
  <c r="S42" i="1"/>
  <c r="S44" i="1"/>
  <c r="S46" i="1"/>
  <c r="S48" i="1"/>
  <c r="S50" i="1"/>
  <c r="S52" i="1"/>
  <c r="S54" i="1"/>
  <c r="T54" i="1" s="1"/>
  <c r="S56" i="1"/>
  <c r="S58" i="1"/>
  <c r="S60" i="1"/>
  <c r="S62" i="1"/>
  <c r="S64" i="1"/>
  <c r="S66" i="1"/>
  <c r="S68" i="1"/>
  <c r="S70" i="1"/>
  <c r="S72" i="1"/>
  <c r="S74" i="1"/>
  <c r="T74" i="1" s="1"/>
  <c r="S76" i="1"/>
  <c r="S78" i="1"/>
  <c r="S80" i="1"/>
  <c r="S82" i="1"/>
  <c r="S90" i="1"/>
  <c r="S98" i="1"/>
  <c r="S106" i="1"/>
  <c r="S114" i="1"/>
  <c r="S122" i="1"/>
  <c r="S130" i="1"/>
  <c r="S138" i="1"/>
  <c r="S146" i="1"/>
  <c r="S154" i="1"/>
  <c r="S162" i="1"/>
  <c r="S170" i="1"/>
  <c r="S178" i="1"/>
  <c r="S186" i="1"/>
  <c r="S194" i="1"/>
  <c r="S37" i="1"/>
  <c r="S49" i="1"/>
  <c r="T49" i="1" s="1"/>
  <c r="S61" i="1"/>
  <c r="S73" i="1"/>
  <c r="S94" i="1"/>
  <c r="S102" i="1"/>
  <c r="S110" i="1"/>
  <c r="S126" i="1"/>
  <c r="S16" i="1"/>
  <c r="S85" i="1"/>
  <c r="S93" i="1"/>
  <c r="S101" i="1"/>
  <c r="S109" i="1"/>
  <c r="S117" i="1"/>
  <c r="S125" i="1"/>
  <c r="S133" i="1"/>
  <c r="S141" i="1"/>
  <c r="S149" i="1"/>
  <c r="S157" i="1"/>
  <c r="S165" i="1"/>
  <c r="S173" i="1"/>
  <c r="S181" i="1"/>
  <c r="S189" i="1"/>
  <c r="S197" i="1"/>
  <c r="S31" i="1"/>
  <c r="S45" i="1"/>
  <c r="S57" i="1"/>
  <c r="S69" i="1"/>
  <c r="T69" i="1" s="1"/>
  <c r="S79" i="1"/>
  <c r="S142" i="1"/>
  <c r="S174" i="1"/>
  <c r="S6" i="1"/>
  <c r="S10" i="1"/>
  <c r="S13" i="1"/>
  <c r="S18" i="1"/>
  <c r="S19" i="1"/>
  <c r="S88" i="1"/>
  <c r="S96" i="1"/>
  <c r="S104" i="1"/>
  <c r="S112" i="1"/>
  <c r="S120" i="1"/>
  <c r="S128" i="1"/>
  <c r="S136" i="1"/>
  <c r="S144" i="1"/>
  <c r="S152" i="1"/>
  <c r="S160" i="1"/>
  <c r="S168" i="1"/>
  <c r="S176" i="1"/>
  <c r="S184" i="1"/>
  <c r="S192" i="1"/>
  <c r="S200" i="1"/>
  <c r="T200" i="1" s="1"/>
  <c r="S35" i="1"/>
  <c r="S47" i="1"/>
  <c r="S59" i="1"/>
  <c r="S71" i="1"/>
  <c r="S81" i="1"/>
  <c r="S150" i="1"/>
  <c r="S21" i="1"/>
  <c r="S23" i="1"/>
  <c r="S25" i="1"/>
  <c r="S83" i="1"/>
  <c r="S91" i="1"/>
  <c r="S99" i="1"/>
  <c r="S107" i="1"/>
  <c r="S115" i="1"/>
  <c r="S123" i="1"/>
  <c r="S131" i="1"/>
  <c r="S139" i="1"/>
  <c r="S147" i="1"/>
  <c r="S155" i="1"/>
  <c r="S163" i="1"/>
  <c r="S171" i="1"/>
  <c r="S179" i="1"/>
  <c r="S187" i="1"/>
  <c r="AF49" i="1" l="1"/>
  <c r="C20" i="2" s="1"/>
  <c r="AF57" i="1"/>
  <c r="D21" i="2" s="1"/>
  <c r="U6" i="1"/>
  <c r="AF52" i="1"/>
  <c r="AF51" i="1"/>
  <c r="AF56" i="1"/>
  <c r="D20" i="2" s="1"/>
  <c r="AF50" i="1"/>
  <c r="C21" i="2" s="1"/>
  <c r="AF53" i="1"/>
  <c r="AF59" i="1"/>
  <c r="Z21" i="1"/>
  <c r="C7" i="2" s="1"/>
  <c r="AF58" i="1"/>
  <c r="AA21" i="1"/>
  <c r="D7" i="2" s="1"/>
  <c r="AF60" i="1"/>
  <c r="T50" i="1"/>
  <c r="T176" i="1"/>
  <c r="T112" i="1"/>
  <c r="T152" i="1"/>
  <c r="T88" i="1"/>
  <c r="T8" i="1"/>
  <c r="T133" i="1"/>
  <c r="T194" i="1"/>
  <c r="T85" i="1"/>
  <c r="T139" i="1"/>
  <c r="T31" i="1"/>
  <c r="T136" i="1"/>
  <c r="T157" i="1"/>
  <c r="T174" i="1"/>
  <c r="T189" i="1"/>
  <c r="T110" i="1"/>
  <c r="T91" i="1"/>
  <c r="T181" i="1"/>
  <c r="T155" i="1"/>
  <c r="T47" i="1"/>
  <c r="T192" i="1"/>
  <c r="T128" i="1"/>
  <c r="T13" i="1"/>
  <c r="T131" i="1"/>
  <c r="T57" i="1"/>
  <c r="T150" i="1"/>
  <c r="T141" i="1"/>
  <c r="T16" i="1"/>
  <c r="T6" i="1"/>
  <c r="T168" i="1"/>
  <c r="T104" i="1"/>
  <c r="T76" i="1"/>
  <c r="T101" i="1"/>
  <c r="T73" i="1"/>
  <c r="T79" i="1"/>
  <c r="T38" i="1"/>
  <c r="T45" i="1"/>
  <c r="T184" i="1"/>
  <c r="T120" i="1"/>
  <c r="T10" i="1"/>
  <c r="T4" i="1"/>
  <c r="T147" i="1"/>
  <c r="T83" i="1"/>
  <c r="T32" i="1"/>
  <c r="T14" i="1"/>
  <c r="T197" i="1"/>
  <c r="T27" i="1"/>
  <c r="T28" i="1"/>
  <c r="T163" i="1"/>
  <c r="T59" i="1"/>
  <c r="T109" i="1"/>
  <c r="T94" i="1"/>
  <c r="T81" i="1"/>
  <c r="T99" i="1"/>
  <c r="T19" i="1"/>
  <c r="T23" i="1"/>
  <c r="T18" i="1"/>
  <c r="T52" i="1"/>
  <c r="T179" i="1"/>
  <c r="T115" i="1"/>
  <c r="T37" i="1"/>
  <c r="T117" i="1"/>
  <c r="T25" i="1"/>
  <c r="T165" i="1"/>
  <c r="T93" i="1"/>
  <c r="T61" i="1"/>
  <c r="T154" i="1"/>
  <c r="T90" i="1"/>
  <c r="T68" i="1"/>
  <c r="T36" i="1"/>
  <c r="T191" i="1"/>
  <c r="T127" i="1"/>
  <c r="T63" i="1"/>
  <c r="T172" i="1"/>
  <c r="T108" i="1"/>
  <c r="T41" i="1"/>
  <c r="T145" i="1"/>
  <c r="T12" i="1"/>
  <c r="T43" i="1"/>
  <c r="T187" i="1"/>
  <c r="T123" i="1"/>
  <c r="T66" i="1"/>
  <c r="T64" i="1"/>
  <c r="T71" i="1"/>
  <c r="T160" i="1"/>
  <c r="T96" i="1"/>
  <c r="T142" i="1"/>
  <c r="T173" i="1"/>
  <c r="T170" i="1"/>
  <c r="T106" i="1"/>
  <c r="T72" i="1"/>
  <c r="T56" i="1"/>
  <c r="T40" i="1"/>
  <c r="T143" i="1"/>
  <c r="T26" i="1"/>
  <c r="T166" i="1"/>
  <c r="T188" i="1"/>
  <c r="T124" i="1"/>
  <c r="T65" i="1"/>
  <c r="T161" i="1"/>
  <c r="T97" i="1"/>
  <c r="T67" i="1"/>
  <c r="T35" i="1"/>
  <c r="T144" i="1"/>
  <c r="T162" i="1"/>
  <c r="T98" i="1"/>
  <c r="T70" i="1"/>
  <c r="T199" i="1"/>
  <c r="T135" i="1"/>
  <c r="T24" i="1"/>
  <c r="T118" i="1"/>
  <c r="T180" i="1"/>
  <c r="T116" i="1"/>
  <c r="T53" i="1"/>
  <c r="T153" i="1"/>
  <c r="T89" i="1"/>
  <c r="T55" i="1"/>
  <c r="T21" i="1"/>
  <c r="T149" i="1"/>
  <c r="T146" i="1"/>
  <c r="T82" i="1"/>
  <c r="T34" i="1"/>
  <c r="T183" i="1"/>
  <c r="T119" i="1"/>
  <c r="T20" i="1"/>
  <c r="T51" i="1"/>
  <c r="T164" i="1"/>
  <c r="T100" i="1"/>
  <c r="T33" i="1"/>
  <c r="T137" i="1"/>
  <c r="T198" i="1"/>
  <c r="T29" i="1"/>
  <c r="T138" i="1"/>
  <c r="T80" i="1"/>
  <c r="T48" i="1"/>
  <c r="T175" i="1"/>
  <c r="T111" i="1"/>
  <c r="T39" i="1"/>
  <c r="T156" i="1"/>
  <c r="T92" i="1"/>
  <c r="T193" i="1"/>
  <c r="T129" i="1"/>
  <c r="T182" i="1"/>
  <c r="T190" i="1"/>
  <c r="T107" i="1"/>
  <c r="T126" i="1"/>
  <c r="T130" i="1"/>
  <c r="T78" i="1"/>
  <c r="T62" i="1"/>
  <c r="T46" i="1"/>
  <c r="T30" i="1"/>
  <c r="T167" i="1"/>
  <c r="T103" i="1"/>
  <c r="T11" i="1"/>
  <c r="T148" i="1"/>
  <c r="T84" i="1"/>
  <c r="T185" i="1"/>
  <c r="T121" i="1"/>
  <c r="T158" i="1"/>
  <c r="T22" i="1"/>
  <c r="T171" i="1"/>
  <c r="T125" i="1"/>
  <c r="T186" i="1"/>
  <c r="T122" i="1"/>
  <c r="T60" i="1"/>
  <c r="T44" i="1"/>
  <c r="T159" i="1"/>
  <c r="T95" i="1"/>
  <c r="T15" i="1"/>
  <c r="T140" i="1"/>
  <c r="T134" i="1"/>
  <c r="T177" i="1"/>
  <c r="T113" i="1"/>
  <c r="T86" i="1"/>
  <c r="T195" i="1"/>
  <c r="T102" i="1"/>
  <c r="T178" i="1"/>
  <c r="T114" i="1"/>
  <c r="T58" i="1"/>
  <c r="T42" i="1"/>
  <c r="T7" i="1"/>
  <c r="T151" i="1"/>
  <c r="T87" i="1"/>
  <c r="T17" i="1"/>
  <c r="T196" i="1"/>
  <c r="T132" i="1"/>
  <c r="T77" i="1"/>
  <c r="T169" i="1"/>
  <c r="T105" i="1"/>
  <c r="T75" i="1"/>
  <c r="T9" i="1"/>
  <c r="T5" i="1"/>
  <c r="AN33" i="1"/>
  <c r="AN34" i="1"/>
  <c r="AN35" i="1"/>
  <c r="AN36" i="1"/>
  <c r="AN37" i="1"/>
  <c r="AO5" i="1"/>
  <c r="AN38" i="1"/>
  <c r="AN39" i="1"/>
  <c r="AN6" i="1"/>
  <c r="AN32" i="1"/>
  <c r="AN40" i="1"/>
  <c r="AG51" i="1" l="1"/>
  <c r="AG49" i="1"/>
  <c r="C22" i="2" s="1"/>
  <c r="V4" i="1"/>
  <c r="AG56" i="1"/>
  <c r="D22" i="2" s="1"/>
  <c r="AG59" i="1"/>
  <c r="AG50" i="1"/>
  <c r="C23" i="2" s="1"/>
  <c r="U7" i="1"/>
  <c r="FI80" i="1" s="1"/>
  <c r="AG57" i="1"/>
  <c r="D23" i="2" s="1"/>
  <c r="AG53" i="1"/>
  <c r="AG60" i="1"/>
  <c r="AG52" i="1"/>
  <c r="AG58" i="1"/>
  <c r="AA22" i="1"/>
  <c r="D8" i="2" s="1"/>
  <c r="Z22" i="1"/>
  <c r="C8" i="2" s="1"/>
  <c r="BD32" i="1"/>
  <c r="AV32" i="1"/>
  <c r="F32" i="2" s="1"/>
  <c r="BD6" i="1"/>
  <c r="AV6" i="1"/>
  <c r="F6" i="2" s="1"/>
  <c r="BD40" i="1"/>
  <c r="AV40" i="1"/>
  <c r="F40" i="2" s="1"/>
  <c r="BD38" i="1"/>
  <c r="AV38" i="1"/>
  <c r="F38" i="2" s="1"/>
  <c r="BE5" i="1"/>
  <c r="AW5" i="1"/>
  <c r="G5" i="2" s="1"/>
  <c r="BD37" i="1"/>
  <c r="AV37" i="1"/>
  <c r="F37" i="2" s="1"/>
  <c r="BD36" i="1"/>
  <c r="AV36" i="1"/>
  <c r="F36" i="2" s="1"/>
  <c r="BD35" i="1"/>
  <c r="AV35" i="1"/>
  <c r="F35" i="2" s="1"/>
  <c r="BD34" i="1"/>
  <c r="AV34" i="1"/>
  <c r="F34" i="2" s="1"/>
  <c r="BD33" i="1"/>
  <c r="AV33" i="1"/>
  <c r="F33" i="2" s="1"/>
  <c r="BD39" i="1"/>
  <c r="AV39" i="1"/>
  <c r="F39" i="2" s="1"/>
  <c r="AO34" i="1"/>
  <c r="AO35" i="1"/>
  <c r="AO29" i="1"/>
  <c r="AO26" i="1"/>
  <c r="AO36" i="1"/>
  <c r="AO37" i="1"/>
  <c r="AO30" i="1"/>
  <c r="AP5" i="1"/>
  <c r="AO38" i="1"/>
  <c r="AO27" i="1"/>
  <c r="AO39" i="1"/>
  <c r="AO31" i="1"/>
  <c r="AO6" i="1"/>
  <c r="V5" i="1"/>
  <c r="AO40" i="1"/>
  <c r="AO32" i="1"/>
  <c r="AO25" i="1"/>
  <c r="AO33" i="1"/>
  <c r="AO28" i="1"/>
  <c r="AN7" i="1"/>
  <c r="FG86" i="1" l="1"/>
  <c r="FG90" i="1"/>
  <c r="FE90" i="1"/>
  <c r="FD78" i="1"/>
  <c r="FG76" i="1"/>
  <c r="FD85" i="1"/>
  <c r="FC78" i="1"/>
  <c r="FH89" i="1"/>
  <c r="FE83" i="1"/>
  <c r="FE77" i="1"/>
  <c r="FF81" i="1"/>
  <c r="FI81" i="1"/>
  <c r="FJ79" i="1"/>
  <c r="FG89" i="1"/>
  <c r="FH77" i="1"/>
  <c r="FD83" i="1"/>
  <c r="FD90" i="1"/>
  <c r="FE82" i="1"/>
  <c r="FH86" i="1"/>
  <c r="FF90" i="1"/>
  <c r="FH85" i="1"/>
  <c r="FD82" i="1"/>
  <c r="FE88" i="1"/>
  <c r="FJ85" i="1"/>
  <c r="FG82" i="1"/>
  <c r="FH80" i="1"/>
  <c r="FG81" i="1"/>
  <c r="FD77" i="1"/>
  <c r="FJ80" i="1"/>
  <c r="FD84" i="1"/>
  <c r="FG87" i="1"/>
  <c r="FD75" i="1"/>
  <c r="FC80" i="1"/>
  <c r="FD89" i="1"/>
  <c r="FI86" i="1"/>
  <c r="FF82" i="1"/>
  <c r="FJ86" i="1"/>
  <c r="FC88" i="1"/>
  <c r="FE80" i="1"/>
  <c r="FJ77" i="1"/>
  <c r="FF88" i="1"/>
  <c r="FC84" i="1"/>
  <c r="FF87" i="1"/>
  <c r="FC83" i="1"/>
  <c r="FG88" i="1"/>
  <c r="FD76" i="1"/>
  <c r="FG79" i="1"/>
  <c r="FC89" i="1"/>
  <c r="FH82" i="1"/>
  <c r="FD81" i="1"/>
  <c r="FI78" i="1"/>
  <c r="FE89" i="1"/>
  <c r="FJ78" i="1"/>
  <c r="FJ88" i="1"/>
  <c r="FD87" i="1"/>
  <c r="FI84" i="1"/>
  <c r="FF80" i="1"/>
  <c r="FC76" i="1"/>
  <c r="FF79" i="1"/>
  <c r="FC75" i="1"/>
  <c r="FG80" i="1"/>
  <c r="FC90" i="1"/>
  <c r="FH83" i="1"/>
  <c r="FC81" i="1"/>
  <c r="FG85" i="1"/>
  <c r="FC87" i="1"/>
  <c r="FH75" i="1"/>
  <c r="FE81" i="1"/>
  <c r="FH79" i="1"/>
  <c r="FI87" i="1"/>
  <c r="FD79" i="1"/>
  <c r="FI76" i="1"/>
  <c r="FE87" i="1"/>
  <c r="FJ84" i="1"/>
  <c r="FH87" i="1"/>
  <c r="FJ83" i="1"/>
  <c r="FF86" i="1"/>
  <c r="FC82" i="1"/>
  <c r="FF85" i="1"/>
  <c r="FJ89" i="1"/>
  <c r="FG77" i="1"/>
  <c r="FC79" i="1"/>
  <c r="FI79" i="1"/>
  <c r="FD88" i="1"/>
  <c r="FI85" i="1"/>
  <c r="FG83" i="1"/>
  <c r="FH88" i="1"/>
  <c r="FG78" i="1"/>
  <c r="FE79" i="1"/>
  <c r="FJ76" i="1"/>
  <c r="FE86" i="1"/>
  <c r="FJ75" i="1"/>
  <c r="FF78" i="1"/>
  <c r="FJ90" i="1"/>
  <c r="FF77" i="1"/>
  <c r="FJ81" i="1"/>
  <c r="FF83" i="1"/>
  <c r="FH90" i="1"/>
  <c r="FH76" i="1"/>
  <c r="FD80" i="1"/>
  <c r="FI77" i="1"/>
  <c r="FG75" i="1"/>
  <c r="FC85" i="1"/>
  <c r="FF76" i="1"/>
  <c r="FH84" i="1"/>
  <c r="FI83" i="1"/>
  <c r="FE78" i="1"/>
  <c r="FI90" i="1"/>
  <c r="FH81" i="1"/>
  <c r="FJ82" i="1"/>
  <c r="FE84" i="1"/>
  <c r="FI88" i="1"/>
  <c r="FF75" i="1"/>
  <c r="FJ87" i="1"/>
  <c r="FG84" i="1"/>
  <c r="FC86" i="1"/>
  <c r="FF84" i="1"/>
  <c r="FF89" i="1"/>
  <c r="FC77" i="1"/>
  <c r="FE75" i="1"/>
  <c r="FD86" i="1"/>
  <c r="FI75" i="1"/>
  <c r="FH78" i="1"/>
  <c r="FI82" i="1"/>
  <c r="FE85" i="1"/>
  <c r="FI89" i="1"/>
  <c r="FE76" i="1"/>
  <c r="AH49" i="1"/>
  <c r="C24" i="2" s="1"/>
  <c r="EY81" i="1"/>
  <c r="EY82" i="1"/>
  <c r="EY83" i="1"/>
  <c r="EY84" i="1"/>
  <c r="EY85" i="1"/>
  <c r="EY86" i="1"/>
  <c r="EY87" i="1"/>
  <c r="EY88" i="1"/>
  <c r="EY89" i="1"/>
  <c r="EY90" i="1"/>
  <c r="EY75" i="1"/>
  <c r="EY76" i="1"/>
  <c r="EY77" i="1"/>
  <c r="EY78" i="1"/>
  <c r="EY79" i="1"/>
  <c r="EY80" i="1"/>
  <c r="EX83" i="1"/>
  <c r="EX75" i="1"/>
  <c r="EZ81" i="1"/>
  <c r="EZ82" i="1"/>
  <c r="EZ83" i="1"/>
  <c r="EZ84" i="1"/>
  <c r="EZ85" i="1"/>
  <c r="EZ86" i="1"/>
  <c r="EZ87" i="1"/>
  <c r="EZ88" i="1"/>
  <c r="EZ89" i="1"/>
  <c r="EZ90" i="1"/>
  <c r="EZ75" i="1"/>
  <c r="EZ76" i="1"/>
  <c r="EZ77" i="1"/>
  <c r="EZ78" i="1"/>
  <c r="EZ79" i="1"/>
  <c r="EZ80" i="1"/>
  <c r="EX81" i="1"/>
  <c r="EX89" i="1"/>
  <c r="EX77" i="1"/>
  <c r="FA81" i="1"/>
  <c r="FA82" i="1"/>
  <c r="FA83" i="1"/>
  <c r="FA84" i="1"/>
  <c r="FA85" i="1"/>
  <c r="FA86" i="1"/>
  <c r="FA87" i="1"/>
  <c r="FA88" i="1"/>
  <c r="FA89" i="1"/>
  <c r="FA90" i="1"/>
  <c r="FA75" i="1"/>
  <c r="FA76" i="1"/>
  <c r="FA77" i="1"/>
  <c r="FA78" i="1"/>
  <c r="FA79" i="1"/>
  <c r="FA80" i="1"/>
  <c r="EX86" i="1"/>
  <c r="ET81" i="1"/>
  <c r="ET82" i="1"/>
  <c r="ET83" i="1"/>
  <c r="ET84" i="1"/>
  <c r="ET85" i="1"/>
  <c r="ET86" i="1"/>
  <c r="ET87" i="1"/>
  <c r="ET88" i="1"/>
  <c r="ET89" i="1"/>
  <c r="ET90" i="1"/>
  <c r="ET75" i="1"/>
  <c r="ET76" i="1"/>
  <c r="ET77" i="1"/>
  <c r="ET78" i="1"/>
  <c r="ET79" i="1"/>
  <c r="ET80" i="1"/>
  <c r="EX87" i="1"/>
  <c r="EX76" i="1"/>
  <c r="EU81" i="1"/>
  <c r="EU82" i="1"/>
  <c r="EU83" i="1"/>
  <c r="EU84" i="1"/>
  <c r="EU85" i="1"/>
  <c r="EU86" i="1"/>
  <c r="EU87" i="1"/>
  <c r="EU88" i="1"/>
  <c r="EU89" i="1"/>
  <c r="EU90" i="1"/>
  <c r="EU75" i="1"/>
  <c r="EU76" i="1"/>
  <c r="EU77" i="1"/>
  <c r="EU78" i="1"/>
  <c r="EU79" i="1"/>
  <c r="EU80" i="1"/>
  <c r="EX84" i="1"/>
  <c r="EX78" i="1"/>
  <c r="EV81" i="1"/>
  <c r="EV82" i="1"/>
  <c r="EV83" i="1"/>
  <c r="EV84" i="1"/>
  <c r="EV85" i="1"/>
  <c r="EV86" i="1"/>
  <c r="EV87" i="1"/>
  <c r="EV88" i="1"/>
  <c r="EV89" i="1"/>
  <c r="EV90" i="1"/>
  <c r="EV75" i="1"/>
  <c r="EV76" i="1"/>
  <c r="EV77" i="1"/>
  <c r="EV78" i="1"/>
  <c r="EV79" i="1"/>
  <c r="EV80" i="1"/>
  <c r="EX82" i="1"/>
  <c r="EX88" i="1"/>
  <c r="EX80" i="1"/>
  <c r="EW81" i="1"/>
  <c r="EW82" i="1"/>
  <c r="EW83" i="1"/>
  <c r="EW84" i="1"/>
  <c r="EW85" i="1"/>
  <c r="EW86" i="1"/>
  <c r="EW87" i="1"/>
  <c r="EW88" i="1"/>
  <c r="EW89" i="1"/>
  <c r="EW90" i="1"/>
  <c r="EW75" i="1"/>
  <c r="EW76" i="1"/>
  <c r="EW77" i="1"/>
  <c r="EW78" i="1"/>
  <c r="EW79" i="1"/>
  <c r="EW80" i="1"/>
  <c r="EX85" i="1"/>
  <c r="EX90" i="1"/>
  <c r="EX79" i="1"/>
  <c r="CR86" i="1"/>
  <c r="BL86" i="1"/>
  <c r="CR82" i="1"/>
  <c r="BL82" i="1"/>
  <c r="AH50" i="1"/>
  <c r="C25" i="2" s="1"/>
  <c r="DI89" i="1"/>
  <c r="DL25" i="1"/>
  <c r="DI36" i="1"/>
  <c r="DM75" i="1"/>
  <c r="DJ28" i="1"/>
  <c r="DH39" i="1"/>
  <c r="DL81" i="1"/>
  <c r="DI79" i="1"/>
  <c r="DL32" i="1"/>
  <c r="DM89" i="1"/>
  <c r="DJ87" i="1"/>
  <c r="DJ35" i="1"/>
  <c r="DM76" i="1"/>
  <c r="DL27" i="1"/>
  <c r="DI38" i="1"/>
  <c r="DN79" i="1"/>
  <c r="DI75" i="1"/>
  <c r="DL30" i="1"/>
  <c r="DL88" i="1"/>
  <c r="DJ77" i="1"/>
  <c r="DH75" i="1"/>
  <c r="DM39" i="1"/>
  <c r="DI78" i="1"/>
  <c r="DL75" i="1"/>
  <c r="DN26" i="1"/>
  <c r="DL37" i="1"/>
  <c r="DL78" i="1"/>
  <c r="DI76" i="1"/>
  <c r="DM29" i="1"/>
  <c r="DJ40" i="1"/>
  <c r="DN83" i="1"/>
  <c r="DH82" i="1"/>
  <c r="DN33" i="1"/>
  <c r="DI90" i="1"/>
  <c r="DH26" i="1"/>
  <c r="DM36" i="1"/>
  <c r="DL79" i="1"/>
  <c r="DN28" i="1"/>
  <c r="DL39" i="1"/>
  <c r="DM82" i="1"/>
  <c r="DH78" i="1"/>
  <c r="DN31" i="1"/>
  <c r="DI86" i="1"/>
  <c r="DH28" i="1"/>
  <c r="DJ85" i="1"/>
  <c r="DL80" i="1"/>
  <c r="DH89" i="1"/>
  <c r="DM26" i="1"/>
  <c r="DM37" i="1"/>
  <c r="DJ90" i="1"/>
  <c r="DN39" i="1"/>
  <c r="DN77" i="1"/>
  <c r="DI28" i="1"/>
  <c r="DN38" i="1"/>
  <c r="DN80" i="1"/>
  <c r="DH79" i="1"/>
  <c r="DH31" i="1"/>
  <c r="DM86" i="1"/>
  <c r="DJ84" i="1"/>
  <c r="DI35" i="1"/>
  <c r="DJ27" i="1"/>
  <c r="DH38" i="1"/>
  <c r="DN81" i="1"/>
  <c r="DI77" i="1"/>
  <c r="DI30" i="1"/>
  <c r="DN40" i="1"/>
  <c r="DL85" i="1"/>
  <c r="DJ80" i="1"/>
  <c r="DI33" i="1"/>
  <c r="DN76" i="1"/>
  <c r="DJ33" i="1"/>
  <c r="DN90" i="1"/>
  <c r="DN84" i="1"/>
  <c r="DH32" i="1"/>
  <c r="DH85" i="1"/>
  <c r="DJ34" i="1"/>
  <c r="DM85" i="1"/>
  <c r="DM80" i="1"/>
  <c r="DH76" i="1"/>
  <c r="DL29" i="1"/>
  <c r="DI40" i="1"/>
  <c r="DM83" i="1"/>
  <c r="DJ81" i="1"/>
  <c r="DJ32" i="1"/>
  <c r="DL89" i="1"/>
  <c r="DI87" i="1"/>
  <c r="DN25" i="1"/>
  <c r="DL36" i="1"/>
  <c r="DL76" i="1"/>
  <c r="DM28" i="1"/>
  <c r="DJ39" i="1"/>
  <c r="DM84" i="1"/>
  <c r="DH80" i="1"/>
  <c r="DL31" i="1"/>
  <c r="DN87" i="1"/>
  <c r="DI83" i="1"/>
  <c r="DL34" i="1"/>
  <c r="DM87" i="1"/>
  <c r="DJ29" i="1"/>
  <c r="DM38" i="1"/>
  <c r="DJ26" i="1"/>
  <c r="DJ86" i="1"/>
  <c r="DJ76" i="1"/>
  <c r="DN86" i="1"/>
  <c r="DL77" i="1"/>
  <c r="DI29" i="1"/>
  <c r="DH36" i="1"/>
  <c r="DL83" i="1"/>
  <c r="DJ78" i="1"/>
  <c r="DN30" i="1"/>
  <c r="DL86" i="1"/>
  <c r="DI84" i="1"/>
  <c r="DM33" i="1"/>
  <c r="DH90" i="1"/>
  <c r="DI27" i="1"/>
  <c r="DN37" i="1"/>
  <c r="DN78" i="1"/>
  <c r="DH77" i="1"/>
  <c r="DH30" i="1"/>
  <c r="DM40" i="1"/>
  <c r="DL87" i="1"/>
  <c r="DJ82" i="1"/>
  <c r="DN32" i="1"/>
  <c r="DM90" i="1"/>
  <c r="DH86" i="1"/>
  <c r="DI25" i="1"/>
  <c r="DN35" i="1"/>
  <c r="DM27" i="1"/>
  <c r="DH40" i="1"/>
  <c r="DJ83" i="1"/>
  <c r="DJ75" i="1"/>
  <c r="DM79" i="1"/>
  <c r="DN82" i="1"/>
  <c r="DM31" i="1"/>
  <c r="DJ30" i="1"/>
  <c r="DN36" i="1"/>
  <c r="DH83" i="1"/>
  <c r="DN85" i="1"/>
  <c r="DI81" i="1"/>
  <c r="DI32" i="1"/>
  <c r="DN88" i="1"/>
  <c r="DH87" i="1"/>
  <c r="DH35" i="1"/>
  <c r="DL28" i="1"/>
  <c r="DI39" i="1"/>
  <c r="DM81" i="1"/>
  <c r="DJ79" i="1"/>
  <c r="DJ31" i="1"/>
  <c r="DN89" i="1"/>
  <c r="DI85" i="1"/>
  <c r="DI34" i="1"/>
  <c r="DJ88" i="1"/>
  <c r="DL26" i="1"/>
  <c r="DI37" i="1"/>
  <c r="DH33" i="1"/>
  <c r="DI88" i="1"/>
  <c r="DL90" i="1"/>
  <c r="DJ25" i="1"/>
  <c r="DH37" i="1"/>
  <c r="DM35" i="1"/>
  <c r="DJ37" i="1"/>
  <c r="DI26" i="1"/>
  <c r="DM88" i="1"/>
  <c r="DH84" i="1"/>
  <c r="DL33" i="1"/>
  <c r="DJ89" i="1"/>
  <c r="DM25" i="1"/>
  <c r="DJ36" i="1"/>
  <c r="DN75" i="1"/>
  <c r="DN29" i="1"/>
  <c r="DL40" i="1"/>
  <c r="DL84" i="1"/>
  <c r="DI82" i="1"/>
  <c r="DM32" i="1"/>
  <c r="DH88" i="1"/>
  <c r="DL35" i="1"/>
  <c r="DN27" i="1"/>
  <c r="DL38" i="1"/>
  <c r="DJ38" i="1"/>
  <c r="DH29" i="1"/>
  <c r="DM34" i="1"/>
  <c r="DM30" i="1"/>
  <c r="DI80" i="1"/>
  <c r="DH25" i="1"/>
  <c r="DN34" i="1"/>
  <c r="DH27" i="1"/>
  <c r="DM78" i="1"/>
  <c r="DI31" i="1"/>
  <c r="DH34" i="1"/>
  <c r="DM77" i="1"/>
  <c r="DL82" i="1"/>
  <c r="DH81" i="1"/>
  <c r="CR87" i="1"/>
  <c r="BL87" i="1"/>
  <c r="CR89" i="1"/>
  <c r="BL89" i="1"/>
  <c r="CR90" i="1"/>
  <c r="BL90" i="1"/>
  <c r="CR56" i="1"/>
  <c r="BL56" i="1"/>
  <c r="CS55" i="1"/>
  <c r="BM55" i="1"/>
  <c r="BL85" i="1"/>
  <c r="CR85" i="1"/>
  <c r="CR88" i="1"/>
  <c r="BL88" i="1"/>
  <c r="BL83" i="1"/>
  <c r="CR83" i="1"/>
  <c r="CR84" i="1"/>
  <c r="BL84" i="1"/>
  <c r="AH51" i="1"/>
  <c r="AH56" i="1"/>
  <c r="D24" i="2" s="1"/>
  <c r="U8" i="1"/>
  <c r="AH58" i="1"/>
  <c r="AB6" i="1"/>
  <c r="Z12" i="1"/>
  <c r="U2" i="2" s="1"/>
  <c r="AB5" i="1"/>
  <c r="AH52" i="1"/>
  <c r="AH60" i="1"/>
  <c r="Z23" i="1"/>
  <c r="C9" i="2" s="1"/>
  <c r="AA23" i="1"/>
  <c r="D9" i="2" s="1"/>
  <c r="AH59" i="1"/>
  <c r="AH57" i="1"/>
  <c r="D25" i="2" s="1"/>
  <c r="AH53" i="1"/>
  <c r="BE40" i="1"/>
  <c r="AW40" i="1"/>
  <c r="G40" i="2" s="1"/>
  <c r="CZ37" i="1"/>
  <c r="CJ37" i="1"/>
  <c r="CR37" i="1"/>
  <c r="BT37" i="1"/>
  <c r="CB37" i="1"/>
  <c r="BL37" i="1"/>
  <c r="BE25" i="1"/>
  <c r="AW25" i="1"/>
  <c r="G25" i="2" s="1"/>
  <c r="BE37" i="1"/>
  <c r="AW37" i="1"/>
  <c r="G37" i="2" s="1"/>
  <c r="CR39" i="1"/>
  <c r="CZ39" i="1"/>
  <c r="CJ39" i="1"/>
  <c r="CB39" i="1"/>
  <c r="BT39" i="1"/>
  <c r="BL39" i="1"/>
  <c r="CR40" i="1"/>
  <c r="CZ40" i="1"/>
  <c r="CJ40" i="1"/>
  <c r="CB40" i="1"/>
  <c r="BT40" i="1"/>
  <c r="BL40" i="1"/>
  <c r="BD7" i="1"/>
  <c r="AV7" i="1"/>
  <c r="F7" i="2" s="1"/>
  <c r="BE6" i="1"/>
  <c r="AW6" i="1"/>
  <c r="G6" i="2" s="1"/>
  <c r="CZ35" i="1"/>
  <c r="CJ35" i="1"/>
  <c r="CR35" i="1"/>
  <c r="BT35" i="1"/>
  <c r="CB35" i="1"/>
  <c r="BL35" i="1"/>
  <c r="BE28" i="1"/>
  <c r="AW28" i="1"/>
  <c r="G28" i="2" s="1"/>
  <c r="BE31" i="1"/>
  <c r="AW31" i="1"/>
  <c r="G31" i="2" s="1"/>
  <c r="BE36" i="1"/>
  <c r="AW36" i="1"/>
  <c r="G36" i="2" s="1"/>
  <c r="DA5" i="1"/>
  <c r="CS5" i="1"/>
  <c r="CK5" i="1"/>
  <c r="CC5" i="1"/>
  <c r="BM5" i="1"/>
  <c r="BU5" i="1"/>
  <c r="BE30" i="1"/>
  <c r="AW30" i="1"/>
  <c r="G30" i="2" s="1"/>
  <c r="BE33" i="1"/>
  <c r="AW33" i="1"/>
  <c r="G33" i="2" s="1"/>
  <c r="BE39" i="1"/>
  <c r="AW39" i="1"/>
  <c r="G39" i="2" s="1"/>
  <c r="BE26" i="1"/>
  <c r="AW26" i="1"/>
  <c r="G26" i="2" s="1"/>
  <c r="CR33" i="1"/>
  <c r="CZ33" i="1"/>
  <c r="CJ33" i="1"/>
  <c r="CB33" i="1"/>
  <c r="BT33" i="1"/>
  <c r="BL33" i="1"/>
  <c r="CR6" i="1"/>
  <c r="CB6" i="1"/>
  <c r="CJ6" i="1"/>
  <c r="CZ6" i="1"/>
  <c r="BT6" i="1"/>
  <c r="BL6" i="1"/>
  <c r="BE29" i="1"/>
  <c r="AW29" i="1"/>
  <c r="G29" i="2" s="1"/>
  <c r="CZ36" i="1"/>
  <c r="CJ36" i="1"/>
  <c r="CR36" i="1"/>
  <c r="BT36" i="1"/>
  <c r="CB36" i="1"/>
  <c r="BL36" i="1"/>
  <c r="BE27" i="1"/>
  <c r="AW27" i="1"/>
  <c r="G27" i="2" s="1"/>
  <c r="BE35" i="1"/>
  <c r="AW35" i="1"/>
  <c r="G35" i="2" s="1"/>
  <c r="CR38" i="1"/>
  <c r="CJ38" i="1"/>
  <c r="CB38" i="1"/>
  <c r="CZ38" i="1"/>
  <c r="BT38" i="1"/>
  <c r="BL38" i="1"/>
  <c r="CR32" i="1"/>
  <c r="CZ32" i="1"/>
  <c r="CJ32" i="1"/>
  <c r="CB32" i="1"/>
  <c r="BT32" i="1"/>
  <c r="BL32" i="1"/>
  <c r="BE38" i="1"/>
  <c r="AW38" i="1"/>
  <c r="G38" i="2" s="1"/>
  <c r="BE32" i="1"/>
  <c r="AW32" i="1"/>
  <c r="G32" i="2" s="1"/>
  <c r="BF5" i="1"/>
  <c r="AX5" i="1"/>
  <c r="H5" i="2" s="1"/>
  <c r="BE34" i="1"/>
  <c r="AW34" i="1"/>
  <c r="G34" i="2" s="1"/>
  <c r="CZ34" i="1"/>
  <c r="CJ34" i="1"/>
  <c r="BT34" i="1"/>
  <c r="CR34" i="1"/>
  <c r="CB34" i="1"/>
  <c r="BL34" i="1"/>
  <c r="AN8" i="1"/>
  <c r="AO7" i="1"/>
  <c r="AP35" i="1"/>
  <c r="AP29" i="1"/>
  <c r="AP26" i="1"/>
  <c r="AP36" i="1"/>
  <c r="AP24" i="1"/>
  <c r="AP37" i="1"/>
  <c r="AP30" i="1"/>
  <c r="AQ5" i="1"/>
  <c r="AP38" i="1"/>
  <c r="AP27" i="1"/>
  <c r="AP39" i="1"/>
  <c r="AP31" i="1"/>
  <c r="AP6" i="1"/>
  <c r="V6" i="1"/>
  <c r="AP40" i="1"/>
  <c r="AP32" i="1"/>
  <c r="AP25" i="1"/>
  <c r="AP23" i="1"/>
  <c r="AP33" i="1"/>
  <c r="AP28" i="1"/>
  <c r="AP34" i="1"/>
  <c r="AI51" i="1" l="1"/>
  <c r="AI49" i="1"/>
  <c r="C26" i="2" s="1"/>
  <c r="CS88" i="1"/>
  <c r="BM88" i="1"/>
  <c r="CS77" i="1"/>
  <c r="BM77" i="1"/>
  <c r="CS79" i="1"/>
  <c r="BM79" i="1"/>
  <c r="CS89" i="1"/>
  <c r="BM89" i="1"/>
  <c r="CS78" i="1"/>
  <c r="BM78" i="1"/>
  <c r="CS87" i="1"/>
  <c r="BM87" i="1"/>
  <c r="CS56" i="1"/>
  <c r="BM56" i="1"/>
  <c r="BM84" i="1"/>
  <c r="CS84" i="1"/>
  <c r="CS83" i="1"/>
  <c r="BM83" i="1"/>
  <c r="CR57" i="1"/>
  <c r="BL57" i="1"/>
  <c r="CS75" i="1"/>
  <c r="BM75" i="1"/>
  <c r="CS90" i="1"/>
  <c r="BM90" i="1"/>
  <c r="CT55" i="1"/>
  <c r="BN55" i="1"/>
  <c r="CS80" i="1"/>
  <c r="BM80" i="1"/>
  <c r="CS86" i="1"/>
  <c r="BM86" i="1"/>
  <c r="CS82" i="1"/>
  <c r="BM82" i="1"/>
  <c r="CS85" i="1"/>
  <c r="BM85" i="1"/>
  <c r="BM76" i="1"/>
  <c r="CS76" i="1"/>
  <c r="CS81" i="1"/>
  <c r="BM81" i="1"/>
  <c r="AI59" i="1"/>
  <c r="AI56" i="1"/>
  <c r="D26" i="2" s="1"/>
  <c r="AI57" i="1"/>
  <c r="D27" i="2" s="1"/>
  <c r="U9" i="1"/>
  <c r="Z24" i="1"/>
  <c r="C10" i="2" s="1"/>
  <c r="AI60" i="1"/>
  <c r="AI53" i="1"/>
  <c r="AA24" i="1"/>
  <c r="D10" i="2" s="1"/>
  <c r="AI58" i="1"/>
  <c r="AI52" i="1"/>
  <c r="AA6" i="1"/>
  <c r="D5" i="2" s="1"/>
  <c r="AI50" i="1"/>
  <c r="C27" i="2" s="1"/>
  <c r="Z7" i="1"/>
  <c r="B2" i="2" s="1"/>
  <c r="AA5" i="1"/>
  <c r="C5" i="2" s="1"/>
  <c r="BF38" i="1"/>
  <c r="AX38" i="1"/>
  <c r="H38" i="2" s="1"/>
  <c r="BF32" i="1"/>
  <c r="AX32" i="1"/>
  <c r="H32" i="2" s="1"/>
  <c r="BG5" i="1"/>
  <c r="AY5" i="1"/>
  <c r="I5" i="2" s="1"/>
  <c r="BF40" i="1"/>
  <c r="AX40" i="1"/>
  <c r="H40" i="2" s="1"/>
  <c r="BE7" i="1"/>
  <c r="AW7" i="1"/>
  <c r="G7" i="2" s="1"/>
  <c r="DA36" i="1"/>
  <c r="CK36" i="1"/>
  <c r="CS36" i="1"/>
  <c r="BU36" i="1"/>
  <c r="CC36" i="1"/>
  <c r="BM36" i="1"/>
  <c r="BF37" i="1"/>
  <c r="AX37" i="1"/>
  <c r="H37" i="2" s="1"/>
  <c r="DA38" i="1"/>
  <c r="CK38" i="1"/>
  <c r="CS38" i="1"/>
  <c r="CC38" i="1"/>
  <c r="BM38" i="1"/>
  <c r="BU38" i="1"/>
  <c r="CS39" i="1"/>
  <c r="DA39" i="1"/>
  <c r="CC39" i="1"/>
  <c r="BU39" i="1"/>
  <c r="BM39" i="1"/>
  <c r="CK39" i="1"/>
  <c r="BF34" i="1"/>
  <c r="AX34" i="1"/>
  <c r="H34" i="2" s="1"/>
  <c r="BF6" i="1"/>
  <c r="AX6" i="1"/>
  <c r="H6" i="2" s="1"/>
  <c r="BF24" i="1"/>
  <c r="AX24" i="1"/>
  <c r="H24" i="2" s="1"/>
  <c r="BD8" i="1"/>
  <c r="AV8" i="1"/>
  <c r="F8" i="2" s="1"/>
  <c r="DA6" i="1"/>
  <c r="CS6" i="1"/>
  <c r="CK6" i="1"/>
  <c r="BM6" i="1"/>
  <c r="CC6" i="1"/>
  <c r="BU6" i="1"/>
  <c r="DA37" i="1"/>
  <c r="CK37" i="1"/>
  <c r="CS37" i="1"/>
  <c r="BU37" i="1"/>
  <c r="CC37" i="1"/>
  <c r="BM37" i="1"/>
  <c r="DB5" i="1"/>
  <c r="CT5" i="1"/>
  <c r="CL5" i="1"/>
  <c r="CD5" i="1"/>
  <c r="BN5" i="1"/>
  <c r="BV5" i="1"/>
  <c r="DA35" i="1"/>
  <c r="CK35" i="1"/>
  <c r="BU35" i="1"/>
  <c r="CS35" i="1"/>
  <c r="CC35" i="1"/>
  <c r="BM35" i="1"/>
  <c r="CS31" i="1"/>
  <c r="CC31" i="1"/>
  <c r="BU31" i="1"/>
  <c r="CK31" i="1"/>
  <c r="DA31" i="1"/>
  <c r="BM31" i="1"/>
  <c r="CS33" i="1"/>
  <c r="DA33" i="1"/>
  <c r="CK33" i="1"/>
  <c r="CC33" i="1"/>
  <c r="BU33" i="1"/>
  <c r="BM33" i="1"/>
  <c r="CR7" i="1"/>
  <c r="CZ7" i="1"/>
  <c r="CB7" i="1"/>
  <c r="CJ7" i="1"/>
  <c r="BT7" i="1"/>
  <c r="BL7" i="1"/>
  <c r="BF25" i="1"/>
  <c r="AX25" i="1"/>
  <c r="H25" i="2" s="1"/>
  <c r="BF35" i="1"/>
  <c r="AX35" i="1"/>
  <c r="H35" i="2" s="1"/>
  <c r="BF30" i="1"/>
  <c r="AX30" i="1"/>
  <c r="H30" i="2" s="1"/>
  <c r="CS34" i="1"/>
  <c r="DA34" i="1"/>
  <c r="CK34" i="1"/>
  <c r="CC34" i="1"/>
  <c r="BU34" i="1"/>
  <c r="BM34" i="1"/>
  <c r="BF28" i="1"/>
  <c r="AX28" i="1"/>
  <c r="H28" i="2" s="1"/>
  <c r="BF31" i="1"/>
  <c r="AX31" i="1"/>
  <c r="H31" i="2" s="1"/>
  <c r="BF36" i="1"/>
  <c r="AX36" i="1"/>
  <c r="H36" i="2" s="1"/>
  <c r="BF33" i="1"/>
  <c r="AX33" i="1"/>
  <c r="H33" i="2" s="1"/>
  <c r="BF39" i="1"/>
  <c r="AX39" i="1"/>
  <c r="H39" i="2" s="1"/>
  <c r="BF26" i="1"/>
  <c r="AX26" i="1"/>
  <c r="H26" i="2" s="1"/>
  <c r="BF23" i="1"/>
  <c r="AX23" i="1"/>
  <c r="H23" i="2" s="1"/>
  <c r="BF27" i="1"/>
  <c r="AX27" i="1"/>
  <c r="H27" i="2" s="1"/>
  <c r="BF29" i="1"/>
  <c r="AX29" i="1"/>
  <c r="H29" i="2" s="1"/>
  <c r="CS25" i="1"/>
  <c r="DA25" i="1"/>
  <c r="CK25" i="1"/>
  <c r="CC25" i="1"/>
  <c r="BU25" i="1"/>
  <c r="BM25" i="1"/>
  <c r="CS32" i="1"/>
  <c r="DA32" i="1"/>
  <c r="CK32" i="1"/>
  <c r="CC32" i="1"/>
  <c r="BM32" i="1"/>
  <c r="BU32" i="1"/>
  <c r="DA27" i="1"/>
  <c r="CK27" i="1"/>
  <c r="CS27" i="1"/>
  <c r="CC27" i="1"/>
  <c r="BM27" i="1"/>
  <c r="BU27" i="1"/>
  <c r="CS26" i="1"/>
  <c r="DA26" i="1"/>
  <c r="CK26" i="1"/>
  <c r="CC26" i="1"/>
  <c r="BU26" i="1"/>
  <c r="BM26" i="1"/>
  <c r="DA28" i="1"/>
  <c r="CK28" i="1"/>
  <c r="CS28" i="1"/>
  <c r="BU28" i="1"/>
  <c r="CC28" i="1"/>
  <c r="BM28" i="1"/>
  <c r="CS40" i="1"/>
  <c r="DA40" i="1"/>
  <c r="CK40" i="1"/>
  <c r="CC40" i="1"/>
  <c r="BU40" i="1"/>
  <c r="BM40" i="1"/>
  <c r="DA29" i="1"/>
  <c r="CK29" i="1"/>
  <c r="CS29" i="1"/>
  <c r="BU29" i="1"/>
  <c r="CC29" i="1"/>
  <c r="BM29" i="1"/>
  <c r="DA30" i="1"/>
  <c r="CK30" i="1"/>
  <c r="CS30" i="1"/>
  <c r="CC30" i="1"/>
  <c r="BU30" i="1"/>
  <c r="BM30" i="1"/>
  <c r="AP7" i="1"/>
  <c r="AQ36" i="1"/>
  <c r="AQ37" i="1"/>
  <c r="AQ30" i="1"/>
  <c r="AR5" i="1"/>
  <c r="AQ38" i="1"/>
  <c r="AQ27" i="1"/>
  <c r="AQ39" i="1"/>
  <c r="AQ31" i="1"/>
  <c r="AQ6" i="1"/>
  <c r="V7" i="1"/>
  <c r="AQ40" i="1"/>
  <c r="AQ32" i="1"/>
  <c r="AQ25" i="1"/>
  <c r="AQ33" i="1"/>
  <c r="AQ28" i="1"/>
  <c r="AQ34" i="1"/>
  <c r="AQ35" i="1"/>
  <c r="AQ29" i="1"/>
  <c r="AQ26" i="1"/>
  <c r="AO8" i="1"/>
  <c r="AN9" i="1"/>
  <c r="AJ52" i="1" l="1"/>
  <c r="AJ49" i="1"/>
  <c r="C28" i="2" s="1"/>
  <c r="FE55" i="1"/>
  <c r="ET55" i="1"/>
  <c r="FJ55" i="1"/>
  <c r="EZ55" i="1"/>
  <c r="FH55" i="1"/>
  <c r="FF55" i="1"/>
  <c r="EX55" i="1"/>
  <c r="EY55" i="1"/>
  <c r="FG55" i="1"/>
  <c r="EW55" i="1"/>
  <c r="FD55" i="1"/>
  <c r="EV55" i="1"/>
  <c r="EU55" i="1"/>
  <c r="FC55" i="1"/>
  <c r="FA55" i="1"/>
  <c r="FI55" i="1"/>
  <c r="BN77" i="1"/>
  <c r="CT77" i="1"/>
  <c r="CT83" i="1"/>
  <c r="BN83" i="1"/>
  <c r="BN85" i="1"/>
  <c r="CT85" i="1"/>
  <c r="CT74" i="1"/>
  <c r="BN74" i="1"/>
  <c r="CT82" i="1"/>
  <c r="BN82" i="1"/>
  <c r="CT73" i="1"/>
  <c r="BN73" i="1"/>
  <c r="CT86" i="1"/>
  <c r="BN86" i="1"/>
  <c r="CT75" i="1"/>
  <c r="BN75" i="1"/>
  <c r="CT56" i="1"/>
  <c r="FC56" i="1" s="1"/>
  <c r="BN56" i="1"/>
  <c r="DN56" i="1" s="1"/>
  <c r="CT87" i="1"/>
  <c r="BN87" i="1"/>
  <c r="CS57" i="1"/>
  <c r="BM57" i="1"/>
  <c r="CT88" i="1"/>
  <c r="BN88" i="1"/>
  <c r="CT76" i="1"/>
  <c r="BN76" i="1"/>
  <c r="CT81" i="1"/>
  <c r="BN81" i="1"/>
  <c r="DL5" i="1"/>
  <c r="DH5" i="1"/>
  <c r="DN5" i="1"/>
  <c r="DI5" i="1"/>
  <c r="DM5" i="1"/>
  <c r="DJ5" i="1"/>
  <c r="CT84" i="1"/>
  <c r="BN84" i="1"/>
  <c r="CT90" i="1"/>
  <c r="BN90" i="1"/>
  <c r="DN55" i="1"/>
  <c r="DH55" i="1"/>
  <c r="DL55" i="1"/>
  <c r="DI56" i="1"/>
  <c r="DI55" i="1"/>
  <c r="DJ55" i="1"/>
  <c r="CT79" i="1"/>
  <c r="BN79" i="1"/>
  <c r="CT89" i="1"/>
  <c r="BN89" i="1"/>
  <c r="CT78" i="1"/>
  <c r="BN78" i="1"/>
  <c r="CT80" i="1"/>
  <c r="BN80" i="1"/>
  <c r="CR58" i="1"/>
  <c r="BL58" i="1"/>
  <c r="CU55" i="1"/>
  <c r="BO55" i="1"/>
  <c r="AJ53" i="1"/>
  <c r="AJ56" i="1"/>
  <c r="D28" i="2" s="1"/>
  <c r="U10" i="1"/>
  <c r="AK49" i="1" s="1"/>
  <c r="C30" i="2" s="1"/>
  <c r="AA25" i="1"/>
  <c r="D11" i="2" s="1"/>
  <c r="AJ58" i="1"/>
  <c r="Z25" i="1"/>
  <c r="C11" i="2" s="1"/>
  <c r="AJ57" i="1"/>
  <c r="D29" i="2" s="1"/>
  <c r="AJ60" i="1"/>
  <c r="AJ59" i="1"/>
  <c r="AJ12" i="1"/>
  <c r="AJ50" i="1"/>
  <c r="C29" i="2" s="1"/>
  <c r="AJ51" i="1"/>
  <c r="AC16" i="1"/>
  <c r="AI17" i="1"/>
  <c r="AF19" i="1"/>
  <c r="AG17" i="1"/>
  <c r="AG15" i="1"/>
  <c r="AL16" i="1"/>
  <c r="AJ39" i="1"/>
  <c r="AF24" i="1"/>
  <c r="AG18" i="1"/>
  <c r="AF5" i="1"/>
  <c r="AD30" i="1"/>
  <c r="AG10" i="1"/>
  <c r="AH46" i="1"/>
  <c r="AK35" i="1"/>
  <c r="AC35" i="1"/>
  <c r="AD45" i="1"/>
  <c r="AD7" i="1"/>
  <c r="AH33" i="1"/>
  <c r="AK39" i="1"/>
  <c r="AK14" i="1"/>
  <c r="AH35" i="1"/>
  <c r="AF45" i="1"/>
  <c r="AG7" i="1"/>
  <c r="AD21" i="1"/>
  <c r="AJ25" i="1"/>
  <c r="AD15" i="1"/>
  <c r="AC33" i="1"/>
  <c r="AF23" i="1"/>
  <c r="AJ11" i="1"/>
  <c r="AF42" i="1"/>
  <c r="AF15" i="1"/>
  <c r="AL39" i="1"/>
  <c r="AE13" i="1"/>
  <c r="AL13" i="1"/>
  <c r="AK28" i="1"/>
  <c r="AE6" i="1"/>
  <c r="AH22" i="1"/>
  <c r="AI8" i="1"/>
  <c r="AI40" i="1"/>
  <c r="AD9" i="1"/>
  <c r="AF28" i="1"/>
  <c r="AL20" i="1"/>
  <c r="AC43" i="1"/>
  <c r="AI35" i="1"/>
  <c r="AF13" i="1"/>
  <c r="AD16" i="1"/>
  <c r="AG45" i="1"/>
  <c r="AK5" i="1"/>
  <c r="AI6" i="1"/>
  <c r="AH23" i="1"/>
  <c r="AJ38" i="1"/>
  <c r="AJ24" i="1"/>
  <c r="AH40" i="1"/>
  <c r="AJ43" i="1"/>
  <c r="AF46" i="1"/>
  <c r="AC40" i="1"/>
  <c r="AE25" i="1"/>
  <c r="AJ42" i="1"/>
  <c r="AI44" i="1"/>
  <c r="AL45" i="1"/>
  <c r="AI36" i="1"/>
  <c r="AH9" i="1"/>
  <c r="AJ34" i="1"/>
  <c r="AI21" i="1"/>
  <c r="AH16" i="1"/>
  <c r="AK8" i="1"/>
  <c r="AH26" i="1"/>
  <c r="AD10" i="1"/>
  <c r="AE26" i="1"/>
  <c r="AL27" i="1"/>
  <c r="AC34" i="1"/>
  <c r="AF22" i="1"/>
  <c r="AL18" i="1"/>
  <c r="AK22" i="1"/>
  <c r="AE36" i="1"/>
  <c r="AJ5" i="1"/>
  <c r="AK37" i="1"/>
  <c r="AC22" i="1"/>
  <c r="AG5" i="1"/>
  <c r="AJ7" i="1"/>
  <c r="AF43" i="1"/>
  <c r="AI23" i="1"/>
  <c r="AJ32" i="1"/>
  <c r="AI29" i="1"/>
  <c r="AL21" i="1"/>
  <c r="AD19" i="1"/>
  <c r="AG14" i="1"/>
  <c r="AI27" i="1"/>
  <c r="AI19" i="1"/>
  <c r="AF30" i="1"/>
  <c r="AK27" i="1"/>
  <c r="AD13" i="1"/>
  <c r="AC13" i="1"/>
  <c r="AH27" i="1"/>
  <c r="AK29" i="1"/>
  <c r="AJ6" i="1"/>
  <c r="AL7" i="1"/>
  <c r="AH5" i="1"/>
  <c r="AC28" i="1"/>
  <c r="AD35" i="1"/>
  <c r="AE40" i="1"/>
  <c r="AK36" i="1"/>
  <c r="AF34" i="1"/>
  <c r="AH6" i="1"/>
  <c r="AJ45" i="1"/>
  <c r="AF41" i="1"/>
  <c r="AE20" i="1"/>
  <c r="AI30" i="1"/>
  <c r="AE33" i="1"/>
  <c r="AD27" i="1"/>
  <c r="AH36" i="1"/>
  <c r="AL38" i="1"/>
  <c r="AL37" i="1"/>
  <c r="AH10" i="1"/>
  <c r="AJ17" i="1"/>
  <c r="AD8" i="1"/>
  <c r="AD33" i="1"/>
  <c r="AL29" i="1"/>
  <c r="AI18" i="1"/>
  <c r="AJ14" i="1"/>
  <c r="AD6" i="1"/>
  <c r="AF32" i="1"/>
  <c r="AJ40" i="1"/>
  <c r="AI7" i="1"/>
  <c r="AG28" i="1"/>
  <c r="AL25" i="1"/>
  <c r="AE32" i="1"/>
  <c r="AE21" i="1"/>
  <c r="AK10" i="1"/>
  <c r="AF10" i="1"/>
  <c r="AF27" i="1"/>
  <c r="AH29" i="1"/>
  <c r="AC19" i="1"/>
  <c r="AD11" i="1"/>
  <c r="AE17" i="1"/>
  <c r="AJ35" i="1"/>
  <c r="AL8" i="1"/>
  <c r="AF25" i="1"/>
  <c r="AK41" i="1"/>
  <c r="AF17" i="1"/>
  <c r="AC21" i="1"/>
  <c r="AH12" i="1"/>
  <c r="AL14" i="1"/>
  <c r="AC10" i="1"/>
  <c r="AE19" i="1"/>
  <c r="AJ26" i="1"/>
  <c r="AG46" i="1"/>
  <c r="AE23" i="1"/>
  <c r="AL33" i="1"/>
  <c r="AK6" i="1"/>
  <c r="AE30" i="1"/>
  <c r="AL40" i="1"/>
  <c r="AC12" i="1"/>
  <c r="AC42" i="1"/>
  <c r="AC5" i="1"/>
  <c r="AI41" i="1"/>
  <c r="AJ29" i="1"/>
  <c r="AF18" i="1"/>
  <c r="GF40" i="1"/>
  <c r="GD32" i="1"/>
  <c r="FW34" i="1"/>
  <c r="ET40" i="1"/>
  <c r="FZ38" i="1"/>
  <c r="GC39" i="1"/>
  <c r="FJ40" i="1"/>
  <c r="FP38" i="1"/>
  <c r="GF34" i="1"/>
  <c r="FO35" i="1"/>
  <c r="FT35" i="1"/>
  <c r="FO32" i="1"/>
  <c r="FU40" i="1"/>
  <c r="GA37" i="1"/>
  <c r="FZ40" i="1"/>
  <c r="FJ36" i="1"/>
  <c r="FZ34" i="1"/>
  <c r="GC35" i="1"/>
  <c r="ET34" i="1"/>
  <c r="GB33" i="1"/>
  <c r="FT38" i="1"/>
  <c r="FC37" i="1"/>
  <c r="FD37" i="1"/>
  <c r="GE33" i="1"/>
  <c r="FG40" i="1"/>
  <c r="EV39" i="1"/>
  <c r="FJ39" i="1"/>
  <c r="FF35" i="1"/>
  <c r="FP37" i="1"/>
  <c r="FN39" i="1"/>
  <c r="FH40" i="1"/>
  <c r="EH36" i="1"/>
  <c r="GE39" i="1"/>
  <c r="FG36" i="1"/>
  <c r="EH35" i="1"/>
  <c r="ET38" i="1"/>
  <c r="FF39" i="1"/>
  <c r="GE38" i="1"/>
  <c r="FW37" i="1"/>
  <c r="FE39" i="1"/>
  <c r="EV38" i="1"/>
  <c r="EE33" i="1"/>
  <c r="EV35" i="1"/>
  <c r="EN38" i="1"/>
  <c r="DY33" i="1"/>
  <c r="EE39" i="1"/>
  <c r="EC35" i="1"/>
  <c r="FF34" i="1"/>
  <c r="ER38" i="1"/>
  <c r="FE35" i="1"/>
  <c r="DY32" i="1"/>
  <c r="EF36" i="1"/>
  <c r="EC34" i="1"/>
  <c r="EI35" i="1"/>
  <c r="EK36" i="1"/>
  <c r="EC36" i="1"/>
  <c r="DQ36" i="1"/>
  <c r="EB40" i="1"/>
  <c r="DS33" i="1"/>
  <c r="EQ39" i="1"/>
  <c r="DT39" i="1"/>
  <c r="FE33" i="1"/>
  <c r="DX35" i="1"/>
  <c r="DP39" i="1"/>
  <c r="DX37" i="1"/>
  <c r="DP40" i="1"/>
  <c r="ER37" i="1"/>
  <c r="DV34" i="1"/>
  <c r="FC36" i="1"/>
  <c r="GA34" i="1"/>
  <c r="FS32" i="1"/>
  <c r="FQ36" i="1"/>
  <c r="GE34" i="1"/>
  <c r="FN40" i="1"/>
  <c r="EI39" i="1"/>
  <c r="FP39" i="1"/>
  <c r="EF32" i="1"/>
  <c r="EV40" i="1"/>
  <c r="GB34" i="1"/>
  <c r="FS36" i="1"/>
  <c r="FL38" i="1"/>
  <c r="ET32" i="1"/>
  <c r="FU35" i="1"/>
  <c r="FY33" i="1"/>
  <c r="FJ32" i="1"/>
  <c r="FL32" i="1"/>
  <c r="FU38" i="1"/>
  <c r="FW40" i="1"/>
  <c r="GB40" i="1"/>
  <c r="FD35" i="1"/>
  <c r="FQ34" i="1"/>
  <c r="FL35" i="1"/>
  <c r="GF33" i="1"/>
  <c r="FX36" i="1"/>
  <c r="FO38" i="1"/>
  <c r="FR39" i="1"/>
  <c r="FJ35" i="1"/>
  <c r="FQ37" i="1"/>
  <c r="FP32" i="1"/>
  <c r="ET33" i="1"/>
  <c r="FA39" i="1"/>
  <c r="FD36" i="1"/>
  <c r="FG32" i="1"/>
  <c r="EQ37" i="1"/>
  <c r="FA37" i="1"/>
  <c r="EW39" i="1"/>
  <c r="FJ38" i="1"/>
  <c r="FM35" i="1"/>
  <c r="FH32" i="1"/>
  <c r="FE38" i="1"/>
  <c r="FS39" i="1"/>
  <c r="EX40" i="1"/>
  <c r="EU36" i="1"/>
  <c r="FA33" i="1"/>
  <c r="EW35" i="1"/>
  <c r="FO40" i="1"/>
  <c r="FH37" i="1"/>
  <c r="EU39" i="1"/>
  <c r="ER35" i="1"/>
  <c r="EL37" i="1"/>
  <c r="EN35" i="1"/>
  <c r="EK33" i="1"/>
  <c r="DZ35" i="1"/>
  <c r="EL35" i="1"/>
  <c r="EA34" i="1"/>
  <c r="EW38" i="1"/>
  <c r="EL34" i="1"/>
  <c r="EY37" i="1"/>
  <c r="DW39" i="1"/>
  <c r="EE36" i="1"/>
  <c r="DZ32" i="1"/>
  <c r="EH32" i="1"/>
  <c r="EB33" i="1"/>
  <c r="EA35" i="1"/>
  <c r="DT38" i="1"/>
  <c r="ER39" i="1"/>
  <c r="DP35" i="1"/>
  <c r="EG35" i="1"/>
  <c r="DP38" i="1"/>
  <c r="EK34" i="1"/>
  <c r="DS32" i="1"/>
  <c r="DY37" i="1"/>
  <c r="EU37" i="1"/>
  <c r="DT34" i="1"/>
  <c r="EJ35" i="1"/>
  <c r="DQ37" i="1"/>
  <c r="DX40" i="1"/>
  <c r="FM34" i="1"/>
  <c r="FY38" i="1"/>
  <c r="FL34" i="1"/>
  <c r="FC38" i="1"/>
  <c r="FM33" i="1"/>
  <c r="EZ32" i="1"/>
  <c r="FC34" i="1"/>
  <c r="EQ34" i="1"/>
  <c r="EE37" i="1"/>
  <c r="FQ38" i="1"/>
  <c r="FW35" i="1"/>
  <c r="GF37" i="1"/>
  <c r="FX40" i="1"/>
  <c r="GC40" i="1"/>
  <c r="FN37" i="1"/>
  <c r="FZ39" i="1"/>
  <c r="GD36" i="1"/>
  <c r="FQ32" i="1"/>
  <c r="GC33" i="1"/>
  <c r="FX34" i="1"/>
  <c r="FC40" i="1"/>
  <c r="FY39" i="1"/>
  <c r="GD39" i="1"/>
  <c r="FU37" i="1"/>
  <c r="FM40" i="1"/>
  <c r="GC36" i="1"/>
  <c r="FN33" i="1"/>
  <c r="FZ35" i="1"/>
  <c r="GE35" i="1"/>
  <c r="GD38" i="1"/>
  <c r="FJ34" i="1"/>
  <c r="FI40" i="1"/>
  <c r="FA38" i="1"/>
  <c r="EX36" i="1"/>
  <c r="EI34" i="1"/>
  <c r="FI38" i="1"/>
  <c r="FE32" i="1"/>
  <c r="FA36" i="1"/>
  <c r="FN36" i="1"/>
  <c r="FY36" i="1"/>
  <c r="EY38" i="1"/>
  <c r="FP36" i="1"/>
  <c r="EX32" i="1"/>
  <c r="EQ32" i="1"/>
  <c r="FI34" i="1"/>
  <c r="EI37" i="1"/>
  <c r="FC33" i="1"/>
  <c r="FG34" i="1"/>
  <c r="ER36" i="1"/>
  <c r="EO39" i="1"/>
  <c r="EU40" i="1"/>
  <c r="EE40" i="1"/>
  <c r="EO33" i="1"/>
  <c r="FF37" i="1"/>
  <c r="EY34" i="1"/>
  <c r="DX33" i="1"/>
  <c r="EU34" i="1"/>
  <c r="EU32" i="1"/>
  <c r="ER34" i="1"/>
  <c r="EA37" i="1"/>
  <c r="EU35" i="1"/>
  <c r="DY40" i="1"/>
  <c r="EG37" i="1"/>
  <c r="DZ40" i="1"/>
  <c r="DY35" i="1"/>
  <c r="DS40" i="1"/>
  <c r="EK39" i="1"/>
  <c r="DQ38" i="1"/>
  <c r="EQ38" i="1"/>
  <c r="DY39" i="1"/>
  <c r="DP33" i="1"/>
  <c r="EF34" i="1"/>
  <c r="DV36" i="1"/>
  <c r="DX36" i="1"/>
  <c r="DV38" i="1"/>
  <c r="DQ33" i="1"/>
  <c r="ET39" i="1"/>
  <c r="FG38" i="1"/>
  <c r="EI36" i="1"/>
  <c r="EY32" i="1"/>
  <c r="EV34" i="1"/>
  <c r="FM32" i="1"/>
  <c r="FL39" i="1"/>
  <c r="FQ35" i="1"/>
  <c r="GD33" i="1"/>
  <c r="FY34" i="1"/>
  <c r="FX37" i="1"/>
  <c r="GB38" i="1"/>
  <c r="FS40" i="1"/>
  <c r="FW38" i="1"/>
  <c r="FR37" i="1"/>
  <c r="FM38" i="1"/>
  <c r="FC32" i="1"/>
  <c r="GE32" i="1"/>
  <c r="FZ33" i="1"/>
  <c r="FD34" i="1"/>
  <c r="FS33" i="1"/>
  <c r="FR40" i="1"/>
  <c r="GB39" i="1"/>
  <c r="FO39" i="1"/>
  <c r="FT39" i="1"/>
  <c r="FZ32" i="1"/>
  <c r="GF32" i="1"/>
  <c r="FI32" i="1"/>
  <c r="FP35" i="1"/>
  <c r="GA35" i="1"/>
  <c r="EY33" i="1"/>
  <c r="EZ34" i="1"/>
  <c r="EY36" i="1"/>
  <c r="GE37" i="1"/>
  <c r="FJ33" i="1"/>
  <c r="FG37" i="1"/>
  <c r="EQ36" i="1"/>
  <c r="FA34" i="1"/>
  <c r="FF40" i="1"/>
  <c r="EN36" i="1"/>
  <c r="EZ38" i="1"/>
  <c r="ER40" i="1"/>
  <c r="ET37" i="1"/>
  <c r="EX38" i="1"/>
  <c r="EO40" i="1"/>
  <c r="EF33" i="1"/>
  <c r="EG32" i="1"/>
  <c r="FR38" i="1"/>
  <c r="DZ39" i="1"/>
  <c r="EV36" i="1"/>
  <c r="EN34" i="1"/>
  <c r="DX32" i="1"/>
  <c r="EN33" i="1"/>
  <c r="EW33" i="1"/>
  <c r="EO38" i="1"/>
  <c r="EJ32" i="1"/>
  <c r="EO34" i="1"/>
  <c r="DV33" i="1"/>
  <c r="EF35" i="1"/>
  <c r="DX39" i="1"/>
  <c r="EC40" i="1"/>
  <c r="DT35" i="1"/>
  <c r="EJ34" i="1"/>
  <c r="DQ35" i="1"/>
  <c r="EK35" i="1"/>
  <c r="EC39" i="1"/>
  <c r="DP32" i="1"/>
  <c r="DX38" i="1"/>
  <c r="DQ39" i="1"/>
  <c r="EL38" i="1"/>
  <c r="DT36" i="1"/>
  <c r="EI32" i="1"/>
  <c r="DQ34" i="1"/>
  <c r="DT33" i="1"/>
  <c r="FR33" i="1"/>
  <c r="GF39" i="1"/>
  <c r="FE40" i="1"/>
  <c r="FH39" i="1"/>
  <c r="EN39" i="1"/>
  <c r="EG38" i="1"/>
  <c r="GE36" i="1"/>
  <c r="FR32" i="1"/>
  <c r="FT37" i="1"/>
  <c r="FS37" i="1"/>
  <c r="FN38" i="1"/>
  <c r="FS34" i="1"/>
  <c r="FX32" i="1"/>
  <c r="FO34" i="1"/>
  <c r="FR35" i="1"/>
  <c r="GF35" i="1"/>
  <c r="FY37" i="1"/>
  <c r="ET36" i="1"/>
  <c r="FT36" i="1"/>
  <c r="FO37" i="1"/>
  <c r="FL37" i="1"/>
  <c r="GA38" i="1"/>
  <c r="FN34" i="1"/>
  <c r="FX33" i="1"/>
  <c r="FU32" i="1"/>
  <c r="FP33" i="1"/>
  <c r="FO36" i="1"/>
  <c r="GD35" i="1"/>
  <c r="EZ36" i="1"/>
  <c r="FI39" i="1"/>
  <c r="FF36" i="1"/>
  <c r="EO32" i="1"/>
  <c r="FH34" i="1"/>
  <c r="EQ33" i="1"/>
  <c r="FI37" i="1"/>
  <c r="FA35" i="1"/>
  <c r="EX33" i="1"/>
  <c r="EN40" i="1"/>
  <c r="FI35" i="1"/>
  <c r="FF32" i="1"/>
  <c r="GB37" i="1"/>
  <c r="FH38" i="1"/>
  <c r="EH34" i="1"/>
  <c r="FA40" i="1"/>
  <c r="FL33" i="1"/>
  <c r="EH33" i="1"/>
  <c r="FE36" i="1"/>
  <c r="EY35" i="1"/>
  <c r="EL36" i="1"/>
  <c r="DW37" i="1"/>
  <c r="EO36" i="1"/>
  <c r="EK40" i="1"/>
  <c r="DV40" i="1"/>
  <c r="EG40" i="1"/>
  <c r="EH40" i="1"/>
  <c r="EL33" i="1"/>
  <c r="EI40" i="1"/>
  <c r="EL40" i="1"/>
  <c r="EJ33" i="1"/>
  <c r="EE35" i="1"/>
  <c r="EB38" i="1"/>
  <c r="DV37" i="1"/>
  <c r="DP37" i="1"/>
  <c r="DZ33" i="1"/>
  <c r="DS38" i="1"/>
  <c r="DY34" i="1"/>
  <c r="EE32" i="1"/>
  <c r="DQ40" i="1"/>
  <c r="DX34" i="1"/>
  <c r="DT32" i="1"/>
  <c r="EA40" i="1"/>
  <c r="DS36" i="1"/>
  <c r="DW34" i="1"/>
  <c r="DW38" i="1"/>
  <c r="FX39" i="1"/>
  <c r="FR36" i="1"/>
  <c r="GF36" i="1"/>
  <c r="GD40" i="1"/>
  <c r="FY40" i="1"/>
  <c r="EX35" i="1"/>
  <c r="EI38" i="1"/>
  <c r="FE37" i="1"/>
  <c r="EB37" i="1"/>
  <c r="FN32" i="1"/>
  <c r="FT40" i="1"/>
  <c r="FZ37" i="1"/>
  <c r="FD39" i="1"/>
  <c r="FW36" i="1"/>
  <c r="GB36" i="1"/>
  <c r="FD38" i="1"/>
  <c r="FM36" i="1"/>
  <c r="FW39" i="1"/>
  <c r="GB35" i="1"/>
  <c r="FU39" i="1"/>
  <c r="FT34" i="1"/>
  <c r="GC38" i="1"/>
  <c r="FX35" i="1"/>
  <c r="GA36" i="1"/>
  <c r="FC39" i="1"/>
  <c r="FW32" i="1"/>
  <c r="GF38" i="1"/>
  <c r="FM37" i="1"/>
  <c r="GC37" i="1"/>
  <c r="FX38" i="1"/>
  <c r="FD40" i="1"/>
  <c r="GA32" i="1"/>
  <c r="FH36" i="1"/>
  <c r="EZ35" i="1"/>
  <c r="EW40" i="1"/>
  <c r="EH39" i="1"/>
  <c r="FT33" i="1"/>
  <c r="EN37" i="1"/>
  <c r="EZ33" i="1"/>
  <c r="FI36" i="1"/>
  <c r="FF33" i="1"/>
  <c r="EG33" i="1"/>
  <c r="EZ39" i="1"/>
  <c r="EW36" i="1"/>
  <c r="GA33" i="1"/>
  <c r="FG35" i="1"/>
  <c r="EV33" i="1"/>
  <c r="FA32" i="1"/>
  <c r="FF38" i="1"/>
  <c r="ER32" i="1"/>
  <c r="EU38" i="1"/>
  <c r="EO35" i="1"/>
  <c r="FE34" i="1"/>
  <c r="EB35" i="1"/>
  <c r="EU33" i="1"/>
  <c r="EK32" i="1"/>
  <c r="DW32" i="1"/>
  <c r="EF38" i="1"/>
  <c r="EG39" i="1"/>
  <c r="EK38" i="1"/>
  <c r="EH37" i="1"/>
  <c r="EL32" i="1"/>
  <c r="EC37" i="1"/>
  <c r="EV32" i="1"/>
  <c r="EB36" i="1"/>
  <c r="ER33" i="1"/>
  <c r="DZ34" i="1"/>
  <c r="DS37" i="1"/>
  <c r="EJ38" i="1"/>
  <c r="DZ37" i="1"/>
  <c r="DZ36" i="1"/>
  <c r="DS39" i="1"/>
  <c r="EB34" i="1"/>
  <c r="DS34" i="1"/>
  <c r="DW35" i="1"/>
  <c r="EC32" i="1"/>
  <c r="GA40" i="1"/>
  <c r="FS38" i="1"/>
  <c r="FY32" i="1"/>
  <c r="GA39" i="1"/>
  <c r="FZ36" i="1"/>
  <c r="FT32" i="1"/>
  <c r="FY35" i="1"/>
  <c r="EA36" i="1"/>
  <c r="EA33" i="1"/>
  <c r="FP34" i="1"/>
  <c r="FU34" i="1"/>
  <c r="FW33" i="1"/>
  <c r="FL40" i="1"/>
  <c r="FQ40" i="1"/>
  <c r="FC35" i="1"/>
  <c r="GE40" i="1"/>
  <c r="GC32" i="1"/>
  <c r="FQ39" i="1"/>
  <c r="FQ33" i="1"/>
  <c r="GD34" i="1"/>
  <c r="FJ37" i="1"/>
  <c r="FM39" i="1"/>
  <c r="FP40" i="1"/>
  <c r="ET35" i="1"/>
  <c r="FL36" i="1"/>
  <c r="GB32" i="1"/>
  <c r="FD33" i="1"/>
  <c r="FN35" i="1"/>
  <c r="FS35" i="1"/>
  <c r="FD32" i="1"/>
  <c r="FU33" i="1"/>
  <c r="FG33" i="1"/>
  <c r="FH35" i="1"/>
  <c r="EW32" i="1"/>
  <c r="EG36" i="1"/>
  <c r="FG39" i="1"/>
  <c r="EI33" i="1"/>
  <c r="FH33" i="1"/>
  <c r="EZ40" i="1"/>
  <c r="EW37" i="1"/>
  <c r="FU36" i="1"/>
  <c r="FR34" i="1"/>
  <c r="GC34" i="1"/>
  <c r="FO33" i="1"/>
  <c r="EX39" i="1"/>
  <c r="EN32" i="1"/>
  <c r="FI33" i="1"/>
  <c r="EW34" i="1"/>
  <c r="EG34" i="1"/>
  <c r="EQ35" i="1"/>
  <c r="EF40" i="1"/>
  <c r="EV37" i="1"/>
  <c r="DV32" i="1"/>
  <c r="EF39" i="1"/>
  <c r="EJ36" i="1"/>
  <c r="DV39" i="1"/>
  <c r="EE38" i="1"/>
  <c r="EF37" i="1"/>
  <c r="DW36" i="1"/>
  <c r="EQ40" i="1"/>
  <c r="EK37" i="1"/>
  <c r="DW33" i="1"/>
  <c r="EL39" i="1"/>
  <c r="EX34" i="1"/>
  <c r="EB32" i="1"/>
  <c r="EB39" i="1"/>
  <c r="EA38" i="1"/>
  <c r="EJ37" i="1"/>
  <c r="EY39" i="1"/>
  <c r="DP36" i="1"/>
  <c r="EC38" i="1"/>
  <c r="DT37" i="1"/>
  <c r="DQ32" i="1"/>
  <c r="EJ40" i="1"/>
  <c r="DV35" i="1"/>
  <c r="GD37" i="1"/>
  <c r="EH38" i="1"/>
  <c r="EZ37" i="1"/>
  <c r="DY38" i="1"/>
  <c r="EX37" i="1"/>
  <c r="EY40" i="1"/>
  <c r="EA32" i="1"/>
  <c r="DS35" i="1"/>
  <c r="DY36" i="1"/>
  <c r="EC33" i="1"/>
  <c r="DP34" i="1"/>
  <c r="EO37" i="1"/>
  <c r="EJ39" i="1"/>
  <c r="DW40" i="1"/>
  <c r="DZ38" i="1"/>
  <c r="DT40" i="1"/>
  <c r="EA39" i="1"/>
  <c r="EE34" i="1"/>
  <c r="AD12" i="1"/>
  <c r="AI42" i="1"/>
  <c r="AC32" i="1"/>
  <c r="AH8" i="1"/>
  <c r="AG20" i="1"/>
  <c r="AH14" i="1"/>
  <c r="AI15" i="1"/>
  <c r="AI28" i="1"/>
  <c r="AG24" i="1"/>
  <c r="AK40" i="1"/>
  <c r="AC41" i="1"/>
  <c r="AD25" i="1"/>
  <c r="AE15" i="1"/>
  <c r="AG37" i="1"/>
  <c r="AI22" i="1"/>
  <c r="AJ41" i="1"/>
  <c r="AL19" i="1"/>
  <c r="AK42" i="1"/>
  <c r="AJ28" i="1"/>
  <c r="AD32" i="1"/>
  <c r="AF11" i="1"/>
  <c r="AH25" i="1"/>
  <c r="AG6" i="1"/>
  <c r="AL32" i="1"/>
  <c r="AJ30" i="1"/>
  <c r="AL30" i="1"/>
  <c r="AL12" i="1"/>
  <c r="AJ27" i="1"/>
  <c r="AC44" i="1"/>
  <c r="AH32" i="1"/>
  <c r="AG44" i="1"/>
  <c r="AH38" i="1"/>
  <c r="AI39" i="1"/>
  <c r="AI45" i="1"/>
  <c r="AG34" i="1"/>
  <c r="AK38" i="1"/>
  <c r="AD31" i="1"/>
  <c r="AF35" i="1"/>
  <c r="AF39" i="1"/>
  <c r="AK9" i="1"/>
  <c r="AJ8" i="1"/>
  <c r="AK21" i="1"/>
  <c r="AG38" i="1"/>
  <c r="AD24" i="1"/>
  <c r="AL15" i="1"/>
  <c r="AD22" i="1"/>
  <c r="AG8" i="1"/>
  <c r="AG27" i="1"/>
  <c r="AF8" i="1"/>
  <c r="AK34" i="1"/>
  <c r="AI32" i="1"/>
  <c r="AK32" i="1"/>
  <c r="Z5" i="1"/>
  <c r="C4" i="2" s="1"/>
  <c r="Z6" i="1"/>
  <c r="D4" i="2" s="1"/>
  <c r="AG40" i="1"/>
  <c r="AK45" i="1"/>
  <c r="AD34" i="1"/>
  <c r="AG23" i="1"/>
  <c r="AH42" i="1"/>
  <c r="AL28" i="1"/>
  <c r="AJ37" i="1"/>
  <c r="AI9" i="1"/>
  <c r="AG41" i="1"/>
  <c r="AD17" i="1"/>
  <c r="AC30" i="1"/>
  <c r="AH45" i="1"/>
  <c r="AF37" i="1"/>
  <c r="AE18" i="1"/>
  <c r="AJ44" i="1"/>
  <c r="AL31" i="1"/>
  <c r="AI26" i="1"/>
  <c r="AK43" i="1"/>
  <c r="AL9" i="1"/>
  <c r="AD14" i="1"/>
  <c r="AE22" i="1"/>
  <c r="AH7" i="1"/>
  <c r="AH28" i="1"/>
  <c r="AI43" i="1"/>
  <c r="AL10" i="1"/>
  <c r="AD36" i="1"/>
  <c r="AL42" i="1"/>
  <c r="AD23" i="1"/>
  <c r="AC18" i="1"/>
  <c r="AE12" i="1"/>
  <c r="AE9" i="1"/>
  <c r="AK23" i="1"/>
  <c r="AK19" i="1"/>
  <c r="AI33" i="1"/>
  <c r="AE29" i="1"/>
  <c r="AF20" i="1"/>
  <c r="AC9" i="1"/>
  <c r="AE35" i="1"/>
  <c r="AE39" i="1"/>
  <c r="AH19" i="1"/>
  <c r="AI46" i="1"/>
  <c r="AJ10" i="1"/>
  <c r="AL43" i="1"/>
  <c r="AI20" i="1"/>
  <c r="AH39" i="1"/>
  <c r="AJ23" i="1"/>
  <c r="AC20" i="1"/>
  <c r="AG33" i="1"/>
  <c r="AE5" i="1"/>
  <c r="AG30" i="1"/>
  <c r="AJ16" i="1"/>
  <c r="AK12" i="1"/>
  <c r="AD38" i="1"/>
  <c r="AG16" i="1"/>
  <c r="AC23" i="1"/>
  <c r="AC26" i="1"/>
  <c r="AG32" i="1"/>
  <c r="AF7" i="1"/>
  <c r="AJ18" i="1"/>
  <c r="AL17" i="1"/>
  <c r="AJ31" i="1"/>
  <c r="AE24" i="1"/>
  <c r="AG39" i="1"/>
  <c r="AD42" i="1"/>
  <c r="AE37" i="1"/>
  <c r="AH17" i="1"/>
  <c r="AF40" i="1"/>
  <c r="AL24" i="1"/>
  <c r="AJ22" i="1"/>
  <c r="AL22" i="1"/>
  <c r="AK31" i="1"/>
  <c r="AC37" i="1"/>
  <c r="AC24" i="1"/>
  <c r="AF44" i="1"/>
  <c r="AF14" i="1"/>
  <c r="AH13" i="1"/>
  <c r="AI37" i="1"/>
  <c r="AL36" i="1"/>
  <c r="AC39" i="1"/>
  <c r="AC29" i="1"/>
  <c r="AC8" i="1"/>
  <c r="AD29" i="1"/>
  <c r="AE45" i="1"/>
  <c r="AF31" i="1"/>
  <c r="AJ19" i="1"/>
  <c r="AL41" i="1"/>
  <c r="AK13" i="1"/>
  <c r="AG13" i="1"/>
  <c r="AG43" i="1"/>
  <c r="AC14" i="1"/>
  <c r="AF26" i="1"/>
  <c r="AG19" i="1"/>
  <c r="AE42" i="1"/>
  <c r="AK26" i="1"/>
  <c r="AI24" i="1"/>
  <c r="AK24" i="1"/>
  <c r="AJ21" i="1"/>
  <c r="AF21" i="1"/>
  <c r="AL6" i="1"/>
  <c r="AC6" i="1"/>
  <c r="AE46" i="1"/>
  <c r="AE16" i="1"/>
  <c r="AE11" i="1"/>
  <c r="AL5" i="1"/>
  <c r="AL34" i="1"/>
  <c r="AD28" i="1"/>
  <c r="AG12" i="1"/>
  <c r="AC27" i="1"/>
  <c r="AD40" i="1"/>
  <c r="AE7" i="1"/>
  <c r="AG29" i="1"/>
  <c r="AI14" i="1"/>
  <c r="AJ9" i="1"/>
  <c r="AL11" i="1"/>
  <c r="AF16" i="1"/>
  <c r="AH31" i="1"/>
  <c r="AD20" i="1"/>
  <c r="AE14" i="1"/>
  <c r="AG25" i="1"/>
  <c r="AH20" i="1"/>
  <c r="AI11" i="1"/>
  <c r="AK44" i="1"/>
  <c r="AC15" i="1"/>
  <c r="AC36" i="1"/>
  <c r="AD46" i="1"/>
  <c r="AH24" i="1"/>
  <c r="AG36" i="1"/>
  <c r="AH30" i="1"/>
  <c r="AI31" i="1"/>
  <c r="AI13" i="1"/>
  <c r="AH15" i="1"/>
  <c r="AC25" i="1"/>
  <c r="AC45" i="1"/>
  <c r="AD44" i="1"/>
  <c r="AE31" i="1"/>
  <c r="AH11" i="1"/>
  <c r="AI38" i="1"/>
  <c r="AI12" i="1"/>
  <c r="AL35" i="1"/>
  <c r="AE43" i="1"/>
  <c r="AG21" i="1"/>
  <c r="AD26" i="1"/>
  <c r="AG9" i="1"/>
  <c r="AH41" i="1"/>
  <c r="AG22" i="1"/>
  <c r="AI10" i="1"/>
  <c r="AJ46" i="1"/>
  <c r="AL46" i="1"/>
  <c r="AK20" i="1"/>
  <c r="AE41" i="1"/>
  <c r="AD5" i="1"/>
  <c r="AD18" i="1"/>
  <c r="AG26" i="1"/>
  <c r="AF38" i="1"/>
  <c r="AE28" i="1"/>
  <c r="AK33" i="1"/>
  <c r="AK7" i="1"/>
  <c r="AD37" i="1"/>
  <c r="AH43" i="1"/>
  <c r="AC38" i="1"/>
  <c r="AH21" i="1"/>
  <c r="AF29" i="1"/>
  <c r="AE10" i="1"/>
  <c r="AJ36" i="1"/>
  <c r="AK25" i="1"/>
  <c r="AL44" i="1"/>
  <c r="AJ20" i="1"/>
  <c r="AH34" i="1"/>
  <c r="AC46" i="1"/>
  <c r="AF36" i="1"/>
  <c r="AF6" i="1"/>
  <c r="AG31" i="1"/>
  <c r="AI5" i="1"/>
  <c r="AK30" i="1"/>
  <c r="AF12" i="1"/>
  <c r="AD41" i="1"/>
  <c r="AC17" i="1"/>
  <c r="AD39" i="1"/>
  <c r="AH37" i="1"/>
  <c r="AF9" i="1"/>
  <c r="AJ33" i="1"/>
  <c r="AK11" i="1"/>
  <c r="AI25" i="1"/>
  <c r="AG35" i="1"/>
  <c r="AG42" i="1"/>
  <c r="AC11" i="1"/>
  <c r="AE44" i="1"/>
  <c r="AG11" i="1"/>
  <c r="AE34" i="1"/>
  <c r="AK18" i="1"/>
  <c r="AI16" i="1"/>
  <c r="AK16" i="1"/>
  <c r="AL23" i="1"/>
  <c r="AK46" i="1"/>
  <c r="AC31" i="1"/>
  <c r="AE38" i="1"/>
  <c r="AE8" i="1"/>
  <c r="AH44" i="1"/>
  <c r="AK15" i="1"/>
  <c r="AL26" i="1"/>
  <c r="AJ15" i="1"/>
  <c r="AF33" i="1"/>
  <c r="AC7" i="1"/>
  <c r="AD43" i="1"/>
  <c r="AE27" i="1"/>
  <c r="AH18" i="1"/>
  <c r="AI34" i="1"/>
  <c r="AJ13" i="1"/>
  <c r="AK17" i="1"/>
  <c r="CT33" i="1"/>
  <c r="DB33" i="1"/>
  <c r="CL33" i="1"/>
  <c r="CD33" i="1"/>
  <c r="BV33" i="1"/>
  <c r="BN33" i="1"/>
  <c r="CT25" i="1"/>
  <c r="DB25" i="1"/>
  <c r="CL25" i="1"/>
  <c r="CD25" i="1"/>
  <c r="BV25" i="1"/>
  <c r="BN25" i="1"/>
  <c r="DB6" i="1"/>
  <c r="CT6" i="1"/>
  <c r="CL6" i="1"/>
  <c r="CD6" i="1"/>
  <c r="BN6" i="1"/>
  <c r="BV6" i="1"/>
  <c r="DC5" i="1"/>
  <c r="CM5" i="1"/>
  <c r="CE5" i="1"/>
  <c r="CU5" i="1"/>
  <c r="BO5" i="1"/>
  <c r="BW5" i="1"/>
  <c r="BG28" i="1"/>
  <c r="AY28" i="1"/>
  <c r="I28" i="2" s="1"/>
  <c r="BG39" i="1"/>
  <c r="AY39" i="1"/>
  <c r="I39" i="2" s="1"/>
  <c r="AP8" i="1"/>
  <c r="AP9" i="1" s="1"/>
  <c r="BF7" i="1"/>
  <c r="AX7" i="1"/>
  <c r="H7" i="2" s="1"/>
  <c r="BD9" i="1"/>
  <c r="AV9" i="1"/>
  <c r="F9" i="2" s="1"/>
  <c r="BG33" i="1"/>
  <c r="AY33" i="1"/>
  <c r="I33" i="2" s="1"/>
  <c r="BG27" i="1"/>
  <c r="AY27" i="1"/>
  <c r="I27" i="2" s="1"/>
  <c r="DB29" i="1"/>
  <c r="CL29" i="1"/>
  <c r="CT29" i="1"/>
  <c r="BV29" i="1"/>
  <c r="CD29" i="1"/>
  <c r="BN29" i="1"/>
  <c r="DB28" i="1"/>
  <c r="CL28" i="1"/>
  <c r="BV28" i="1"/>
  <c r="CT28" i="1"/>
  <c r="CD28" i="1"/>
  <c r="BN28" i="1"/>
  <c r="CT26" i="1"/>
  <c r="DB26" i="1"/>
  <c r="CL26" i="1"/>
  <c r="CD26" i="1"/>
  <c r="BV26" i="1"/>
  <c r="BN26" i="1"/>
  <c r="DB30" i="1"/>
  <c r="CL30" i="1"/>
  <c r="CT30" i="1"/>
  <c r="BV30" i="1"/>
  <c r="CD30" i="1"/>
  <c r="BN30" i="1"/>
  <c r="DB37" i="1"/>
  <c r="CL37" i="1"/>
  <c r="CT37" i="1"/>
  <c r="BV37" i="1"/>
  <c r="CD37" i="1"/>
  <c r="BN37" i="1"/>
  <c r="BG25" i="1"/>
  <c r="AY25" i="1"/>
  <c r="I25" i="2" s="1"/>
  <c r="BG38" i="1"/>
  <c r="AY38" i="1"/>
  <c r="I38" i="2" s="1"/>
  <c r="DB36" i="1"/>
  <c r="CL36" i="1"/>
  <c r="BV36" i="1"/>
  <c r="CT36" i="1"/>
  <c r="CD36" i="1"/>
  <c r="BN36" i="1"/>
  <c r="CR8" i="1"/>
  <c r="CZ8" i="1"/>
  <c r="CB8" i="1"/>
  <c r="CJ8" i="1"/>
  <c r="BT8" i="1"/>
  <c r="BL8" i="1"/>
  <c r="CT34" i="1"/>
  <c r="DB34" i="1"/>
  <c r="CL34" i="1"/>
  <c r="CD34" i="1"/>
  <c r="BV34" i="1"/>
  <c r="BN34" i="1"/>
  <c r="CS7" i="1"/>
  <c r="CC7" i="1"/>
  <c r="DA7" i="1"/>
  <c r="CK7" i="1"/>
  <c r="BU7" i="1"/>
  <c r="BM7" i="1"/>
  <c r="CT32" i="1"/>
  <c r="CD32" i="1"/>
  <c r="BV32" i="1"/>
  <c r="CL32" i="1"/>
  <c r="DB32" i="1"/>
  <c r="BN32" i="1"/>
  <c r="BG26" i="1"/>
  <c r="AY26" i="1"/>
  <c r="I26" i="2" s="1"/>
  <c r="BG40" i="1"/>
  <c r="AY40" i="1"/>
  <c r="I40" i="2" s="1"/>
  <c r="BG30" i="1"/>
  <c r="AY30" i="1"/>
  <c r="I30" i="2" s="1"/>
  <c r="CT27" i="1"/>
  <c r="DB27" i="1"/>
  <c r="CL27" i="1"/>
  <c r="CD27" i="1"/>
  <c r="BV27" i="1"/>
  <c r="BN27" i="1"/>
  <c r="BE8" i="1"/>
  <c r="AW8" i="1"/>
  <c r="G8" i="2" s="1"/>
  <c r="BG32" i="1"/>
  <c r="AY32" i="1"/>
  <c r="I32" i="2" s="1"/>
  <c r="BH5" i="1"/>
  <c r="AZ5" i="1"/>
  <c r="J5" i="2" s="1"/>
  <c r="BG29" i="1"/>
  <c r="AY29" i="1"/>
  <c r="I29" i="2" s="1"/>
  <c r="BG37" i="1"/>
  <c r="AY37" i="1"/>
  <c r="I37" i="2" s="1"/>
  <c r="DB39" i="1"/>
  <c r="CL39" i="1"/>
  <c r="CT39" i="1"/>
  <c r="CD39" i="1"/>
  <c r="BV39" i="1"/>
  <c r="BN39" i="1"/>
  <c r="CT35" i="1"/>
  <c r="DB35" i="1"/>
  <c r="CL35" i="1"/>
  <c r="CD35" i="1"/>
  <c r="BV35" i="1"/>
  <c r="BN35" i="1"/>
  <c r="CT24" i="1"/>
  <c r="CD24" i="1"/>
  <c r="DB24" i="1"/>
  <c r="CL24" i="1"/>
  <c r="BN24" i="1"/>
  <c r="BV24" i="1"/>
  <c r="CT40" i="1"/>
  <c r="DB40" i="1"/>
  <c r="CD40" i="1"/>
  <c r="BV40" i="1"/>
  <c r="CL40" i="1"/>
  <c r="BN40" i="1"/>
  <c r="BG35" i="1"/>
  <c r="AY35" i="1"/>
  <c r="I35" i="2" s="1"/>
  <c r="BG6" i="1"/>
  <c r="AY6" i="1"/>
  <c r="I6" i="2" s="1"/>
  <c r="BG36" i="1"/>
  <c r="AY36" i="1"/>
  <c r="I36" i="2" s="1"/>
  <c r="DB31" i="1"/>
  <c r="CL31" i="1"/>
  <c r="CT31" i="1"/>
  <c r="CD31" i="1"/>
  <c r="BV31" i="1"/>
  <c r="BN31" i="1"/>
  <c r="DB38" i="1"/>
  <c r="CL38" i="1"/>
  <c r="CT38" i="1"/>
  <c r="BV38" i="1"/>
  <c r="CD38" i="1"/>
  <c r="BN38" i="1"/>
  <c r="BG34" i="1"/>
  <c r="AY34" i="1"/>
  <c r="I34" i="2" s="1"/>
  <c r="BG31" i="1"/>
  <c r="AY31" i="1"/>
  <c r="I31" i="2" s="1"/>
  <c r="DB23" i="1"/>
  <c r="CT23" i="1"/>
  <c r="CL23" i="1"/>
  <c r="BN23" i="1"/>
  <c r="BV23" i="1"/>
  <c r="CD23" i="1"/>
  <c r="AN10" i="1"/>
  <c r="AO9" i="1"/>
  <c r="AR37" i="1"/>
  <c r="AR30" i="1"/>
  <c r="AR24" i="1"/>
  <c r="AS5" i="1"/>
  <c r="AR38" i="1"/>
  <c r="AR27" i="1"/>
  <c r="AR39" i="1"/>
  <c r="AR31" i="1"/>
  <c r="AR6" i="1"/>
  <c r="V8" i="1"/>
  <c r="AR40" i="1"/>
  <c r="AR32" i="1"/>
  <c r="AR25" i="1"/>
  <c r="AR33" i="1"/>
  <c r="AR28" i="1"/>
  <c r="AR23" i="1"/>
  <c r="AR34" i="1"/>
  <c r="AR35" i="1"/>
  <c r="AR29" i="1"/>
  <c r="AR26" i="1"/>
  <c r="AR36" i="1"/>
  <c r="AQ7" i="1"/>
  <c r="FG56" i="1" l="1"/>
  <c r="DH56" i="1"/>
  <c r="ET56" i="1"/>
  <c r="DJ56" i="1"/>
  <c r="FE56" i="1"/>
  <c r="FD56" i="1"/>
  <c r="EW56" i="1"/>
  <c r="EY56" i="1"/>
  <c r="FA56" i="1"/>
  <c r="FJ56" i="1"/>
  <c r="DL56" i="1"/>
  <c r="AK52" i="1"/>
  <c r="EV56" i="1"/>
  <c r="FI56" i="1"/>
  <c r="EZ56" i="1"/>
  <c r="FF56" i="1"/>
  <c r="FH56" i="1"/>
  <c r="EX56" i="1"/>
  <c r="EU56" i="1"/>
  <c r="CU84" i="1"/>
  <c r="BO84" i="1"/>
  <c r="CU56" i="1"/>
  <c r="BO56" i="1"/>
  <c r="BP55" i="1"/>
  <c r="CV55" i="1"/>
  <c r="CU76" i="1"/>
  <c r="BO76" i="1"/>
  <c r="BO88" i="1"/>
  <c r="CU88" i="1"/>
  <c r="BN57" i="1"/>
  <c r="CT57" i="1"/>
  <c r="ET57" i="1" s="1"/>
  <c r="DJ6" i="1"/>
  <c r="DH6" i="1"/>
  <c r="CU85" i="1"/>
  <c r="BO85" i="1"/>
  <c r="CU82" i="1"/>
  <c r="BO82" i="1"/>
  <c r="CU75" i="1"/>
  <c r="BO75" i="1"/>
  <c r="CU77" i="1"/>
  <c r="BO77" i="1"/>
  <c r="CU89" i="1"/>
  <c r="BO89" i="1"/>
  <c r="DN6" i="1"/>
  <c r="CU87" i="1"/>
  <c r="BO87" i="1"/>
  <c r="CS58" i="1"/>
  <c r="BM58" i="1"/>
  <c r="BO80" i="1"/>
  <c r="CU80" i="1"/>
  <c r="CU83" i="1"/>
  <c r="BO83" i="1"/>
  <c r="DI6" i="1"/>
  <c r="CU81" i="1"/>
  <c r="BO81" i="1"/>
  <c r="CU86" i="1"/>
  <c r="BO86" i="1"/>
  <c r="CU79" i="1"/>
  <c r="BO79" i="1"/>
  <c r="CU90" i="1"/>
  <c r="BO90" i="1"/>
  <c r="CR59" i="1"/>
  <c r="BL59" i="1"/>
  <c r="DL6" i="1"/>
  <c r="CU78" i="1"/>
  <c r="BO78" i="1"/>
  <c r="DM6" i="1"/>
  <c r="AK56" i="1"/>
  <c r="D30" i="2" s="1"/>
  <c r="U11" i="1"/>
  <c r="AL52" i="1" s="1"/>
  <c r="AK58" i="1"/>
  <c r="AA26" i="1"/>
  <c r="D12" i="2" s="1"/>
  <c r="Z26" i="1"/>
  <c r="C12" i="2" s="1"/>
  <c r="AK57" i="1"/>
  <c r="D31" i="2" s="1"/>
  <c r="AK53" i="1"/>
  <c r="AK60" i="1"/>
  <c r="AK59" i="1"/>
  <c r="AK51" i="1"/>
  <c r="AK50" i="1"/>
  <c r="C31" i="2" s="1"/>
  <c r="BH36" i="1"/>
  <c r="AZ36" i="1"/>
  <c r="J36" i="2" s="1"/>
  <c r="BH34" i="1"/>
  <c r="AZ34" i="1"/>
  <c r="J34" i="2" s="1"/>
  <c r="BH6" i="1"/>
  <c r="AZ6" i="1"/>
  <c r="J6" i="2" s="1"/>
  <c r="BH37" i="1"/>
  <c r="AZ37" i="1"/>
  <c r="J37" i="2" s="1"/>
  <c r="DC40" i="1"/>
  <c r="CM40" i="1"/>
  <c r="CU40" i="1"/>
  <c r="CE40" i="1"/>
  <c r="BW40" i="1"/>
  <c r="BO40" i="1"/>
  <c r="CU27" i="1"/>
  <c r="DC27" i="1"/>
  <c r="CM27" i="1"/>
  <c r="CE27" i="1"/>
  <c r="BW27" i="1"/>
  <c r="BO27" i="1"/>
  <c r="DB7" i="1"/>
  <c r="CT7" i="1"/>
  <c r="CL7" i="1"/>
  <c r="BN7" i="1"/>
  <c r="DN7" i="1" s="1"/>
  <c r="CD7" i="1"/>
  <c r="BV7" i="1"/>
  <c r="BE9" i="1"/>
  <c r="AW9" i="1"/>
  <c r="G9" i="2" s="1"/>
  <c r="BH32" i="1"/>
  <c r="AZ32" i="1"/>
  <c r="J32" i="2" s="1"/>
  <c r="BI5" i="1"/>
  <c r="BA5" i="1"/>
  <c r="K5" i="2" s="1"/>
  <c r="BH23" i="1"/>
  <c r="AZ23" i="1"/>
  <c r="J23" i="2" s="1"/>
  <c r="BH31" i="1"/>
  <c r="AZ31" i="1"/>
  <c r="J31" i="2" s="1"/>
  <c r="CU36" i="1"/>
  <c r="DC36" i="1"/>
  <c r="CM36" i="1"/>
  <c r="CE36" i="1"/>
  <c r="BW36" i="1"/>
  <c r="BO36" i="1"/>
  <c r="DC37" i="1"/>
  <c r="CM37" i="1"/>
  <c r="BW37" i="1"/>
  <c r="CU37" i="1"/>
  <c r="CE37" i="1"/>
  <c r="BO37" i="1"/>
  <c r="BF8" i="1"/>
  <c r="AX8" i="1"/>
  <c r="H8" i="2" s="1"/>
  <c r="BH28" i="1"/>
  <c r="AZ28" i="1"/>
  <c r="J28" i="2" s="1"/>
  <c r="BH39" i="1"/>
  <c r="AZ39" i="1"/>
  <c r="J39" i="2" s="1"/>
  <c r="BF9" i="1"/>
  <c r="AX9" i="1"/>
  <c r="H9" i="2" s="1"/>
  <c r="CU34" i="1"/>
  <c r="DC34" i="1"/>
  <c r="CM34" i="1"/>
  <c r="CE34" i="1"/>
  <c r="BW34" i="1"/>
  <c r="BO34" i="1"/>
  <c r="DC32" i="1"/>
  <c r="CM32" i="1"/>
  <c r="CU32" i="1"/>
  <c r="BO32" i="1"/>
  <c r="BW32" i="1"/>
  <c r="CE32" i="1"/>
  <c r="BH25" i="1"/>
  <c r="AZ25" i="1"/>
  <c r="J25" i="2" s="1"/>
  <c r="BG7" i="1"/>
  <c r="AY7" i="1"/>
  <c r="I7" i="2" s="1"/>
  <c r="BH33" i="1"/>
  <c r="AZ33" i="1"/>
  <c r="J33" i="2" s="1"/>
  <c r="BH27" i="1"/>
  <c r="AZ27" i="1"/>
  <c r="J27" i="2" s="1"/>
  <c r="CU26" i="1"/>
  <c r="DC26" i="1"/>
  <c r="CM26" i="1"/>
  <c r="CE26" i="1"/>
  <c r="BW26" i="1"/>
  <c r="BO26" i="1"/>
  <c r="CU33" i="1"/>
  <c r="CE33" i="1"/>
  <c r="CM33" i="1"/>
  <c r="BW33" i="1"/>
  <c r="DC33" i="1"/>
  <c r="BO33" i="1"/>
  <c r="DC39" i="1"/>
  <c r="CM39" i="1"/>
  <c r="CU39" i="1"/>
  <c r="BW39" i="1"/>
  <c r="CE39" i="1"/>
  <c r="BO39" i="1"/>
  <c r="DC6" i="1"/>
  <c r="CU6" i="1"/>
  <c r="CM6" i="1"/>
  <c r="CE6" i="1"/>
  <c r="BO6" i="1"/>
  <c r="BW6" i="1"/>
  <c r="DC29" i="1"/>
  <c r="CM29" i="1"/>
  <c r="CU29" i="1"/>
  <c r="BW29" i="1"/>
  <c r="CE29" i="1"/>
  <c r="BO29" i="1"/>
  <c r="DC38" i="1"/>
  <c r="CM38" i="1"/>
  <c r="CU38" i="1"/>
  <c r="BW38" i="1"/>
  <c r="CE38" i="1"/>
  <c r="BO38" i="1"/>
  <c r="BH26" i="1"/>
  <c r="AZ26" i="1"/>
  <c r="J26" i="2" s="1"/>
  <c r="CS8" i="1"/>
  <c r="DA8" i="1"/>
  <c r="CC8" i="1"/>
  <c r="CK8" i="1"/>
  <c r="BU8" i="1"/>
  <c r="BM8" i="1"/>
  <c r="DC30" i="1"/>
  <c r="CM30" i="1"/>
  <c r="CU30" i="1"/>
  <c r="BW30" i="1"/>
  <c r="CE30" i="1"/>
  <c r="BO30" i="1"/>
  <c r="BH24" i="1"/>
  <c r="AZ24" i="1"/>
  <c r="J24" i="2" s="1"/>
  <c r="BD10" i="1"/>
  <c r="AV10" i="1"/>
  <c r="F10" i="2" s="1"/>
  <c r="CU35" i="1"/>
  <c r="DC35" i="1"/>
  <c r="CM35" i="1"/>
  <c r="CE35" i="1"/>
  <c r="BW35" i="1"/>
  <c r="BO35" i="1"/>
  <c r="CR9" i="1"/>
  <c r="CZ9" i="1"/>
  <c r="CB9" i="1"/>
  <c r="CJ9" i="1"/>
  <c r="BT9" i="1"/>
  <c r="BL9" i="1"/>
  <c r="CU28" i="1"/>
  <c r="DC28" i="1"/>
  <c r="CM28" i="1"/>
  <c r="CE28" i="1"/>
  <c r="BW28" i="1"/>
  <c r="BO28" i="1"/>
  <c r="BH38" i="1"/>
  <c r="AZ38" i="1"/>
  <c r="J38" i="2" s="1"/>
  <c r="BH29" i="1"/>
  <c r="AZ29" i="1"/>
  <c r="J29" i="2" s="1"/>
  <c r="BH40" i="1"/>
  <c r="AZ40" i="1"/>
  <c r="J40" i="2" s="1"/>
  <c r="BH35" i="1"/>
  <c r="AZ35" i="1"/>
  <c r="J35" i="2" s="1"/>
  <c r="BH30" i="1"/>
  <c r="AZ30" i="1"/>
  <c r="J30" i="2" s="1"/>
  <c r="DC31" i="1"/>
  <c r="CM31" i="1"/>
  <c r="CU31" i="1"/>
  <c r="BW31" i="1"/>
  <c r="CE31" i="1"/>
  <c r="BO31" i="1"/>
  <c r="CV5" i="1"/>
  <c r="DD5" i="1"/>
  <c r="BX5" i="1"/>
  <c r="CN5" i="1"/>
  <c r="CF5" i="1"/>
  <c r="DV5" i="1" s="1"/>
  <c r="BP5" i="1"/>
  <c r="CU25" i="1"/>
  <c r="CE25" i="1"/>
  <c r="CM25" i="1"/>
  <c r="DC25" i="1"/>
  <c r="BO25" i="1"/>
  <c r="BW25" i="1"/>
  <c r="AS38" i="1"/>
  <c r="AS39" i="1"/>
  <c r="AS31" i="1"/>
  <c r="AS6" i="1"/>
  <c r="V9" i="1"/>
  <c r="AS40" i="1"/>
  <c r="AS32" i="1"/>
  <c r="AS33" i="1"/>
  <c r="AS28" i="1"/>
  <c r="AS34" i="1"/>
  <c r="AS35" i="1"/>
  <c r="AS29" i="1"/>
  <c r="AS36" i="1"/>
  <c r="AT5" i="1"/>
  <c r="AS30" i="1"/>
  <c r="AS37" i="1"/>
  <c r="AR7" i="1"/>
  <c r="AO10" i="1"/>
  <c r="AQ8" i="1"/>
  <c r="AP10" i="1"/>
  <c r="AN11" i="1"/>
  <c r="FI57" i="1" l="1"/>
  <c r="FD57" i="1"/>
  <c r="AL49" i="1"/>
  <c r="C32" i="2" s="1"/>
  <c r="EU57" i="1"/>
  <c r="DH7" i="1"/>
  <c r="EW57" i="1"/>
  <c r="FF57" i="1"/>
  <c r="FJ57" i="1"/>
  <c r="FG57" i="1"/>
  <c r="FH57" i="1"/>
  <c r="FC57" i="1"/>
  <c r="FE57" i="1"/>
  <c r="EX57" i="1"/>
  <c r="FA57" i="1"/>
  <c r="EY57" i="1"/>
  <c r="EZ57" i="1"/>
  <c r="EV57" i="1"/>
  <c r="CV79" i="1"/>
  <c r="BP79" i="1"/>
  <c r="CV74" i="1"/>
  <c r="BP74" i="1"/>
  <c r="BO57" i="1"/>
  <c r="CU57" i="1"/>
  <c r="CT59" i="1"/>
  <c r="BN59" i="1"/>
  <c r="CW55" i="1"/>
  <c r="BQ55" i="1"/>
  <c r="CV87" i="1"/>
  <c r="BP87" i="1"/>
  <c r="DM7" i="1"/>
  <c r="CV80" i="1"/>
  <c r="BP80" i="1"/>
  <c r="CV88" i="1"/>
  <c r="BP88" i="1"/>
  <c r="CV75" i="1"/>
  <c r="BP75" i="1"/>
  <c r="BP89" i="1"/>
  <c r="CV89" i="1"/>
  <c r="CV82" i="1"/>
  <c r="BP82" i="1"/>
  <c r="CV56" i="1"/>
  <c r="BP56" i="1"/>
  <c r="DJ57" i="1"/>
  <c r="DI57" i="1"/>
  <c r="DH57" i="1"/>
  <c r="DN57" i="1"/>
  <c r="DL57" i="1"/>
  <c r="CV85" i="1"/>
  <c r="BP85" i="1"/>
  <c r="CV77" i="1"/>
  <c r="BP77" i="1"/>
  <c r="CS59" i="1"/>
  <c r="BM59" i="1"/>
  <c r="DI7" i="1"/>
  <c r="DJ7" i="1"/>
  <c r="DL7" i="1"/>
  <c r="CV78" i="1"/>
  <c r="BP78" i="1"/>
  <c r="CV81" i="1"/>
  <c r="BP81" i="1"/>
  <c r="CV84" i="1"/>
  <c r="BP84" i="1"/>
  <c r="CV90" i="1"/>
  <c r="BP90" i="1"/>
  <c r="BL60" i="1"/>
  <c r="CR60" i="1"/>
  <c r="CV76" i="1"/>
  <c r="BP76" i="1"/>
  <c r="CV83" i="1"/>
  <c r="BP83" i="1"/>
  <c r="CT58" i="1"/>
  <c r="BN58" i="1"/>
  <c r="CV73" i="1"/>
  <c r="BP73" i="1"/>
  <c r="CV86" i="1"/>
  <c r="BP86" i="1"/>
  <c r="AL50" i="1"/>
  <c r="C33" i="2" s="1"/>
  <c r="AL56" i="1"/>
  <c r="D32" i="2" s="1"/>
  <c r="AE48" i="1"/>
  <c r="AL57" i="1"/>
  <c r="D33" i="2" s="1"/>
  <c r="AL53" i="1"/>
  <c r="AL60" i="1"/>
  <c r="Z27" i="1"/>
  <c r="C13" i="2" s="1"/>
  <c r="AL59" i="1"/>
  <c r="AL58" i="1"/>
  <c r="AA27" i="1"/>
  <c r="D13" i="2" s="1"/>
  <c r="AL51" i="1"/>
  <c r="FC5" i="1"/>
  <c r="EV5" i="1"/>
  <c r="FA5" i="1"/>
  <c r="FJ5" i="1"/>
  <c r="FI5" i="1"/>
  <c r="ET5" i="1"/>
  <c r="EY5" i="1"/>
  <c r="FH5" i="1"/>
  <c r="FG5" i="1"/>
  <c r="FE5" i="1"/>
  <c r="EU5" i="1"/>
  <c r="FD5" i="1"/>
  <c r="FF5" i="1"/>
  <c r="EX5" i="1"/>
  <c r="EW5" i="1"/>
  <c r="EZ5" i="1"/>
  <c r="FU5" i="1"/>
  <c r="FX5" i="1"/>
  <c r="GF5" i="1"/>
  <c r="FN5" i="1"/>
  <c r="FP5" i="1"/>
  <c r="FS5" i="1"/>
  <c r="FQ5" i="1"/>
  <c r="GD5" i="1"/>
  <c r="GB5" i="1"/>
  <c r="GC5" i="1"/>
  <c r="FZ5" i="1"/>
  <c r="FL5" i="1"/>
  <c r="FR5" i="1"/>
  <c r="FY5" i="1"/>
  <c r="GA5" i="1"/>
  <c r="FO5" i="1"/>
  <c r="FW5" i="1"/>
  <c r="FM5" i="1"/>
  <c r="GE5" i="1"/>
  <c r="FT5" i="1"/>
  <c r="EO5" i="1"/>
  <c r="EN5" i="1"/>
  <c r="ER5" i="1"/>
  <c r="EQ5" i="1"/>
  <c r="DP5" i="1"/>
  <c r="DT5" i="1"/>
  <c r="DS5" i="1"/>
  <c r="DQ5" i="1"/>
  <c r="EJ5" i="1"/>
  <c r="DY5" i="1"/>
  <c r="EE5" i="1"/>
  <c r="EB5" i="1"/>
  <c r="DZ5" i="1"/>
  <c r="EG5" i="1"/>
  <c r="EC5" i="1"/>
  <c r="DX5" i="1"/>
  <c r="DW5" i="1"/>
  <c r="EL5" i="1"/>
  <c r="EA5" i="1"/>
  <c r="EF5" i="1"/>
  <c r="EH5" i="1"/>
  <c r="EI5" i="1"/>
  <c r="EK5" i="1"/>
  <c r="BI38" i="1"/>
  <c r="BA38" i="1"/>
  <c r="K38" i="2" s="1"/>
  <c r="BI37" i="1"/>
  <c r="BA37" i="1"/>
  <c r="K37" i="2" s="1"/>
  <c r="BG8" i="1"/>
  <c r="AY8" i="1"/>
  <c r="I8" i="2" s="1"/>
  <c r="BI36" i="1"/>
  <c r="BA36" i="1"/>
  <c r="K36" i="2" s="1"/>
  <c r="DD30" i="1"/>
  <c r="CN30" i="1"/>
  <c r="BX30" i="1"/>
  <c r="CF30" i="1"/>
  <c r="BP30" i="1"/>
  <c r="CV30" i="1"/>
  <c r="CT9" i="1"/>
  <c r="DB9" i="1"/>
  <c r="CD9" i="1"/>
  <c r="CL9" i="1"/>
  <c r="BV9" i="1"/>
  <c r="BN9" i="1"/>
  <c r="CT8" i="1"/>
  <c r="CD8" i="1"/>
  <c r="DB8" i="1"/>
  <c r="CL8" i="1"/>
  <c r="BV8" i="1"/>
  <c r="BN8" i="1"/>
  <c r="BD11" i="1"/>
  <c r="AV11" i="1"/>
  <c r="F11" i="2" s="1"/>
  <c r="BI29" i="1"/>
  <c r="BA29" i="1"/>
  <c r="K29" i="2" s="1"/>
  <c r="BI6" i="1"/>
  <c r="BA6" i="1"/>
  <c r="K6" i="2" s="1"/>
  <c r="CV29" i="1"/>
  <c r="DD29" i="1"/>
  <c r="CN29" i="1"/>
  <c r="CF29" i="1"/>
  <c r="BX29" i="1"/>
  <c r="BP29" i="1"/>
  <c r="CZ10" i="1"/>
  <c r="CJ10" i="1"/>
  <c r="CR10" i="1"/>
  <c r="CB10" i="1"/>
  <c r="BL10" i="1"/>
  <c r="BT10" i="1"/>
  <c r="CV27" i="1"/>
  <c r="DD27" i="1"/>
  <c r="CN27" i="1"/>
  <c r="CF27" i="1"/>
  <c r="BX27" i="1"/>
  <c r="BP27" i="1"/>
  <c r="DD25" i="1"/>
  <c r="CN25" i="1"/>
  <c r="CV25" i="1"/>
  <c r="BP25" i="1"/>
  <c r="CF25" i="1"/>
  <c r="BX25" i="1"/>
  <c r="DD23" i="1"/>
  <c r="CN23" i="1"/>
  <c r="CV23" i="1"/>
  <c r="BX23" i="1"/>
  <c r="CF23" i="1"/>
  <c r="BP23" i="1"/>
  <c r="DD6" i="1"/>
  <c r="FL6" i="1" s="1"/>
  <c r="CN6" i="1"/>
  <c r="CV6" i="1"/>
  <c r="FD6" i="1" s="1"/>
  <c r="CF6" i="1"/>
  <c r="EJ6" i="1" s="1"/>
  <c r="BP6" i="1"/>
  <c r="BX6" i="1"/>
  <c r="BE10" i="1"/>
  <c r="AW10" i="1"/>
  <c r="G10" i="2" s="1"/>
  <c r="BI35" i="1"/>
  <c r="BA35" i="1"/>
  <c r="K35" i="2" s="1"/>
  <c r="BI31" i="1"/>
  <c r="BA31" i="1"/>
  <c r="K31" i="2" s="1"/>
  <c r="CV26" i="1"/>
  <c r="CF26" i="1"/>
  <c r="CN26" i="1"/>
  <c r="DD26" i="1"/>
  <c r="BX26" i="1"/>
  <c r="BP26" i="1"/>
  <c r="DD39" i="1"/>
  <c r="CN39" i="1"/>
  <c r="CV39" i="1"/>
  <c r="BX39" i="1"/>
  <c r="CF39" i="1"/>
  <c r="BP39" i="1"/>
  <c r="CS9" i="1"/>
  <c r="DA9" i="1"/>
  <c r="CC9" i="1"/>
  <c r="CK9" i="1"/>
  <c r="BU9" i="1"/>
  <c r="BM9" i="1"/>
  <c r="BH7" i="1"/>
  <c r="AZ7" i="1"/>
  <c r="J7" i="2" s="1"/>
  <c r="BI34" i="1"/>
  <c r="BA34" i="1"/>
  <c r="K34" i="2" s="1"/>
  <c r="BI39" i="1"/>
  <c r="BA39" i="1"/>
  <c r="K39" i="2" s="1"/>
  <c r="CV35" i="1"/>
  <c r="DD35" i="1"/>
  <c r="CN35" i="1"/>
  <c r="CF35" i="1"/>
  <c r="BX35" i="1"/>
  <c r="BP35" i="1"/>
  <c r="DD24" i="1"/>
  <c r="CN24" i="1"/>
  <c r="CV24" i="1"/>
  <c r="CF24" i="1"/>
  <c r="BP24" i="1"/>
  <c r="BX24" i="1"/>
  <c r="CV34" i="1"/>
  <c r="CF34" i="1"/>
  <c r="CN34" i="1"/>
  <c r="DD34" i="1"/>
  <c r="BX34" i="1"/>
  <c r="BP34" i="1"/>
  <c r="DD38" i="1"/>
  <c r="CN38" i="1"/>
  <c r="CV38" i="1"/>
  <c r="BX38" i="1"/>
  <c r="CF38" i="1"/>
  <c r="BP38" i="1"/>
  <c r="DD33" i="1"/>
  <c r="CN33" i="1"/>
  <c r="CV33" i="1"/>
  <c r="BX33" i="1"/>
  <c r="BP33" i="1"/>
  <c r="CF33" i="1"/>
  <c r="CW5" i="1"/>
  <c r="DE5" i="1"/>
  <c r="CG5" i="1"/>
  <c r="CO5" i="1"/>
  <c r="BY5" i="1"/>
  <c r="BQ5" i="1"/>
  <c r="CV28" i="1"/>
  <c r="DD28" i="1"/>
  <c r="CN28" i="1"/>
  <c r="CF28" i="1"/>
  <c r="BX28" i="1"/>
  <c r="BP28" i="1"/>
  <c r="BF10" i="1"/>
  <c r="AX10" i="1"/>
  <c r="H10" i="2" s="1"/>
  <c r="BI32" i="1"/>
  <c r="BA32" i="1"/>
  <c r="K32" i="2" s="1"/>
  <c r="DD40" i="1"/>
  <c r="CN40" i="1"/>
  <c r="CV40" i="1"/>
  <c r="BX40" i="1"/>
  <c r="CF40" i="1"/>
  <c r="BP40" i="1"/>
  <c r="DD31" i="1"/>
  <c r="CN31" i="1"/>
  <c r="CV31" i="1"/>
  <c r="BX31" i="1"/>
  <c r="CF31" i="1"/>
  <c r="BP31" i="1"/>
  <c r="CV37" i="1"/>
  <c r="DD37" i="1"/>
  <c r="CN37" i="1"/>
  <c r="CF37" i="1"/>
  <c r="BX37" i="1"/>
  <c r="BP37" i="1"/>
  <c r="CV36" i="1"/>
  <c r="DD36" i="1"/>
  <c r="CN36" i="1"/>
  <c r="CF36" i="1"/>
  <c r="BX36" i="1"/>
  <c r="BP36" i="1"/>
  <c r="BI28" i="1"/>
  <c r="BA28" i="1"/>
  <c r="K28" i="2" s="1"/>
  <c r="BI33" i="1"/>
  <c r="BA33" i="1"/>
  <c r="K33" i="2" s="1"/>
  <c r="BI30" i="1"/>
  <c r="BA30" i="1"/>
  <c r="K30" i="2" s="1"/>
  <c r="BJ5" i="1"/>
  <c r="BB5" i="1"/>
  <c r="L5" i="2" s="1"/>
  <c r="BI40" i="1"/>
  <c r="BA40" i="1"/>
  <c r="K40" i="2" s="1"/>
  <c r="DC7" i="1"/>
  <c r="CU7" i="1"/>
  <c r="CM7" i="1"/>
  <c r="CE7" i="1"/>
  <c r="BO7" i="1"/>
  <c r="BW7" i="1"/>
  <c r="DD32" i="1"/>
  <c r="CN32" i="1"/>
  <c r="CV32" i="1"/>
  <c r="BX32" i="1"/>
  <c r="CF32" i="1"/>
  <c r="BP32" i="1"/>
  <c r="AP11" i="1"/>
  <c r="AS7" i="1"/>
  <c r="AT39" i="1"/>
  <c r="AT31" i="1"/>
  <c r="AT27" i="1"/>
  <c r="AT21" i="1"/>
  <c r="AT13" i="1"/>
  <c r="AT6" i="1"/>
  <c r="V10" i="1"/>
  <c r="AT40" i="1"/>
  <c r="AT32" i="1"/>
  <c r="AT20" i="1"/>
  <c r="AT12" i="1"/>
  <c r="AT33" i="1"/>
  <c r="AT28" i="1"/>
  <c r="AT25" i="1"/>
  <c r="AT19" i="1"/>
  <c r="AT11" i="1"/>
  <c r="AT34" i="1"/>
  <c r="AT23" i="1"/>
  <c r="AT18" i="1"/>
  <c r="AT10" i="1"/>
  <c r="AT35" i="1"/>
  <c r="AT29" i="1"/>
  <c r="AT17" i="1"/>
  <c r="AT9" i="1"/>
  <c r="AT36" i="1"/>
  <c r="AT26" i="1"/>
  <c r="AT16" i="1"/>
  <c r="AT8" i="1"/>
  <c r="AT37" i="1"/>
  <c r="AT30" i="1"/>
  <c r="AT15" i="1"/>
  <c r="AT7" i="1"/>
  <c r="AT24" i="1"/>
  <c r="AT22" i="1"/>
  <c r="AT14" i="1"/>
  <c r="AT38" i="1"/>
  <c r="AO11" i="1"/>
  <c r="AQ9" i="1"/>
  <c r="AN12" i="1"/>
  <c r="AR8" i="1"/>
  <c r="DL59" i="1" l="1"/>
  <c r="DM9" i="1"/>
  <c r="DL8" i="1"/>
  <c r="FH58" i="1"/>
  <c r="EW58" i="1"/>
  <c r="DN8" i="1"/>
  <c r="FJ58" i="1"/>
  <c r="FD58" i="1"/>
  <c r="EX58" i="1"/>
  <c r="DI58" i="1"/>
  <c r="FD59" i="1"/>
  <c r="EZ58" i="1"/>
  <c r="ET58" i="1"/>
  <c r="EV58" i="1"/>
  <c r="FG58" i="1"/>
  <c r="FA58" i="1"/>
  <c r="FF59" i="1"/>
  <c r="FC58" i="1"/>
  <c r="ET59" i="1"/>
  <c r="FH59" i="1"/>
  <c r="EY58" i="1"/>
  <c r="FE58" i="1"/>
  <c r="EV59" i="1"/>
  <c r="FC59" i="1"/>
  <c r="EU59" i="1"/>
  <c r="EX59" i="1"/>
  <c r="FA59" i="1"/>
  <c r="EY59" i="1"/>
  <c r="EW59" i="1"/>
  <c r="EZ59" i="1"/>
  <c r="FG59" i="1"/>
  <c r="FF58" i="1"/>
  <c r="FI58" i="1"/>
  <c r="FE59" i="1"/>
  <c r="EU58" i="1"/>
  <c r="FJ59" i="1"/>
  <c r="FI59" i="1"/>
  <c r="CW78" i="1"/>
  <c r="BQ78" i="1"/>
  <c r="BL61" i="1"/>
  <c r="CR61" i="1"/>
  <c r="CW87" i="1"/>
  <c r="BQ87" i="1"/>
  <c r="CW88" i="1"/>
  <c r="BQ88" i="1"/>
  <c r="CW83" i="1"/>
  <c r="BQ83" i="1"/>
  <c r="DH8" i="1"/>
  <c r="DJ8" i="1"/>
  <c r="DH9" i="1"/>
  <c r="DL9" i="1"/>
  <c r="CW90" i="1"/>
  <c r="BQ90" i="1"/>
  <c r="CW89" i="1"/>
  <c r="BQ89" i="1"/>
  <c r="DJ9" i="1"/>
  <c r="CW86" i="1"/>
  <c r="BQ86" i="1"/>
  <c r="DN59" i="1"/>
  <c r="DJ58" i="1"/>
  <c r="DI59" i="1"/>
  <c r="BQ82" i="1"/>
  <c r="CW82" i="1"/>
  <c r="CW85" i="1"/>
  <c r="BQ85" i="1"/>
  <c r="CW56" i="1"/>
  <c r="BQ56" i="1"/>
  <c r="DH59" i="1"/>
  <c r="CW81" i="1"/>
  <c r="BQ81" i="1"/>
  <c r="BR55" i="1"/>
  <c r="CX55" i="1"/>
  <c r="CW84" i="1"/>
  <c r="BQ84" i="1"/>
  <c r="BQ80" i="1"/>
  <c r="CW80" i="1"/>
  <c r="CT60" i="1"/>
  <c r="BN60" i="1"/>
  <c r="BP57" i="1"/>
  <c r="CV57" i="1"/>
  <c r="CS60" i="1"/>
  <c r="EU60" i="1" s="1"/>
  <c r="BM60" i="1"/>
  <c r="CW79" i="1"/>
  <c r="BQ79" i="1"/>
  <c r="CU58" i="1"/>
  <c r="BO58" i="1"/>
  <c r="DI8" i="1"/>
  <c r="DM8" i="1"/>
  <c r="DN58" i="1"/>
  <c r="DH58" i="1"/>
  <c r="DI9" i="1"/>
  <c r="DL58" i="1"/>
  <c r="DJ59" i="1"/>
  <c r="DN9" i="1"/>
  <c r="AE60" i="1"/>
  <c r="D19" i="2" s="1"/>
  <c r="AE56" i="1"/>
  <c r="D15" i="2" s="1"/>
  <c r="AE52" i="1"/>
  <c r="C18" i="2" s="1"/>
  <c r="AE50" i="1"/>
  <c r="C16" i="2" s="1"/>
  <c r="AE57" i="1"/>
  <c r="D16" i="2" s="1"/>
  <c r="AE51" i="1"/>
  <c r="C17" i="2" s="1"/>
  <c r="AE53" i="1"/>
  <c r="C19" i="2" s="1"/>
  <c r="AE58" i="1"/>
  <c r="D17" i="2" s="1"/>
  <c r="AE59" i="1"/>
  <c r="D18" i="2" s="1"/>
  <c r="AE49" i="1"/>
  <c r="C15" i="2" s="1"/>
  <c r="EB6" i="1"/>
  <c r="EI6" i="1"/>
  <c r="DX6" i="1"/>
  <c r="DS6" i="1"/>
  <c r="GB6" i="1"/>
  <c r="FU6" i="1"/>
  <c r="FA6" i="1"/>
  <c r="FE6" i="1"/>
  <c r="EK6" i="1"/>
  <c r="DW6" i="1"/>
  <c r="GD6" i="1"/>
  <c r="GA6" i="1"/>
  <c r="FT6" i="1"/>
  <c r="FH6" i="1"/>
  <c r="EY6" i="1"/>
  <c r="EE6" i="1"/>
  <c r="FZ6" i="1"/>
  <c r="FY6" i="1"/>
  <c r="ET6" i="1"/>
  <c r="EU6" i="1"/>
  <c r="FC6" i="1"/>
  <c r="DV6" i="1"/>
  <c r="EF6" i="1"/>
  <c r="DP6" i="1"/>
  <c r="EN6" i="1"/>
  <c r="FQ6" i="1"/>
  <c r="FX6" i="1"/>
  <c r="EV6" i="1"/>
  <c r="EZ6" i="1"/>
  <c r="EL6" i="1"/>
  <c r="EG6" i="1"/>
  <c r="DZ6" i="1"/>
  <c r="DT6" i="1"/>
  <c r="EO6" i="1"/>
  <c r="GC6" i="1"/>
  <c r="GF6" i="1"/>
  <c r="FR6" i="1"/>
  <c r="EW6" i="1"/>
  <c r="EX6" i="1"/>
  <c r="EH6" i="1"/>
  <c r="DY6" i="1"/>
  <c r="DQ6" i="1"/>
  <c r="FW6" i="1"/>
  <c r="FP6" i="1"/>
  <c r="FO6" i="1"/>
  <c r="EA6" i="1"/>
  <c r="EC6" i="1"/>
  <c r="ER6" i="1"/>
  <c r="FN6" i="1"/>
  <c r="GE6" i="1"/>
  <c r="FS6" i="1"/>
  <c r="FM6" i="1"/>
  <c r="FJ6" i="1"/>
  <c r="FG6" i="1"/>
  <c r="EQ6" i="1"/>
  <c r="FF6" i="1"/>
  <c r="FI6" i="1"/>
  <c r="BJ7" i="1"/>
  <c r="BB7" i="1"/>
  <c r="L7" i="2" s="1"/>
  <c r="BJ9" i="1"/>
  <c r="BB9" i="1"/>
  <c r="L9" i="2" s="1"/>
  <c r="BJ11" i="1"/>
  <c r="BB11" i="1"/>
  <c r="L11" i="2" s="1"/>
  <c r="BJ40" i="1"/>
  <c r="BB40" i="1"/>
  <c r="L40" i="2" s="1"/>
  <c r="DE32" i="1"/>
  <c r="CO32" i="1"/>
  <c r="CW32" i="1"/>
  <c r="BY32" i="1"/>
  <c r="CG32" i="1"/>
  <c r="BQ32" i="1"/>
  <c r="BH8" i="1"/>
  <c r="AZ8" i="1"/>
  <c r="J8" i="2" s="1"/>
  <c r="BJ15" i="1"/>
  <c r="BB15" i="1"/>
  <c r="L15" i="2" s="1"/>
  <c r="BJ17" i="1"/>
  <c r="BB17" i="1"/>
  <c r="L17" i="2" s="1"/>
  <c r="BJ19" i="1"/>
  <c r="BB19" i="1"/>
  <c r="L19" i="2" s="1"/>
  <c r="BI7" i="1"/>
  <c r="BA7" i="1"/>
  <c r="K7" i="2" s="1"/>
  <c r="DE40" i="1"/>
  <c r="CO40" i="1"/>
  <c r="CW40" i="1"/>
  <c r="BY40" i="1"/>
  <c r="CG40" i="1"/>
  <c r="BQ40" i="1"/>
  <c r="DE31" i="1"/>
  <c r="CO31" i="1"/>
  <c r="BY31" i="1"/>
  <c r="CG31" i="1"/>
  <c r="CW31" i="1"/>
  <c r="BQ31" i="1"/>
  <c r="DC8" i="1"/>
  <c r="CU8" i="1"/>
  <c r="CM8" i="1"/>
  <c r="BO8" i="1"/>
  <c r="CE8" i="1"/>
  <c r="BW8" i="1"/>
  <c r="BJ21" i="1"/>
  <c r="BB21" i="1"/>
  <c r="L21" i="2" s="1"/>
  <c r="CW28" i="1"/>
  <c r="DE28" i="1"/>
  <c r="CO28" i="1"/>
  <c r="CG28" i="1"/>
  <c r="BQ28" i="1"/>
  <c r="BY28" i="1"/>
  <c r="BJ30" i="1"/>
  <c r="BB30" i="1"/>
  <c r="L30" i="2" s="1"/>
  <c r="BJ29" i="1"/>
  <c r="BB29" i="1"/>
  <c r="L29" i="2" s="1"/>
  <c r="BJ25" i="1"/>
  <c r="BB25" i="1"/>
  <c r="L25" i="2" s="1"/>
  <c r="BJ6" i="1"/>
  <c r="BB6" i="1"/>
  <c r="L6" i="2" s="1"/>
  <c r="DE33" i="1"/>
  <c r="CO33" i="1"/>
  <c r="CW33" i="1"/>
  <c r="BY33" i="1"/>
  <c r="CG33" i="1"/>
  <c r="BQ33" i="1"/>
  <c r="DE34" i="1"/>
  <c r="CO34" i="1"/>
  <c r="CW34" i="1"/>
  <c r="BQ34" i="1"/>
  <c r="CG34" i="1"/>
  <c r="BY34" i="1"/>
  <c r="CZ11" i="1"/>
  <c r="CR11" i="1"/>
  <c r="CJ11" i="1"/>
  <c r="BT11" i="1"/>
  <c r="CB11" i="1"/>
  <c r="BL11" i="1"/>
  <c r="BJ33" i="1"/>
  <c r="BB33" i="1"/>
  <c r="L33" i="2" s="1"/>
  <c r="BJ16" i="1"/>
  <c r="BB16" i="1"/>
  <c r="L16" i="2" s="1"/>
  <c r="BJ12" i="1"/>
  <c r="BB12" i="1"/>
  <c r="L12" i="2" s="1"/>
  <c r="BG9" i="1"/>
  <c r="AY9" i="1"/>
  <c r="I9" i="2" s="1"/>
  <c r="BE11" i="1"/>
  <c r="AW11" i="1"/>
  <c r="G11" i="2" s="1"/>
  <c r="BJ37" i="1"/>
  <c r="BB37" i="1"/>
  <c r="L37" i="2" s="1"/>
  <c r="BJ35" i="1"/>
  <c r="BB35" i="1"/>
  <c r="L35" i="2" s="1"/>
  <c r="BJ28" i="1"/>
  <c r="BB28" i="1"/>
  <c r="L28" i="2" s="1"/>
  <c r="BJ13" i="1"/>
  <c r="BB13" i="1"/>
  <c r="L13" i="2" s="1"/>
  <c r="BF11" i="1"/>
  <c r="AX11" i="1"/>
  <c r="H11" i="2" s="1"/>
  <c r="CT10" i="1"/>
  <c r="DB10" i="1"/>
  <c r="CD10" i="1"/>
  <c r="CL10" i="1"/>
  <c r="BV10" i="1"/>
  <c r="BN10" i="1"/>
  <c r="CW37" i="1"/>
  <c r="DE37" i="1"/>
  <c r="CO37" i="1"/>
  <c r="CG37" i="1"/>
  <c r="BY37" i="1"/>
  <c r="BQ37" i="1"/>
  <c r="BJ10" i="1"/>
  <c r="BB10" i="1"/>
  <c r="L10" i="2" s="1"/>
  <c r="CX5" i="1"/>
  <c r="DF5" i="1"/>
  <c r="CH5" i="1"/>
  <c r="CP5" i="1"/>
  <c r="BZ5" i="1"/>
  <c r="BR5" i="1"/>
  <c r="CW35" i="1"/>
  <c r="CG35" i="1"/>
  <c r="CO35" i="1"/>
  <c r="DE35" i="1"/>
  <c r="BY35" i="1"/>
  <c r="BQ35" i="1"/>
  <c r="BJ8" i="1"/>
  <c r="BB8" i="1"/>
  <c r="L8" i="2" s="1"/>
  <c r="BJ27" i="1"/>
  <c r="BB27" i="1"/>
  <c r="L27" i="2" s="1"/>
  <c r="DD7" i="1"/>
  <c r="CV7" i="1"/>
  <c r="CN7" i="1"/>
  <c r="CF7" i="1"/>
  <c r="EL7" i="1" s="1"/>
  <c r="BP7" i="1"/>
  <c r="BX7" i="1"/>
  <c r="CW6" i="1"/>
  <c r="DE6" i="1"/>
  <c r="CG6" i="1"/>
  <c r="BY6" i="1"/>
  <c r="CO6" i="1"/>
  <c r="BQ6" i="1"/>
  <c r="BJ38" i="1"/>
  <c r="BB38" i="1"/>
  <c r="L38" i="2" s="1"/>
  <c r="BJ14" i="1"/>
  <c r="BB14" i="1"/>
  <c r="L14" i="2" s="1"/>
  <c r="BJ22" i="1"/>
  <c r="BB22" i="1"/>
  <c r="L22" i="2" s="1"/>
  <c r="BJ26" i="1"/>
  <c r="BB26" i="1"/>
  <c r="L26" i="2" s="1"/>
  <c r="BJ23" i="1"/>
  <c r="BB23" i="1"/>
  <c r="L23" i="2" s="1"/>
  <c r="BJ20" i="1"/>
  <c r="BB20" i="1"/>
  <c r="L20" i="2" s="1"/>
  <c r="BJ31" i="1"/>
  <c r="BB31" i="1"/>
  <c r="L31" i="2" s="1"/>
  <c r="CW36" i="1"/>
  <c r="DE36" i="1"/>
  <c r="CO36" i="1"/>
  <c r="CG36" i="1"/>
  <c r="BY36" i="1"/>
  <c r="BQ36" i="1"/>
  <c r="CW38" i="1"/>
  <c r="DE38" i="1"/>
  <c r="CO38" i="1"/>
  <c r="CG38" i="1"/>
  <c r="BY38" i="1"/>
  <c r="BQ38" i="1"/>
  <c r="BJ18" i="1"/>
  <c r="BB18" i="1"/>
  <c r="L18" i="2" s="1"/>
  <c r="BD12" i="1"/>
  <c r="AV12" i="1"/>
  <c r="F12" i="2" s="1"/>
  <c r="BJ24" i="1"/>
  <c r="BB24" i="1"/>
  <c r="L24" i="2" s="1"/>
  <c r="BJ36" i="1"/>
  <c r="BB36" i="1"/>
  <c r="L36" i="2" s="1"/>
  <c r="BJ34" i="1"/>
  <c r="BB34" i="1"/>
  <c r="L34" i="2" s="1"/>
  <c r="BJ32" i="1"/>
  <c r="BB32" i="1"/>
  <c r="L32" i="2" s="1"/>
  <c r="BJ39" i="1"/>
  <c r="BB39" i="1"/>
  <c r="L39" i="2" s="1"/>
  <c r="CW30" i="1"/>
  <c r="DE30" i="1"/>
  <c r="CO30" i="1"/>
  <c r="CG30" i="1"/>
  <c r="BY30" i="1"/>
  <c r="BQ30" i="1"/>
  <c r="DE39" i="1"/>
  <c r="CO39" i="1"/>
  <c r="BY39" i="1"/>
  <c r="CG39" i="1"/>
  <c r="BQ39" i="1"/>
  <c r="CW39" i="1"/>
  <c r="CS10" i="1"/>
  <c r="DA10" i="1"/>
  <c r="CC10" i="1"/>
  <c r="CK10" i="1"/>
  <c r="BU10" i="1"/>
  <c r="BM10" i="1"/>
  <c r="CW29" i="1"/>
  <c r="DE29" i="1"/>
  <c r="CO29" i="1"/>
  <c r="CG29" i="1"/>
  <c r="BY29" i="1"/>
  <c r="BQ29" i="1"/>
  <c r="AR9" i="1"/>
  <c r="AN13" i="1"/>
  <c r="AQ10" i="1"/>
  <c r="AS8" i="1"/>
  <c r="AO12" i="1"/>
  <c r="AP12" i="1"/>
  <c r="EX60" i="1" l="1"/>
  <c r="FG60" i="1"/>
  <c r="EY60" i="1"/>
  <c r="FF60" i="1"/>
  <c r="ET60" i="1"/>
  <c r="FA60" i="1"/>
  <c r="EZ60" i="1"/>
  <c r="EW60" i="1"/>
  <c r="FC60" i="1"/>
  <c r="FJ60" i="1"/>
  <c r="FD60" i="1"/>
  <c r="FI60" i="1"/>
  <c r="EV60" i="1"/>
  <c r="FE60" i="1"/>
  <c r="FH60" i="1"/>
  <c r="CX84" i="1"/>
  <c r="BR84" i="1"/>
  <c r="CX68" i="1"/>
  <c r="BR68" i="1"/>
  <c r="CX70" i="1"/>
  <c r="BR70" i="1"/>
  <c r="CX64" i="1"/>
  <c r="BR64" i="1"/>
  <c r="CX77" i="1"/>
  <c r="BR77" i="1"/>
  <c r="CX60" i="1"/>
  <c r="BR60" i="1"/>
  <c r="CX63" i="1"/>
  <c r="BR63" i="1"/>
  <c r="CS61" i="1"/>
  <c r="BM61" i="1"/>
  <c r="BR83" i="1"/>
  <c r="CX83" i="1"/>
  <c r="CX79" i="1"/>
  <c r="BR79" i="1"/>
  <c r="CX69" i="1"/>
  <c r="BR69" i="1"/>
  <c r="CX61" i="1"/>
  <c r="BR61" i="1"/>
  <c r="DM10" i="1"/>
  <c r="DH10" i="1"/>
  <c r="DL10" i="1"/>
  <c r="DJ10" i="1"/>
  <c r="DI10" i="1"/>
  <c r="DN10" i="1"/>
  <c r="DL60" i="1"/>
  <c r="DH60" i="1"/>
  <c r="DJ60" i="1"/>
  <c r="CX86" i="1"/>
  <c r="BR86" i="1"/>
  <c r="CX73" i="1"/>
  <c r="BR73" i="1"/>
  <c r="CX88" i="1"/>
  <c r="BR88" i="1"/>
  <c r="BR58" i="1"/>
  <c r="CX58" i="1"/>
  <c r="CX78" i="1"/>
  <c r="BR78" i="1"/>
  <c r="CU59" i="1"/>
  <c r="BO59" i="1"/>
  <c r="CX80" i="1"/>
  <c r="BR80" i="1"/>
  <c r="CX71" i="1"/>
  <c r="BR71" i="1"/>
  <c r="CX67" i="1"/>
  <c r="BR67" i="1"/>
  <c r="BR59" i="1"/>
  <c r="CX59" i="1"/>
  <c r="BR89" i="1"/>
  <c r="CX89" i="1"/>
  <c r="CX74" i="1"/>
  <c r="BR74" i="1"/>
  <c r="CX76" i="1"/>
  <c r="BR76" i="1"/>
  <c r="CX85" i="1"/>
  <c r="BR85" i="1"/>
  <c r="CX62" i="1"/>
  <c r="BR62" i="1"/>
  <c r="CX56" i="1"/>
  <c r="BR56" i="1"/>
  <c r="CX65" i="1"/>
  <c r="BR65" i="1"/>
  <c r="CX57" i="1"/>
  <c r="BR57" i="1"/>
  <c r="DN60" i="1"/>
  <c r="DI60" i="1"/>
  <c r="CX82" i="1"/>
  <c r="BR82" i="1"/>
  <c r="CR62" i="1"/>
  <c r="BL62" i="1"/>
  <c r="CX81" i="1"/>
  <c r="BR81" i="1"/>
  <c r="CX72" i="1"/>
  <c r="BR72" i="1"/>
  <c r="CT61" i="1"/>
  <c r="BN61" i="1"/>
  <c r="CX87" i="1"/>
  <c r="BR87" i="1"/>
  <c r="CX66" i="1"/>
  <c r="BR66" i="1"/>
  <c r="BR75" i="1"/>
  <c r="CX75" i="1"/>
  <c r="BQ57" i="1"/>
  <c r="CW57" i="1"/>
  <c r="BP58" i="1"/>
  <c r="CV58" i="1"/>
  <c r="CX90" i="1"/>
  <c r="BR90" i="1"/>
  <c r="GE7" i="1"/>
  <c r="DW7" i="1"/>
  <c r="EZ7" i="1"/>
  <c r="FW7" i="1"/>
  <c r="FI7" i="1"/>
  <c r="FF7" i="1"/>
  <c r="EY7" i="1"/>
  <c r="DT7" i="1"/>
  <c r="FG7" i="1"/>
  <c r="EK7" i="1"/>
  <c r="FX7" i="1"/>
  <c r="FQ7" i="1"/>
  <c r="FL7" i="1"/>
  <c r="GF7" i="1"/>
  <c r="FH7" i="1"/>
  <c r="EI7" i="1"/>
  <c r="FD7" i="1"/>
  <c r="ET7" i="1"/>
  <c r="FE7" i="1"/>
  <c r="DV7" i="1"/>
  <c r="EF7" i="1"/>
  <c r="EB7" i="1"/>
  <c r="GB7" i="1"/>
  <c r="FC7" i="1"/>
  <c r="FZ7" i="1"/>
  <c r="GA7" i="1"/>
  <c r="EU7" i="1"/>
  <c r="EO7" i="1"/>
  <c r="DZ7" i="1"/>
  <c r="DY7" i="1"/>
  <c r="EQ7" i="1"/>
  <c r="FU7" i="1"/>
  <c r="FY7" i="1"/>
  <c r="GD7" i="1"/>
  <c r="FN7" i="1"/>
  <c r="EG7" i="1"/>
  <c r="EX7" i="1"/>
  <c r="DP7" i="1"/>
  <c r="FS7" i="1"/>
  <c r="FP7" i="1"/>
  <c r="EV7" i="1"/>
  <c r="FO7" i="1"/>
  <c r="ER7" i="1"/>
  <c r="DS7" i="1"/>
  <c r="FM7" i="1"/>
  <c r="EW7" i="1"/>
  <c r="FJ7" i="1"/>
  <c r="FT7" i="1"/>
  <c r="FR7" i="1"/>
  <c r="EJ7" i="1"/>
  <c r="EE7" i="1"/>
  <c r="EH7" i="1"/>
  <c r="EN7" i="1"/>
  <c r="EC7" i="1"/>
  <c r="FA7" i="1"/>
  <c r="DX7" i="1"/>
  <c r="EA7" i="1"/>
  <c r="GC7" i="1"/>
  <c r="DQ7" i="1"/>
  <c r="BF12" i="1"/>
  <c r="AX12" i="1"/>
  <c r="H12" i="2" s="1"/>
  <c r="BD13" i="1"/>
  <c r="AV13" i="1"/>
  <c r="F13" i="2" s="1"/>
  <c r="DF24" i="1"/>
  <c r="CP24" i="1"/>
  <c r="CX24" i="1"/>
  <c r="CH24" i="1"/>
  <c r="BR24" i="1"/>
  <c r="BZ24" i="1"/>
  <c r="CX22" i="1"/>
  <c r="DF22" i="1"/>
  <c r="CP22" i="1"/>
  <c r="CH22" i="1"/>
  <c r="BR22" i="1"/>
  <c r="BZ22" i="1"/>
  <c r="DF8" i="1"/>
  <c r="CP8" i="1"/>
  <c r="CX8" i="1"/>
  <c r="CH8" i="1"/>
  <c r="BR8" i="1"/>
  <c r="BZ8" i="1"/>
  <c r="CX13" i="1"/>
  <c r="DF13" i="1"/>
  <c r="CH13" i="1"/>
  <c r="CP13" i="1"/>
  <c r="BR13" i="1"/>
  <c r="BZ13" i="1"/>
  <c r="CX12" i="1"/>
  <c r="CH12" i="1"/>
  <c r="CP12" i="1"/>
  <c r="DF12" i="1"/>
  <c r="BZ12" i="1"/>
  <c r="BR12" i="1"/>
  <c r="DF11" i="1"/>
  <c r="CX11" i="1"/>
  <c r="CP11" i="1"/>
  <c r="CH11" i="1"/>
  <c r="BZ11" i="1"/>
  <c r="BR11" i="1"/>
  <c r="CX37" i="1"/>
  <c r="DF37" i="1"/>
  <c r="CP37" i="1"/>
  <c r="CH37" i="1"/>
  <c r="BR37" i="1"/>
  <c r="BZ37" i="1"/>
  <c r="CX29" i="1"/>
  <c r="DF29" i="1"/>
  <c r="CP29" i="1"/>
  <c r="CH29" i="1"/>
  <c r="BZ29" i="1"/>
  <c r="BR29" i="1"/>
  <c r="BE12" i="1"/>
  <c r="AW12" i="1"/>
  <c r="G12" i="2" s="1"/>
  <c r="BH9" i="1"/>
  <c r="AZ9" i="1"/>
  <c r="J9" i="2" s="1"/>
  <c r="DF34" i="1"/>
  <c r="CP34" i="1"/>
  <c r="CX34" i="1"/>
  <c r="BZ34" i="1"/>
  <c r="CH34" i="1"/>
  <c r="BR34" i="1"/>
  <c r="CX23" i="1"/>
  <c r="DF23" i="1"/>
  <c r="CH23" i="1"/>
  <c r="CP23" i="1"/>
  <c r="BZ23" i="1"/>
  <c r="BR23" i="1"/>
  <c r="DE7" i="1"/>
  <c r="CO7" i="1"/>
  <c r="CW7" i="1"/>
  <c r="CG7" i="1"/>
  <c r="BQ7" i="1"/>
  <c r="BY7" i="1"/>
  <c r="CX15" i="1"/>
  <c r="DF15" i="1"/>
  <c r="CH15" i="1"/>
  <c r="BZ15" i="1"/>
  <c r="CP15" i="1"/>
  <c r="BR15" i="1"/>
  <c r="CZ12" i="1"/>
  <c r="CR12" i="1"/>
  <c r="CJ12" i="1"/>
  <c r="CB12" i="1"/>
  <c r="BT12" i="1"/>
  <c r="BL12" i="1"/>
  <c r="CX14" i="1"/>
  <c r="DF14" i="1"/>
  <c r="CH14" i="1"/>
  <c r="CP14" i="1"/>
  <c r="BZ14" i="1"/>
  <c r="BR14" i="1"/>
  <c r="CX28" i="1"/>
  <c r="CP28" i="1"/>
  <c r="CH28" i="1"/>
  <c r="DF28" i="1"/>
  <c r="BZ28" i="1"/>
  <c r="BR28" i="1"/>
  <c r="DF16" i="1"/>
  <c r="CP16" i="1"/>
  <c r="CX16" i="1"/>
  <c r="CH16" i="1"/>
  <c r="BR16" i="1"/>
  <c r="BZ16" i="1"/>
  <c r="CX6" i="1"/>
  <c r="DF6" i="1"/>
  <c r="CH6" i="1"/>
  <c r="CP6" i="1"/>
  <c r="BZ6" i="1"/>
  <c r="BR6" i="1"/>
  <c r="DF9" i="1"/>
  <c r="CX9" i="1"/>
  <c r="CP9" i="1"/>
  <c r="BZ9" i="1"/>
  <c r="CH9" i="1"/>
  <c r="BR9" i="1"/>
  <c r="CX39" i="1"/>
  <c r="DF39" i="1"/>
  <c r="CP39" i="1"/>
  <c r="CH39" i="1"/>
  <c r="BZ39" i="1"/>
  <c r="BR39" i="1"/>
  <c r="CX31" i="1"/>
  <c r="DF31" i="1"/>
  <c r="CP31" i="1"/>
  <c r="CH31" i="1"/>
  <c r="BZ31" i="1"/>
  <c r="BR31" i="1"/>
  <c r="DA11" i="1"/>
  <c r="CS11" i="1"/>
  <c r="CK11" i="1"/>
  <c r="CC11" i="1"/>
  <c r="BM11" i="1"/>
  <c r="BU11" i="1"/>
  <c r="CX30" i="1"/>
  <c r="DF30" i="1"/>
  <c r="CP30" i="1"/>
  <c r="CH30" i="1"/>
  <c r="BZ30" i="1"/>
  <c r="BR30" i="1"/>
  <c r="DF19" i="1"/>
  <c r="CX19" i="1"/>
  <c r="CP19" i="1"/>
  <c r="BZ19" i="1"/>
  <c r="CH19" i="1"/>
  <c r="BR19" i="1"/>
  <c r="DF18" i="1"/>
  <c r="CP18" i="1"/>
  <c r="CX18" i="1"/>
  <c r="CH18" i="1"/>
  <c r="BR18" i="1"/>
  <c r="BZ18" i="1"/>
  <c r="DF26" i="1"/>
  <c r="CP26" i="1"/>
  <c r="CX26" i="1"/>
  <c r="CH26" i="1"/>
  <c r="BR26" i="1"/>
  <c r="BZ26" i="1"/>
  <c r="DF27" i="1"/>
  <c r="CP27" i="1"/>
  <c r="CX27" i="1"/>
  <c r="BZ27" i="1"/>
  <c r="CH27" i="1"/>
  <c r="BR27" i="1"/>
  <c r="CX21" i="1"/>
  <c r="DF21" i="1"/>
  <c r="CP21" i="1"/>
  <c r="CH21" i="1"/>
  <c r="BZ21" i="1"/>
  <c r="BR21" i="1"/>
  <c r="DD8" i="1"/>
  <c r="FW8" i="1" s="1"/>
  <c r="CV8" i="1"/>
  <c r="CN8" i="1"/>
  <c r="EQ8" i="1" s="1"/>
  <c r="CF8" i="1"/>
  <c r="BP8" i="1"/>
  <c r="BX8" i="1"/>
  <c r="DF40" i="1"/>
  <c r="CP40" i="1"/>
  <c r="BZ40" i="1"/>
  <c r="CH40" i="1"/>
  <c r="CX40" i="1"/>
  <c r="BR40" i="1"/>
  <c r="BG10" i="1"/>
  <c r="AY10" i="1"/>
  <c r="I10" i="2" s="1"/>
  <c r="CX38" i="1"/>
  <c r="DF38" i="1"/>
  <c r="CP38" i="1"/>
  <c r="CH38" i="1"/>
  <c r="BZ38" i="1"/>
  <c r="BR38" i="1"/>
  <c r="CT11" i="1"/>
  <c r="DB11" i="1"/>
  <c r="CD11" i="1"/>
  <c r="CL11" i="1"/>
  <c r="BV11" i="1"/>
  <c r="BN11" i="1"/>
  <c r="DF35" i="1"/>
  <c r="CP35" i="1"/>
  <c r="CX35" i="1"/>
  <c r="BR35" i="1"/>
  <c r="CH35" i="1"/>
  <c r="BZ35" i="1"/>
  <c r="CU9" i="1"/>
  <c r="CE9" i="1"/>
  <c r="DC9" i="1"/>
  <c r="CM9" i="1"/>
  <c r="BW9" i="1"/>
  <c r="BO9" i="1"/>
  <c r="DF33" i="1"/>
  <c r="CP33" i="1"/>
  <c r="CX33" i="1"/>
  <c r="BZ33" i="1"/>
  <c r="CH33" i="1"/>
  <c r="BR33" i="1"/>
  <c r="DF25" i="1"/>
  <c r="CP25" i="1"/>
  <c r="CX25" i="1"/>
  <c r="BZ25" i="1"/>
  <c r="CH25" i="1"/>
  <c r="BR25" i="1"/>
  <c r="CX7" i="1"/>
  <c r="DF7" i="1"/>
  <c r="CH7" i="1"/>
  <c r="BZ7" i="1"/>
  <c r="CP7" i="1"/>
  <c r="BR7" i="1"/>
  <c r="BI8" i="1"/>
  <c r="BA8" i="1"/>
  <c r="K8" i="2" s="1"/>
  <c r="CX36" i="1"/>
  <c r="CH36" i="1"/>
  <c r="CP36" i="1"/>
  <c r="DF36" i="1"/>
  <c r="BZ36" i="1"/>
  <c r="BR36" i="1"/>
  <c r="DF32" i="1"/>
  <c r="CP32" i="1"/>
  <c r="BZ32" i="1"/>
  <c r="CH32" i="1"/>
  <c r="CX32" i="1"/>
  <c r="BR32" i="1"/>
  <c r="CX20" i="1"/>
  <c r="DF20" i="1"/>
  <c r="CH20" i="1"/>
  <c r="CP20" i="1"/>
  <c r="BZ20" i="1"/>
  <c r="BR20" i="1"/>
  <c r="DF10" i="1"/>
  <c r="CX10" i="1"/>
  <c r="CP10" i="1"/>
  <c r="CH10" i="1"/>
  <c r="BZ10" i="1"/>
  <c r="BR10" i="1"/>
  <c r="DF17" i="1"/>
  <c r="CX17" i="1"/>
  <c r="BZ17" i="1"/>
  <c r="CP17" i="1"/>
  <c r="CH17" i="1"/>
  <c r="BR17" i="1"/>
  <c r="AS9" i="1"/>
  <c r="AQ11" i="1"/>
  <c r="AP13" i="1"/>
  <c r="AN14" i="1"/>
  <c r="AO13" i="1"/>
  <c r="AR10" i="1"/>
  <c r="DJ61" i="1" l="1"/>
  <c r="EX61" i="1"/>
  <c r="EU61" i="1"/>
  <c r="EW61" i="1"/>
  <c r="FD61" i="1"/>
  <c r="EZ61" i="1"/>
  <c r="ET61" i="1"/>
  <c r="FF61" i="1"/>
  <c r="FJ61" i="1"/>
  <c r="FE61" i="1"/>
  <c r="FA61" i="1"/>
  <c r="EV61" i="1"/>
  <c r="FC61" i="1"/>
  <c r="FI61" i="1"/>
  <c r="FG61" i="1"/>
  <c r="EY61" i="1"/>
  <c r="FH61" i="1"/>
  <c r="CT62" i="1"/>
  <c r="BN62" i="1"/>
  <c r="DH61" i="1"/>
  <c r="DI61" i="1"/>
  <c r="DN61" i="1"/>
  <c r="DL61" i="1"/>
  <c r="BM62" i="1"/>
  <c r="CS62" i="1"/>
  <c r="DL11" i="1"/>
  <c r="DH11" i="1"/>
  <c r="DJ11" i="1"/>
  <c r="DN11" i="1"/>
  <c r="DI11" i="1"/>
  <c r="DM11" i="1"/>
  <c r="BO60" i="1"/>
  <c r="CU60" i="1"/>
  <c r="BQ58" i="1"/>
  <c r="CW58" i="1"/>
  <c r="CR63" i="1"/>
  <c r="BL63" i="1"/>
  <c r="BP59" i="1"/>
  <c r="CV59" i="1"/>
  <c r="DZ8" i="1"/>
  <c r="DV8" i="1"/>
  <c r="EU8" i="1"/>
  <c r="DW8" i="1"/>
  <c r="DQ8" i="1"/>
  <c r="FI8" i="1"/>
  <c r="EC8" i="1"/>
  <c r="FY8" i="1"/>
  <c r="GC8" i="1"/>
  <c r="EH8" i="1"/>
  <c r="EN8" i="1"/>
  <c r="FC8" i="1"/>
  <c r="GD8" i="1"/>
  <c r="EL8" i="1"/>
  <c r="FE8" i="1"/>
  <c r="FQ8" i="1"/>
  <c r="EY8" i="1"/>
  <c r="DY8" i="1"/>
  <c r="FX8" i="1"/>
  <c r="FS8" i="1"/>
  <c r="DS8" i="1"/>
  <c r="FP8" i="1"/>
  <c r="FD8" i="1"/>
  <c r="EB8" i="1"/>
  <c r="EE8" i="1"/>
  <c r="GB8" i="1"/>
  <c r="DT8" i="1"/>
  <c r="FF8" i="1"/>
  <c r="FO8" i="1"/>
  <c r="EW8" i="1"/>
  <c r="GA8" i="1"/>
  <c r="FR8" i="1"/>
  <c r="EF8" i="1"/>
  <c r="FH8" i="1"/>
  <c r="GE8" i="1"/>
  <c r="FA8" i="1"/>
  <c r="EJ8" i="1"/>
  <c r="EI8" i="1"/>
  <c r="FM8" i="1"/>
  <c r="EG8" i="1"/>
  <c r="FT8" i="1"/>
  <c r="ET8" i="1"/>
  <c r="EZ8" i="1"/>
  <c r="DP8" i="1"/>
  <c r="FU8" i="1"/>
  <c r="EV8" i="1"/>
  <c r="EA8" i="1"/>
  <c r="FG8" i="1"/>
  <c r="GF8" i="1"/>
  <c r="FJ8" i="1"/>
  <c r="EK8" i="1"/>
  <c r="FZ8" i="1"/>
  <c r="FN8" i="1"/>
  <c r="EX8" i="1"/>
  <c r="FL8" i="1"/>
  <c r="DX8" i="1"/>
  <c r="EO8" i="1"/>
  <c r="ER8" i="1"/>
  <c r="BE13" i="1"/>
  <c r="AW13" i="1"/>
  <c r="BI9" i="1"/>
  <c r="BA9" i="1"/>
  <c r="K9" i="2" s="1"/>
  <c r="BF13" i="1"/>
  <c r="AX13" i="1"/>
  <c r="H13" i="2" s="1"/>
  <c r="CU10" i="1"/>
  <c r="DC10" i="1"/>
  <c r="CE10" i="1"/>
  <c r="CM10" i="1"/>
  <c r="BW10" i="1"/>
  <c r="BO10" i="1"/>
  <c r="DD9" i="1"/>
  <c r="CV9" i="1"/>
  <c r="CN9" i="1"/>
  <c r="BX9" i="1"/>
  <c r="DT9" i="1" s="1"/>
  <c r="CF9" i="1"/>
  <c r="EF9" i="1" s="1"/>
  <c r="BP9" i="1"/>
  <c r="DE8" i="1"/>
  <c r="CW8" i="1"/>
  <c r="CO8" i="1"/>
  <c r="BY8" i="1"/>
  <c r="CG8" i="1"/>
  <c r="BQ8" i="1"/>
  <c r="BH10" i="1"/>
  <c r="AZ10" i="1"/>
  <c r="J10" i="2" s="1"/>
  <c r="BG11" i="1"/>
  <c r="AY11" i="1"/>
  <c r="I11" i="2" s="1"/>
  <c r="DA12" i="1"/>
  <c r="CS12" i="1"/>
  <c r="CK12" i="1"/>
  <c r="BU12" i="1"/>
  <c r="CC12" i="1"/>
  <c r="BM12" i="1"/>
  <c r="CZ13" i="1"/>
  <c r="CR13" i="1"/>
  <c r="CJ13" i="1"/>
  <c r="CB13" i="1"/>
  <c r="BT13" i="1"/>
  <c r="BL13" i="1"/>
  <c r="BD14" i="1"/>
  <c r="AV14" i="1"/>
  <c r="F14" i="2" s="1"/>
  <c r="DB12" i="1"/>
  <c r="CL12" i="1"/>
  <c r="CD12" i="1"/>
  <c r="BV12" i="1"/>
  <c r="BN12" i="1"/>
  <c r="CT12" i="1"/>
  <c r="AN15" i="1"/>
  <c r="AR11" i="1"/>
  <c r="AQ12" i="1"/>
  <c r="AP14" i="1"/>
  <c r="AO14" i="1"/>
  <c r="AS10" i="1"/>
  <c r="FI62" i="1" l="1"/>
  <c r="FC62" i="1"/>
  <c r="FD62" i="1"/>
  <c r="ET62" i="1"/>
  <c r="EX62" i="1"/>
  <c r="EW62" i="1"/>
  <c r="FF62" i="1"/>
  <c r="EY62" i="1"/>
  <c r="FJ62" i="1"/>
  <c r="FE62" i="1"/>
  <c r="EZ62" i="1"/>
  <c r="FG62" i="1"/>
  <c r="FH62" i="1"/>
  <c r="EU62" i="1"/>
  <c r="FA62" i="1"/>
  <c r="EV62" i="1"/>
  <c r="CS63" i="1"/>
  <c r="BM63" i="1"/>
  <c r="CT63" i="1"/>
  <c r="BN63" i="1"/>
  <c r="CR64" i="1"/>
  <c r="BL64" i="1"/>
  <c r="CV60" i="1"/>
  <c r="BP60" i="1"/>
  <c r="DJ12" i="1"/>
  <c r="DL12" i="1"/>
  <c r="DM12" i="1"/>
  <c r="DI12" i="1"/>
  <c r="DN12" i="1"/>
  <c r="DH12" i="1"/>
  <c r="DN62" i="1"/>
  <c r="DI62" i="1"/>
  <c r="DJ62" i="1"/>
  <c r="DH62" i="1"/>
  <c r="DL62" i="1"/>
  <c r="CU61" i="1"/>
  <c r="BO61" i="1"/>
  <c r="CW59" i="1"/>
  <c r="BQ59" i="1"/>
  <c r="G13" i="2"/>
  <c r="DW9" i="1"/>
  <c r="DV9" i="1"/>
  <c r="EK9" i="1"/>
  <c r="FZ9" i="1"/>
  <c r="GD9" i="1"/>
  <c r="EW9" i="1"/>
  <c r="EB9" i="1"/>
  <c r="FR9" i="1"/>
  <c r="DS9" i="1"/>
  <c r="FN9" i="1"/>
  <c r="GE9" i="1"/>
  <c r="FT9" i="1"/>
  <c r="EN9" i="1"/>
  <c r="EG9" i="1"/>
  <c r="FG9" i="1"/>
  <c r="EI9" i="1"/>
  <c r="EO9" i="1"/>
  <c r="GB9" i="1"/>
  <c r="FS9" i="1"/>
  <c r="DP9" i="1"/>
  <c r="FE9" i="1"/>
  <c r="EE9" i="1"/>
  <c r="DZ9" i="1"/>
  <c r="FD9" i="1"/>
  <c r="FL9" i="1"/>
  <c r="EZ9" i="1"/>
  <c r="FP9" i="1"/>
  <c r="FO9" i="1"/>
  <c r="EH9" i="1"/>
  <c r="GC9" i="1"/>
  <c r="EC9" i="1"/>
  <c r="FX9" i="1"/>
  <c r="DQ9" i="1"/>
  <c r="EL9" i="1"/>
  <c r="FH9" i="1"/>
  <c r="DY9" i="1"/>
  <c r="EY9" i="1"/>
  <c r="GF9" i="1"/>
  <c r="FM9" i="1"/>
  <c r="EV9" i="1"/>
  <c r="FC9" i="1"/>
  <c r="ER9" i="1"/>
  <c r="EX9" i="1"/>
  <c r="EA9" i="1"/>
  <c r="FY9" i="1"/>
  <c r="DX9" i="1"/>
  <c r="EQ9" i="1"/>
  <c r="ET9" i="1"/>
  <c r="FU9" i="1"/>
  <c r="FQ9" i="1"/>
  <c r="EJ9" i="1"/>
  <c r="FF9" i="1"/>
  <c r="EU9" i="1"/>
  <c r="FJ9" i="1"/>
  <c r="FI9" i="1"/>
  <c r="FA9" i="1"/>
  <c r="GA9" i="1"/>
  <c r="FW9" i="1"/>
  <c r="BI10" i="1"/>
  <c r="BA10" i="1"/>
  <c r="K10" i="2" s="1"/>
  <c r="CU11" i="1"/>
  <c r="DC11" i="1"/>
  <c r="CE11" i="1"/>
  <c r="CM11" i="1"/>
  <c r="BW11" i="1"/>
  <c r="BO11" i="1"/>
  <c r="BF14" i="1"/>
  <c r="AX14" i="1"/>
  <c r="H14" i="2" s="1"/>
  <c r="BG12" i="1"/>
  <c r="AY12" i="1"/>
  <c r="I12" i="2" s="1"/>
  <c r="DB13" i="1"/>
  <c r="CT13" i="1"/>
  <c r="CL13" i="1"/>
  <c r="BV13" i="1"/>
  <c r="CD13" i="1"/>
  <c r="BN13" i="1"/>
  <c r="BH11" i="1"/>
  <c r="AZ11" i="1"/>
  <c r="J11" i="2" s="1"/>
  <c r="DE9" i="1"/>
  <c r="CW9" i="1"/>
  <c r="CO9" i="1"/>
  <c r="CG9" i="1"/>
  <c r="BQ9" i="1"/>
  <c r="BY9" i="1"/>
  <c r="BE14" i="1"/>
  <c r="AW14" i="1"/>
  <c r="G14" i="2" s="1"/>
  <c r="BD15" i="1"/>
  <c r="AV15" i="1"/>
  <c r="F15" i="2" s="1"/>
  <c r="CR14" i="1"/>
  <c r="CB14" i="1"/>
  <c r="CJ14" i="1"/>
  <c r="CZ14" i="1"/>
  <c r="BL14" i="1"/>
  <c r="BT14" i="1"/>
  <c r="CV10" i="1"/>
  <c r="ET10" i="1" s="1"/>
  <c r="CF10" i="1"/>
  <c r="EJ10" i="1" s="1"/>
  <c r="DD10" i="1"/>
  <c r="CN10" i="1"/>
  <c r="BX10" i="1"/>
  <c r="DQ10" i="1" s="1"/>
  <c r="BP10" i="1"/>
  <c r="DA13" i="1"/>
  <c r="CS13" i="1"/>
  <c r="CK13" i="1"/>
  <c r="CC13" i="1"/>
  <c r="BU13" i="1"/>
  <c r="BM13" i="1"/>
  <c r="AQ13" i="1"/>
  <c r="AP15" i="1"/>
  <c r="AS11" i="1"/>
  <c r="AR12" i="1"/>
  <c r="AO15" i="1"/>
  <c r="AN16" i="1"/>
  <c r="DJ63" i="1" l="1"/>
  <c r="DI63" i="1"/>
  <c r="DN63" i="1"/>
  <c r="DL63" i="1"/>
  <c r="DH63" i="1"/>
  <c r="DI13" i="1"/>
  <c r="DN13" i="1"/>
  <c r="DL13" i="1"/>
  <c r="DJ13" i="1"/>
  <c r="DM13" i="1"/>
  <c r="DH13" i="1"/>
  <c r="FF63" i="1"/>
  <c r="FI63" i="1"/>
  <c r="EU63" i="1"/>
  <c r="EX63" i="1"/>
  <c r="FC63" i="1"/>
  <c r="FJ63" i="1"/>
  <c r="EY63" i="1"/>
  <c r="EZ63" i="1"/>
  <c r="ET63" i="1"/>
  <c r="FG63" i="1"/>
  <c r="FE63" i="1"/>
  <c r="FH63" i="1"/>
  <c r="FD63" i="1"/>
  <c r="EW63" i="1"/>
  <c r="EV63" i="1"/>
  <c r="FA63" i="1"/>
  <c r="CS64" i="1"/>
  <c r="BM64" i="1"/>
  <c r="CV61" i="1"/>
  <c r="BP61" i="1"/>
  <c r="CU62" i="1"/>
  <c r="BO62" i="1"/>
  <c r="CT64" i="1"/>
  <c r="BN64" i="1"/>
  <c r="BQ60" i="1"/>
  <c r="CW60" i="1"/>
  <c r="CR65" i="1"/>
  <c r="BL65" i="1"/>
  <c r="DV10" i="1"/>
  <c r="FQ10" i="1"/>
  <c r="DZ10" i="1"/>
  <c r="EG10" i="1"/>
  <c r="DX10" i="1"/>
  <c r="FF10" i="1"/>
  <c r="EX10" i="1"/>
  <c r="FM10" i="1"/>
  <c r="FU10" i="1"/>
  <c r="EQ10" i="1"/>
  <c r="EA10" i="1"/>
  <c r="FN10" i="1"/>
  <c r="DS10" i="1"/>
  <c r="EY10" i="1"/>
  <c r="FZ10" i="1"/>
  <c r="EF10" i="1"/>
  <c r="ER10" i="1"/>
  <c r="DY10" i="1"/>
  <c r="FG10" i="1"/>
  <c r="FC10" i="1"/>
  <c r="EC10" i="1"/>
  <c r="FR10" i="1"/>
  <c r="FS10" i="1"/>
  <c r="FP10" i="1"/>
  <c r="GF10" i="1"/>
  <c r="GA10" i="1"/>
  <c r="DW10" i="1"/>
  <c r="DP10" i="1"/>
  <c r="EW10" i="1"/>
  <c r="FL10" i="1"/>
  <c r="DT10" i="1"/>
  <c r="EO10" i="1"/>
  <c r="EH10" i="1"/>
  <c r="FA10" i="1"/>
  <c r="EN10" i="1"/>
  <c r="EV10" i="1"/>
  <c r="EB10" i="1"/>
  <c r="FI10" i="1"/>
  <c r="GB10" i="1"/>
  <c r="FT10" i="1"/>
  <c r="FW10" i="1"/>
  <c r="FY10" i="1"/>
  <c r="EL10" i="1"/>
  <c r="EK10" i="1"/>
  <c r="FJ10" i="1"/>
  <c r="FH10" i="1"/>
  <c r="FX10" i="1"/>
  <c r="EZ10" i="1"/>
  <c r="EU10" i="1"/>
  <c r="FO10" i="1"/>
  <c r="EI10" i="1"/>
  <c r="GD10" i="1"/>
  <c r="FE10" i="1"/>
  <c r="GE10" i="1"/>
  <c r="EE10" i="1"/>
  <c r="GC10" i="1"/>
  <c r="FD10" i="1"/>
  <c r="BH12" i="1"/>
  <c r="AZ12" i="1"/>
  <c r="BI11" i="1"/>
  <c r="BA11" i="1"/>
  <c r="CR15" i="1"/>
  <c r="CZ15" i="1"/>
  <c r="CB15" i="1"/>
  <c r="CJ15" i="1"/>
  <c r="BL15" i="1"/>
  <c r="BT15" i="1"/>
  <c r="CU12" i="1"/>
  <c r="DC12" i="1"/>
  <c r="CE12" i="1"/>
  <c r="CM12" i="1"/>
  <c r="BW12" i="1"/>
  <c r="BO12" i="1"/>
  <c r="BD16" i="1"/>
  <c r="AV16" i="1"/>
  <c r="F16" i="2" s="1"/>
  <c r="CV11" i="1"/>
  <c r="EV11" i="1" s="1"/>
  <c r="DD11" i="1"/>
  <c r="GB11" i="1" s="1"/>
  <c r="CF11" i="1"/>
  <c r="EG11" i="1" s="1"/>
  <c r="CN11" i="1"/>
  <c r="ER11" i="1" s="1"/>
  <c r="BX11" i="1"/>
  <c r="BP11" i="1"/>
  <c r="BF15" i="1"/>
  <c r="AX15" i="1"/>
  <c r="H15" i="2" s="1"/>
  <c r="DA14" i="1"/>
  <c r="CS14" i="1"/>
  <c r="CK14" i="1"/>
  <c r="BM14" i="1"/>
  <c r="BU14" i="1"/>
  <c r="CC14" i="1"/>
  <c r="BE15" i="1"/>
  <c r="AW15" i="1"/>
  <c r="G15" i="2" s="1"/>
  <c r="BG13" i="1"/>
  <c r="AY13" i="1"/>
  <c r="I13" i="2" s="1"/>
  <c r="DB14" i="1"/>
  <c r="CT14" i="1"/>
  <c r="CL14" i="1"/>
  <c r="CD14" i="1"/>
  <c r="BN14" i="1"/>
  <c r="BV14" i="1"/>
  <c r="DE10" i="1"/>
  <c r="CW10" i="1"/>
  <c r="CO10" i="1"/>
  <c r="BY10" i="1"/>
  <c r="CG10" i="1"/>
  <c r="BQ10" i="1"/>
  <c r="AR13" i="1"/>
  <c r="J12" i="2"/>
  <c r="AS12" i="1"/>
  <c r="K11" i="2"/>
  <c r="AN17" i="1"/>
  <c r="AP16" i="1"/>
  <c r="AO16" i="1"/>
  <c r="AQ14" i="1"/>
  <c r="FJ64" i="1" l="1"/>
  <c r="FE64" i="1"/>
  <c r="FD64" i="1"/>
  <c r="FH64" i="1"/>
  <c r="FC64" i="1"/>
  <c r="FG64" i="1"/>
  <c r="FI64" i="1"/>
  <c r="FF64" i="1"/>
  <c r="EY64" i="1"/>
  <c r="EX64" i="1"/>
  <c r="EU64" i="1"/>
  <c r="FA64" i="1"/>
  <c r="EW64" i="1"/>
  <c r="ET64" i="1"/>
  <c r="EZ64" i="1"/>
  <c r="EV64" i="1"/>
  <c r="DI14" i="1"/>
  <c r="DL14" i="1"/>
  <c r="DH14" i="1"/>
  <c r="DJ14" i="1"/>
  <c r="DM14" i="1"/>
  <c r="DN14" i="1"/>
  <c r="DJ64" i="1"/>
  <c r="DH64" i="1"/>
  <c r="DL64" i="1"/>
  <c r="DN64" i="1"/>
  <c r="DI64" i="1"/>
  <c r="CS65" i="1"/>
  <c r="BM65" i="1"/>
  <c r="CT65" i="1"/>
  <c r="BN65" i="1"/>
  <c r="CR66" i="1"/>
  <c r="BL66" i="1"/>
  <c r="CV62" i="1"/>
  <c r="BP62" i="1"/>
  <c r="CU63" i="1"/>
  <c r="BO63" i="1"/>
  <c r="CW61" i="1"/>
  <c r="BQ61" i="1"/>
  <c r="FD11" i="1"/>
  <c r="EW11" i="1"/>
  <c r="DP11" i="1"/>
  <c r="DY11" i="1"/>
  <c r="EK11" i="1"/>
  <c r="EO11" i="1"/>
  <c r="FQ11" i="1"/>
  <c r="FR11" i="1"/>
  <c r="DS11" i="1"/>
  <c r="FF11" i="1"/>
  <c r="DX11" i="1"/>
  <c r="FO11" i="1"/>
  <c r="ET11" i="1"/>
  <c r="FP11" i="1"/>
  <c r="GA11" i="1"/>
  <c r="DT11" i="1"/>
  <c r="FY11" i="1"/>
  <c r="EA11" i="1"/>
  <c r="FG11" i="1"/>
  <c r="FU11" i="1"/>
  <c r="EH11" i="1"/>
  <c r="EY11" i="1"/>
  <c r="EJ11" i="1"/>
  <c r="FN11" i="1"/>
  <c r="EF11" i="1"/>
  <c r="FI11" i="1"/>
  <c r="GD11" i="1"/>
  <c r="EE11" i="1"/>
  <c r="DV11" i="1"/>
  <c r="FS11" i="1"/>
  <c r="FJ11" i="1"/>
  <c r="GC11" i="1"/>
  <c r="FX11" i="1"/>
  <c r="EZ11" i="1"/>
  <c r="FL11" i="1"/>
  <c r="FC11" i="1"/>
  <c r="EI11" i="1"/>
  <c r="DW11" i="1"/>
  <c r="FA11" i="1"/>
  <c r="GF11" i="1"/>
  <c r="FM11" i="1"/>
  <c r="EQ11" i="1"/>
  <c r="FE11" i="1"/>
  <c r="EX11" i="1"/>
  <c r="FH11" i="1"/>
  <c r="DQ11" i="1"/>
  <c r="DZ11" i="1"/>
  <c r="EL11" i="1"/>
  <c r="FZ11" i="1"/>
  <c r="EU11" i="1"/>
  <c r="FW11" i="1"/>
  <c r="EB11" i="1"/>
  <c r="EC11" i="1"/>
  <c r="GE11" i="1"/>
  <c r="FT11" i="1"/>
  <c r="EN11" i="1"/>
  <c r="BF16" i="1"/>
  <c r="AX16" i="1"/>
  <c r="H16" i="2" s="1"/>
  <c r="BD17" i="1"/>
  <c r="AV17" i="1"/>
  <c r="F17" i="2" s="1"/>
  <c r="BG14" i="1"/>
  <c r="AY14" i="1"/>
  <c r="I14" i="2" s="1"/>
  <c r="DC13" i="1"/>
  <c r="CM13" i="1"/>
  <c r="CE13" i="1"/>
  <c r="CU13" i="1"/>
  <c r="BO13" i="1"/>
  <c r="BW13" i="1"/>
  <c r="CW11" i="1"/>
  <c r="DE11" i="1"/>
  <c r="CG11" i="1"/>
  <c r="CO11" i="1"/>
  <c r="BY11" i="1"/>
  <c r="BQ11" i="1"/>
  <c r="BI12" i="1"/>
  <c r="BA12" i="1"/>
  <c r="K12" i="2" s="1"/>
  <c r="BE16" i="1"/>
  <c r="AW16" i="1"/>
  <c r="G16" i="2" s="1"/>
  <c r="BH13" i="1"/>
  <c r="AZ13" i="1"/>
  <c r="J13" i="2" s="1"/>
  <c r="CS15" i="1"/>
  <c r="CC15" i="1"/>
  <c r="CK15" i="1"/>
  <c r="DA15" i="1"/>
  <c r="BM15" i="1"/>
  <c r="BU15" i="1"/>
  <c r="DB15" i="1"/>
  <c r="CT15" i="1"/>
  <c r="CL15" i="1"/>
  <c r="BN15" i="1"/>
  <c r="BV15" i="1"/>
  <c r="CD15" i="1"/>
  <c r="CR16" i="1"/>
  <c r="CZ16" i="1"/>
  <c r="CJ16" i="1"/>
  <c r="CB16" i="1"/>
  <c r="BT16" i="1"/>
  <c r="BL16" i="1"/>
  <c r="CV12" i="1"/>
  <c r="DD12" i="1"/>
  <c r="CF12" i="1"/>
  <c r="EF12" i="1" s="1"/>
  <c r="CN12" i="1"/>
  <c r="EN12" i="1" s="1"/>
  <c r="BX12" i="1"/>
  <c r="BP12" i="1"/>
  <c r="AP17" i="1"/>
  <c r="AN18" i="1"/>
  <c r="AQ15" i="1"/>
  <c r="AS13" i="1"/>
  <c r="AO17" i="1"/>
  <c r="AR14" i="1"/>
  <c r="FF65" i="1" l="1"/>
  <c r="FJ65" i="1"/>
  <c r="FH65" i="1"/>
  <c r="FG65" i="1"/>
  <c r="FE65" i="1"/>
  <c r="FC65" i="1"/>
  <c r="FI65" i="1"/>
  <c r="FD65" i="1"/>
  <c r="DH15" i="1"/>
  <c r="DM15" i="1"/>
  <c r="DJ15" i="1"/>
  <c r="DN15" i="1"/>
  <c r="DI15" i="1"/>
  <c r="DL15" i="1"/>
  <c r="FA65" i="1"/>
  <c r="EU65" i="1"/>
  <c r="ET65" i="1"/>
  <c r="EZ65" i="1"/>
  <c r="EX65" i="1"/>
  <c r="EW65" i="1"/>
  <c r="EY65" i="1"/>
  <c r="EV65" i="1"/>
  <c r="DL65" i="1"/>
  <c r="DI65" i="1"/>
  <c r="DN65" i="1"/>
  <c r="DJ65" i="1"/>
  <c r="DH65" i="1"/>
  <c r="CW62" i="1"/>
  <c r="BQ62" i="1"/>
  <c r="BL67" i="1"/>
  <c r="CR67" i="1"/>
  <c r="CV63" i="1"/>
  <c r="BP63" i="1"/>
  <c r="CT66" i="1"/>
  <c r="BN66" i="1"/>
  <c r="CS66" i="1"/>
  <c r="BM66" i="1"/>
  <c r="BO64" i="1"/>
  <c r="CU64" i="1"/>
  <c r="FJ12" i="1"/>
  <c r="FZ12" i="1"/>
  <c r="DX12" i="1"/>
  <c r="GB12" i="1"/>
  <c r="FW12" i="1"/>
  <c r="EO12" i="1"/>
  <c r="DS12" i="1"/>
  <c r="FC12" i="1"/>
  <c r="FE12" i="1"/>
  <c r="FO12" i="1"/>
  <c r="FQ12" i="1"/>
  <c r="EB12" i="1"/>
  <c r="FP12" i="1"/>
  <c r="EW12" i="1"/>
  <c r="DZ12" i="1"/>
  <c r="EI12" i="1"/>
  <c r="EV12" i="1"/>
  <c r="FT12" i="1"/>
  <c r="EG12" i="1"/>
  <c r="FA12" i="1"/>
  <c r="EY12" i="1"/>
  <c r="EK12" i="1"/>
  <c r="DQ12" i="1"/>
  <c r="FI12" i="1"/>
  <c r="DY12" i="1"/>
  <c r="DP12" i="1"/>
  <c r="EC12" i="1"/>
  <c r="DV12" i="1"/>
  <c r="FD12" i="1"/>
  <c r="DW12" i="1"/>
  <c r="FH12" i="1"/>
  <c r="EJ12" i="1"/>
  <c r="EL12" i="1"/>
  <c r="ER12" i="1"/>
  <c r="GF12" i="1"/>
  <c r="GA12" i="1"/>
  <c r="FM12" i="1"/>
  <c r="FY12" i="1"/>
  <c r="FG12" i="1"/>
  <c r="EA12" i="1"/>
  <c r="EH12" i="1"/>
  <c r="EU12" i="1"/>
  <c r="FL12" i="1"/>
  <c r="EE12" i="1"/>
  <c r="FR12" i="1"/>
  <c r="GE12" i="1"/>
  <c r="DT12" i="1"/>
  <c r="ET12" i="1"/>
  <c r="FF12" i="1"/>
  <c r="EZ12" i="1"/>
  <c r="GC12" i="1"/>
  <c r="FS12" i="1"/>
  <c r="FX12" i="1"/>
  <c r="FN12" i="1"/>
  <c r="FU12" i="1"/>
  <c r="GD12" i="1"/>
  <c r="EX12" i="1"/>
  <c r="EQ12" i="1"/>
  <c r="CV13" i="1"/>
  <c r="FD13" i="1" s="1"/>
  <c r="DD13" i="1"/>
  <c r="GB13" i="1" s="1"/>
  <c r="CF13" i="1"/>
  <c r="CN13" i="1"/>
  <c r="BX13" i="1"/>
  <c r="BP13" i="1"/>
  <c r="BI13" i="1"/>
  <c r="BA13" i="1"/>
  <c r="K13" i="2" s="1"/>
  <c r="BG15" i="1"/>
  <c r="AY15" i="1"/>
  <c r="I15" i="2" s="1"/>
  <c r="CS16" i="1"/>
  <c r="DA16" i="1"/>
  <c r="CC16" i="1"/>
  <c r="CK16" i="1"/>
  <c r="BU16" i="1"/>
  <c r="BM16" i="1"/>
  <c r="DC14" i="1"/>
  <c r="CU14" i="1"/>
  <c r="CM14" i="1"/>
  <c r="BW14" i="1"/>
  <c r="CE14" i="1"/>
  <c r="BO14" i="1"/>
  <c r="BD18" i="1"/>
  <c r="AV18" i="1"/>
  <c r="F18" i="2" s="1"/>
  <c r="CW12" i="1"/>
  <c r="DE12" i="1"/>
  <c r="CG12" i="1"/>
  <c r="CO12" i="1"/>
  <c r="BY12" i="1"/>
  <c r="BQ12" i="1"/>
  <c r="CR17" i="1"/>
  <c r="CZ17" i="1"/>
  <c r="CJ17" i="1"/>
  <c r="CB17" i="1"/>
  <c r="BT17" i="1"/>
  <c r="BL17" i="1"/>
  <c r="BH14" i="1"/>
  <c r="AZ14" i="1"/>
  <c r="J14" i="2" s="1"/>
  <c r="BE17" i="1"/>
  <c r="AW17" i="1"/>
  <c r="G17" i="2" s="1"/>
  <c r="BF17" i="1"/>
  <c r="AX17" i="1"/>
  <c r="H17" i="2" s="1"/>
  <c r="CT16" i="1"/>
  <c r="CD16" i="1"/>
  <c r="DB16" i="1"/>
  <c r="CL16" i="1"/>
  <c r="BN16" i="1"/>
  <c r="BV16" i="1"/>
  <c r="AS14" i="1"/>
  <c r="AQ16" i="1"/>
  <c r="AR15" i="1"/>
  <c r="AN19" i="1"/>
  <c r="AO18" i="1"/>
  <c r="AP18" i="1"/>
  <c r="FF66" i="1" l="1"/>
  <c r="FJ66" i="1"/>
  <c r="FG66" i="1"/>
  <c r="FC66" i="1"/>
  <c r="FI66" i="1"/>
  <c r="FE66" i="1"/>
  <c r="FD66" i="1"/>
  <c r="FH66" i="1"/>
  <c r="DI66" i="1"/>
  <c r="DL66" i="1"/>
  <c r="DN66" i="1"/>
  <c r="DJ66" i="1"/>
  <c r="DH66" i="1"/>
  <c r="EX66" i="1"/>
  <c r="EZ66" i="1"/>
  <c r="FA66" i="1"/>
  <c r="EV66" i="1"/>
  <c r="ET66" i="1"/>
  <c r="EY66" i="1"/>
  <c r="EW66" i="1"/>
  <c r="EU66" i="1"/>
  <c r="DM16" i="1"/>
  <c r="DL16" i="1"/>
  <c r="DJ16" i="1"/>
  <c r="DH16" i="1"/>
  <c r="DI16" i="1"/>
  <c r="DN16" i="1"/>
  <c r="CT67" i="1"/>
  <c r="BN67" i="1"/>
  <c r="CU65" i="1"/>
  <c r="BO65" i="1"/>
  <c r="CS67" i="1"/>
  <c r="BM67" i="1"/>
  <c r="CR68" i="1"/>
  <c r="BL68" i="1"/>
  <c r="CW63" i="1"/>
  <c r="BQ63" i="1"/>
  <c r="CV64" i="1"/>
  <c r="BP64" i="1"/>
  <c r="FX13" i="1"/>
  <c r="EX13" i="1"/>
  <c r="EO13" i="1"/>
  <c r="EI13" i="1"/>
  <c r="FR13" i="1"/>
  <c r="EG13" i="1"/>
  <c r="DW13" i="1"/>
  <c r="DX13" i="1"/>
  <c r="FZ13" i="1"/>
  <c r="FJ13" i="1"/>
  <c r="GF13" i="1"/>
  <c r="FA13" i="1"/>
  <c r="FY13" i="1"/>
  <c r="FQ13" i="1"/>
  <c r="FH13" i="1"/>
  <c r="FN13" i="1"/>
  <c r="EV13" i="1"/>
  <c r="EH13" i="1"/>
  <c r="DZ13" i="1"/>
  <c r="DQ13" i="1"/>
  <c r="EL13" i="1"/>
  <c r="FP13" i="1"/>
  <c r="DY13" i="1"/>
  <c r="EZ13" i="1"/>
  <c r="FC13" i="1"/>
  <c r="GE13" i="1"/>
  <c r="FU13" i="1"/>
  <c r="EA13" i="1"/>
  <c r="ER13" i="1"/>
  <c r="GD13" i="1"/>
  <c r="FW13" i="1"/>
  <c r="DV13" i="1"/>
  <c r="EF13" i="1"/>
  <c r="GA13" i="1"/>
  <c r="FI13" i="1"/>
  <c r="FE13" i="1"/>
  <c r="FS13" i="1"/>
  <c r="DT13" i="1"/>
  <c r="EQ13" i="1"/>
  <c r="GC13" i="1"/>
  <c r="EJ13" i="1"/>
  <c r="FL13" i="1"/>
  <c r="EY13" i="1"/>
  <c r="EU13" i="1"/>
  <c r="EN13" i="1"/>
  <c r="ET13" i="1"/>
  <c r="DS13" i="1"/>
  <c r="EK13" i="1"/>
  <c r="EW13" i="1"/>
  <c r="FG13" i="1"/>
  <c r="FM13" i="1"/>
  <c r="EC13" i="1"/>
  <c r="EB13" i="1"/>
  <c r="EE13" i="1"/>
  <c r="FO13" i="1"/>
  <c r="FT13" i="1"/>
  <c r="FF13" i="1"/>
  <c r="DP13" i="1"/>
  <c r="BD19" i="1"/>
  <c r="AV19" i="1"/>
  <c r="F19" i="2" s="1"/>
  <c r="CS17" i="1"/>
  <c r="DA17" i="1"/>
  <c r="CK17" i="1"/>
  <c r="CC17" i="1"/>
  <c r="BU17" i="1"/>
  <c r="BM17" i="1"/>
  <c r="CZ18" i="1"/>
  <c r="CR18" i="1"/>
  <c r="CJ18" i="1"/>
  <c r="CB18" i="1"/>
  <c r="BL18" i="1"/>
  <c r="BT18" i="1"/>
  <c r="CW13" i="1"/>
  <c r="DE13" i="1"/>
  <c r="CG13" i="1"/>
  <c r="CO13" i="1"/>
  <c r="BQ13" i="1"/>
  <c r="BY13" i="1"/>
  <c r="BH15" i="1"/>
  <c r="AZ15" i="1"/>
  <c r="J15" i="2" s="1"/>
  <c r="DD14" i="1"/>
  <c r="FO14" i="1" s="1"/>
  <c r="CN14" i="1"/>
  <c r="CF14" i="1"/>
  <c r="EF14" i="1" s="1"/>
  <c r="CV14" i="1"/>
  <c r="ET14" i="1" s="1"/>
  <c r="BP14" i="1"/>
  <c r="BX14" i="1"/>
  <c r="DP14" i="1" s="1"/>
  <c r="BF18" i="1"/>
  <c r="AX18" i="1"/>
  <c r="H18" i="2" s="1"/>
  <c r="BG16" i="1"/>
  <c r="AY16" i="1"/>
  <c r="I16" i="2" s="1"/>
  <c r="BE18" i="1"/>
  <c r="AW18" i="1"/>
  <c r="BI14" i="1"/>
  <c r="BA14" i="1"/>
  <c r="K14" i="2" s="1"/>
  <c r="CT17" i="1"/>
  <c r="DB17" i="1"/>
  <c r="CL17" i="1"/>
  <c r="CD17" i="1"/>
  <c r="BV17" i="1"/>
  <c r="BN17" i="1"/>
  <c r="DC15" i="1"/>
  <c r="CU15" i="1"/>
  <c r="CM15" i="1"/>
  <c r="CE15" i="1"/>
  <c r="BO15" i="1"/>
  <c r="BW15" i="1"/>
  <c r="AN20" i="1"/>
  <c r="AR16" i="1"/>
  <c r="AP19" i="1"/>
  <c r="AQ17" i="1"/>
  <c r="AO19" i="1"/>
  <c r="AS15" i="1"/>
  <c r="FI67" i="1" l="1"/>
  <c r="FJ67" i="1"/>
  <c r="FF67" i="1"/>
  <c r="FD67" i="1"/>
  <c r="FC67" i="1"/>
  <c r="FG67" i="1"/>
  <c r="FE67" i="1"/>
  <c r="FH67" i="1"/>
  <c r="DN67" i="1"/>
  <c r="DI67" i="1"/>
  <c r="DH67" i="1"/>
  <c r="DJ67" i="1"/>
  <c r="DL67" i="1"/>
  <c r="EZ67" i="1"/>
  <c r="EX67" i="1"/>
  <c r="ET67" i="1"/>
  <c r="EV67" i="1"/>
  <c r="EU67" i="1"/>
  <c r="FA67" i="1"/>
  <c r="EW67" i="1"/>
  <c r="EY67" i="1"/>
  <c r="DJ17" i="1"/>
  <c r="DM17" i="1"/>
  <c r="DN17" i="1"/>
  <c r="DL17" i="1"/>
  <c r="DI17" i="1"/>
  <c r="DH17" i="1"/>
  <c r="BL69" i="1"/>
  <c r="CR69" i="1"/>
  <c r="CS68" i="1"/>
  <c r="BM68" i="1"/>
  <c r="CU66" i="1"/>
  <c r="BO66" i="1"/>
  <c r="CT68" i="1"/>
  <c r="BN68" i="1"/>
  <c r="BP65" i="1"/>
  <c r="CV65" i="1"/>
  <c r="CW64" i="1"/>
  <c r="BQ64" i="1"/>
  <c r="G18" i="2"/>
  <c r="GD14" i="1"/>
  <c r="FT14" i="1"/>
  <c r="EV14" i="1"/>
  <c r="FG14" i="1"/>
  <c r="FL14" i="1"/>
  <c r="FE14" i="1"/>
  <c r="FQ14" i="1"/>
  <c r="FN14" i="1"/>
  <c r="FZ14" i="1"/>
  <c r="EH14" i="1"/>
  <c r="EX14" i="1"/>
  <c r="EE14" i="1"/>
  <c r="FW14" i="1"/>
  <c r="DT14" i="1"/>
  <c r="EL14" i="1"/>
  <c r="DZ14" i="1"/>
  <c r="DY14" i="1"/>
  <c r="EN14" i="1"/>
  <c r="EU14" i="1"/>
  <c r="EZ14" i="1"/>
  <c r="FR14" i="1"/>
  <c r="FS14" i="1"/>
  <c r="DV14" i="1"/>
  <c r="GB14" i="1"/>
  <c r="FM14" i="1"/>
  <c r="FF14" i="1"/>
  <c r="EC14" i="1"/>
  <c r="EB14" i="1"/>
  <c r="EW14" i="1"/>
  <c r="FC14" i="1"/>
  <c r="GF14" i="1"/>
  <c r="EO14" i="1"/>
  <c r="FU14" i="1"/>
  <c r="DS14" i="1"/>
  <c r="GE14" i="1"/>
  <c r="FY14" i="1"/>
  <c r="FA14" i="1"/>
  <c r="FD14" i="1"/>
  <c r="EJ14" i="1"/>
  <c r="DX14" i="1"/>
  <c r="DQ14" i="1"/>
  <c r="EI14" i="1"/>
  <c r="EQ14" i="1"/>
  <c r="ER14" i="1"/>
  <c r="FJ14" i="1"/>
  <c r="FX14" i="1"/>
  <c r="EG14" i="1"/>
  <c r="EA14" i="1"/>
  <c r="EY14" i="1"/>
  <c r="GC14" i="1"/>
  <c r="EK14" i="1"/>
  <c r="DW14" i="1"/>
  <c r="GA14" i="1"/>
  <c r="FP14" i="1"/>
  <c r="FH14" i="1"/>
  <c r="FI14" i="1"/>
  <c r="DC16" i="1"/>
  <c r="CU16" i="1"/>
  <c r="CM16" i="1"/>
  <c r="BO16" i="1"/>
  <c r="CE16" i="1"/>
  <c r="BW16" i="1"/>
  <c r="CT18" i="1"/>
  <c r="DB18" i="1"/>
  <c r="CL18" i="1"/>
  <c r="CD18" i="1"/>
  <c r="BV18" i="1"/>
  <c r="BN18" i="1"/>
  <c r="DD15" i="1"/>
  <c r="FU15" i="1" s="1"/>
  <c r="CV15" i="1"/>
  <c r="EZ15" i="1" s="1"/>
  <c r="CN15" i="1"/>
  <c r="BX15" i="1"/>
  <c r="DT15" i="1" s="1"/>
  <c r="CF15" i="1"/>
  <c r="BP15" i="1"/>
  <c r="BG17" i="1"/>
  <c r="AY17" i="1"/>
  <c r="I17" i="2" s="1"/>
  <c r="BI15" i="1"/>
  <c r="BA15" i="1"/>
  <c r="K15" i="2" s="1"/>
  <c r="BH16" i="1"/>
  <c r="AZ16" i="1"/>
  <c r="J16" i="2" s="1"/>
  <c r="CW14" i="1"/>
  <c r="DE14" i="1"/>
  <c r="CG14" i="1"/>
  <c r="BY14" i="1"/>
  <c r="CO14" i="1"/>
  <c r="BQ14" i="1"/>
  <c r="BF19" i="1"/>
  <c r="AX19" i="1"/>
  <c r="H19" i="2" s="1"/>
  <c r="BE19" i="1"/>
  <c r="AW19" i="1"/>
  <c r="G19" i="2" s="1"/>
  <c r="BD20" i="1"/>
  <c r="AV20" i="1"/>
  <c r="F20" i="2" s="1"/>
  <c r="CS18" i="1"/>
  <c r="DA18" i="1"/>
  <c r="CK18" i="1"/>
  <c r="CC18" i="1"/>
  <c r="BU18" i="1"/>
  <c r="BM18" i="1"/>
  <c r="CZ19" i="1"/>
  <c r="CR19" i="1"/>
  <c r="BT19" i="1"/>
  <c r="CB19" i="1"/>
  <c r="BL19" i="1"/>
  <c r="CJ19" i="1"/>
  <c r="AQ18" i="1"/>
  <c r="AP20" i="1"/>
  <c r="AS16" i="1"/>
  <c r="AR17" i="1"/>
  <c r="AO20" i="1"/>
  <c r="AN21" i="1"/>
  <c r="DL68" i="1" l="1"/>
  <c r="DJ68" i="1"/>
  <c r="DN68" i="1"/>
  <c r="DI68" i="1"/>
  <c r="DH68" i="1"/>
  <c r="FE68" i="1"/>
  <c r="EY68" i="1"/>
  <c r="EX68" i="1"/>
  <c r="FI68" i="1"/>
  <c r="FA68" i="1"/>
  <c r="FD68" i="1"/>
  <c r="EW68" i="1"/>
  <c r="EU68" i="1"/>
  <c r="ET68" i="1"/>
  <c r="FC68" i="1"/>
  <c r="FJ68" i="1"/>
  <c r="FF68" i="1"/>
  <c r="FH68" i="1"/>
  <c r="EZ68" i="1"/>
  <c r="EV68" i="1"/>
  <c r="FG68" i="1"/>
  <c r="DJ18" i="1"/>
  <c r="DL18" i="1"/>
  <c r="DI18" i="1"/>
  <c r="DN18" i="1"/>
  <c r="DM18" i="1"/>
  <c r="DH18" i="1"/>
  <c r="CR70" i="1"/>
  <c r="BL70" i="1"/>
  <c r="CU67" i="1"/>
  <c r="BO67" i="1"/>
  <c r="CS69" i="1"/>
  <c r="BM69" i="1"/>
  <c r="BN69" i="1"/>
  <c r="CT69" i="1"/>
  <c r="CV66" i="1"/>
  <c r="BP66" i="1"/>
  <c r="CW65" i="1"/>
  <c r="BQ65" i="1"/>
  <c r="FI15" i="1"/>
  <c r="EW15" i="1"/>
  <c r="EJ15" i="1"/>
  <c r="FG15" i="1"/>
  <c r="FD15" i="1"/>
  <c r="DQ15" i="1"/>
  <c r="EF15" i="1"/>
  <c r="FY15" i="1"/>
  <c r="EL15" i="1"/>
  <c r="FH15" i="1"/>
  <c r="FN15" i="1"/>
  <c r="DV15" i="1"/>
  <c r="FP15" i="1"/>
  <c r="EH15" i="1"/>
  <c r="GF15" i="1"/>
  <c r="ER15" i="1"/>
  <c r="GB15" i="1"/>
  <c r="GA15" i="1"/>
  <c r="EY15" i="1"/>
  <c r="GC15" i="1"/>
  <c r="EX15" i="1"/>
  <c r="FW15" i="1"/>
  <c r="FQ15" i="1"/>
  <c r="EN15" i="1"/>
  <c r="FC15" i="1"/>
  <c r="FT15" i="1"/>
  <c r="GD15" i="1"/>
  <c r="DZ15" i="1"/>
  <c r="EB15" i="1"/>
  <c r="ET15" i="1"/>
  <c r="DS15" i="1"/>
  <c r="EV15" i="1"/>
  <c r="DW15" i="1"/>
  <c r="EC15" i="1"/>
  <c r="DX15" i="1"/>
  <c r="FX15" i="1"/>
  <c r="FO15" i="1"/>
  <c r="EA15" i="1"/>
  <c r="DY15" i="1"/>
  <c r="EG15" i="1"/>
  <c r="FE15" i="1"/>
  <c r="FF15" i="1"/>
  <c r="EO15" i="1"/>
  <c r="EQ15" i="1"/>
  <c r="EE15" i="1"/>
  <c r="FR15" i="1"/>
  <c r="GE15" i="1"/>
  <c r="FL15" i="1"/>
  <c r="FS15" i="1"/>
  <c r="EK15" i="1"/>
  <c r="DP15" i="1"/>
  <c r="FJ15" i="1"/>
  <c r="EI15" i="1"/>
  <c r="EU15" i="1"/>
  <c r="FA15" i="1"/>
  <c r="FM15" i="1"/>
  <c r="FZ15" i="1"/>
  <c r="BH17" i="1"/>
  <c r="AZ17" i="1"/>
  <c r="J17" i="2" s="1"/>
  <c r="CT19" i="1"/>
  <c r="DB19" i="1"/>
  <c r="CD19" i="1"/>
  <c r="CL19" i="1"/>
  <c r="BV19" i="1"/>
  <c r="BN19" i="1"/>
  <c r="DD16" i="1"/>
  <c r="FX16" i="1" s="1"/>
  <c r="CN16" i="1"/>
  <c r="EO16" i="1" s="1"/>
  <c r="CV16" i="1"/>
  <c r="FI16" i="1" s="1"/>
  <c r="CF16" i="1"/>
  <c r="EI16" i="1" s="1"/>
  <c r="BP16" i="1"/>
  <c r="BX16" i="1"/>
  <c r="DP16" i="1" s="1"/>
  <c r="DE15" i="1"/>
  <c r="CO15" i="1"/>
  <c r="CW15" i="1"/>
  <c r="CG15" i="1"/>
  <c r="BQ15" i="1"/>
  <c r="BY15" i="1"/>
  <c r="BI16" i="1"/>
  <c r="BA16" i="1"/>
  <c r="K16" i="2" s="1"/>
  <c r="BD21" i="1"/>
  <c r="AV21" i="1"/>
  <c r="F21" i="2" s="1"/>
  <c r="BF20" i="1"/>
  <c r="AX20" i="1"/>
  <c r="H20" i="2" s="1"/>
  <c r="CZ20" i="1"/>
  <c r="CJ20" i="1"/>
  <c r="CR20" i="1"/>
  <c r="CB20" i="1"/>
  <c r="BT20" i="1"/>
  <c r="BL20" i="1"/>
  <c r="CU17" i="1"/>
  <c r="CE17" i="1"/>
  <c r="DC17" i="1"/>
  <c r="BW17" i="1"/>
  <c r="BO17" i="1"/>
  <c r="CM17" i="1"/>
  <c r="BE20" i="1"/>
  <c r="AW20" i="1"/>
  <c r="G20" i="2" s="1"/>
  <c r="BG18" i="1"/>
  <c r="AY18" i="1"/>
  <c r="I18" i="2" s="1"/>
  <c r="DA19" i="1"/>
  <c r="CS19" i="1"/>
  <c r="CC19" i="1"/>
  <c r="CK19" i="1"/>
  <c r="BM19" i="1"/>
  <c r="BU19" i="1"/>
  <c r="AR18" i="1"/>
  <c r="AS17" i="1"/>
  <c r="AN22" i="1"/>
  <c r="AP21" i="1"/>
  <c r="AO21" i="1"/>
  <c r="AQ19" i="1"/>
  <c r="DJ69" i="1" l="1"/>
  <c r="DN69" i="1"/>
  <c r="DL69" i="1"/>
  <c r="DI69" i="1"/>
  <c r="DH69" i="1"/>
  <c r="ET69" i="1"/>
  <c r="FJ69" i="1"/>
  <c r="FI69" i="1"/>
  <c r="FH69" i="1"/>
  <c r="EX69" i="1"/>
  <c r="FE69" i="1"/>
  <c r="EW69" i="1"/>
  <c r="EU69" i="1"/>
  <c r="FD69" i="1"/>
  <c r="FC69" i="1"/>
  <c r="FA69" i="1"/>
  <c r="FF69" i="1"/>
  <c r="EY69" i="1"/>
  <c r="EV69" i="1"/>
  <c r="EZ69" i="1"/>
  <c r="FG69" i="1"/>
  <c r="DI19" i="1"/>
  <c r="DH19" i="1"/>
  <c r="DJ19" i="1"/>
  <c r="DN19" i="1"/>
  <c r="DL19" i="1"/>
  <c r="DM19" i="1"/>
  <c r="CU68" i="1"/>
  <c r="BO68" i="1"/>
  <c r="CT70" i="1"/>
  <c r="BN70" i="1"/>
  <c r="CV67" i="1"/>
  <c r="BP67" i="1"/>
  <c r="BM70" i="1"/>
  <c r="CS70" i="1"/>
  <c r="CR71" i="1"/>
  <c r="BL71" i="1"/>
  <c r="BQ66" i="1"/>
  <c r="CW66" i="1"/>
  <c r="FC17" i="1"/>
  <c r="EU17" i="1"/>
  <c r="EY17" i="1"/>
  <c r="FD17" i="1"/>
  <c r="FH17" i="1"/>
  <c r="FH16" i="1"/>
  <c r="EJ16" i="1"/>
  <c r="FU16" i="1"/>
  <c r="FY16" i="1"/>
  <c r="DQ16" i="1"/>
  <c r="EA16" i="1"/>
  <c r="FC16" i="1"/>
  <c r="FD16" i="1"/>
  <c r="EL16" i="1"/>
  <c r="GE16" i="1"/>
  <c r="FZ16" i="1"/>
  <c r="DS16" i="1"/>
  <c r="EN16" i="1"/>
  <c r="DT16" i="1"/>
  <c r="FT16" i="1"/>
  <c r="EU16" i="1"/>
  <c r="EZ16" i="1"/>
  <c r="FO16" i="1"/>
  <c r="FM16" i="1"/>
  <c r="EH16" i="1"/>
  <c r="FA16" i="1"/>
  <c r="EB16" i="1"/>
  <c r="EY16" i="1"/>
  <c r="GB16" i="1"/>
  <c r="FQ16" i="1"/>
  <c r="EK16" i="1"/>
  <c r="FE16" i="1"/>
  <c r="EG16" i="1"/>
  <c r="GA16" i="1"/>
  <c r="FR16" i="1"/>
  <c r="EV16" i="1"/>
  <c r="ER16" i="1"/>
  <c r="ET16" i="1"/>
  <c r="DW16" i="1"/>
  <c r="FW16" i="1"/>
  <c r="FL16" i="1"/>
  <c r="EQ16" i="1"/>
  <c r="FF16" i="1"/>
  <c r="FJ16" i="1"/>
  <c r="EE16" i="1"/>
  <c r="EF16" i="1"/>
  <c r="FS16" i="1"/>
  <c r="FN16" i="1"/>
  <c r="DV16" i="1"/>
  <c r="DY16" i="1"/>
  <c r="FG16" i="1"/>
  <c r="EX16" i="1"/>
  <c r="DZ16" i="1"/>
  <c r="EC16" i="1"/>
  <c r="FP16" i="1"/>
  <c r="GC16" i="1"/>
  <c r="DX16" i="1"/>
  <c r="EW16" i="1"/>
  <c r="GD16" i="1"/>
  <c r="GF16" i="1"/>
  <c r="BF21" i="1"/>
  <c r="AX21" i="1"/>
  <c r="H21" i="2" s="1"/>
  <c r="DA20" i="1"/>
  <c r="CS20" i="1"/>
  <c r="CK20" i="1"/>
  <c r="BU20" i="1"/>
  <c r="CC20" i="1"/>
  <c r="BM20" i="1"/>
  <c r="CZ21" i="1"/>
  <c r="CR21" i="1"/>
  <c r="CJ21" i="1"/>
  <c r="CB21" i="1"/>
  <c r="BT21" i="1"/>
  <c r="BL21" i="1"/>
  <c r="BD22" i="1"/>
  <c r="AV22" i="1"/>
  <c r="F22" i="2" s="1"/>
  <c r="DE16" i="1"/>
  <c r="CW16" i="1"/>
  <c r="BY16" i="1"/>
  <c r="CO16" i="1"/>
  <c r="CG16" i="1"/>
  <c r="BQ16" i="1"/>
  <c r="BI17" i="1"/>
  <c r="BA17" i="1"/>
  <c r="K17" i="2" s="1"/>
  <c r="BG19" i="1"/>
  <c r="AY19" i="1"/>
  <c r="BE21" i="1"/>
  <c r="AW21" i="1"/>
  <c r="G21" i="2" s="1"/>
  <c r="BH18" i="1"/>
  <c r="AZ18" i="1"/>
  <c r="J18" i="2" s="1"/>
  <c r="CU18" i="1"/>
  <c r="DC18" i="1"/>
  <c r="CE18" i="1"/>
  <c r="CM18" i="1"/>
  <c r="BW18" i="1"/>
  <c r="BO18" i="1"/>
  <c r="DB20" i="1"/>
  <c r="CT20" i="1"/>
  <c r="CL20" i="1"/>
  <c r="CD20" i="1"/>
  <c r="BN20" i="1"/>
  <c r="BV20" i="1"/>
  <c r="DD17" i="1"/>
  <c r="FZ17" i="1" s="1"/>
  <c r="CV17" i="1"/>
  <c r="FG17" i="1" s="1"/>
  <c r="CN17" i="1"/>
  <c r="EN17" i="1" s="1"/>
  <c r="BP17" i="1"/>
  <c r="CF17" i="1"/>
  <c r="DY17" i="1" s="1"/>
  <c r="BX17" i="1"/>
  <c r="DP17" i="1" s="1"/>
  <c r="AP22" i="1"/>
  <c r="AN23" i="1"/>
  <c r="AQ20" i="1"/>
  <c r="AS18" i="1"/>
  <c r="AO22" i="1"/>
  <c r="AO23" i="1" s="1"/>
  <c r="AR19" i="1"/>
  <c r="EY70" i="1" l="1"/>
  <c r="FC70" i="1"/>
  <c r="ET70" i="1"/>
  <c r="EU70" i="1"/>
  <c r="FJ70" i="1"/>
  <c r="FI70" i="1"/>
  <c r="FG70" i="1"/>
  <c r="EW70" i="1"/>
  <c r="FE70" i="1"/>
  <c r="FF70" i="1"/>
  <c r="FD70" i="1"/>
  <c r="FH70" i="1"/>
  <c r="FA70" i="1"/>
  <c r="EX70" i="1"/>
  <c r="EZ70" i="1"/>
  <c r="EV70" i="1"/>
  <c r="DL70" i="1"/>
  <c r="DI70" i="1"/>
  <c r="DH70" i="1"/>
  <c r="DN70" i="1"/>
  <c r="DJ70" i="1"/>
  <c r="DH20" i="1"/>
  <c r="DJ20" i="1"/>
  <c r="DI20" i="1"/>
  <c r="DM20" i="1"/>
  <c r="DN20" i="1"/>
  <c r="DL20" i="1"/>
  <c r="CW67" i="1"/>
  <c r="BQ67" i="1"/>
  <c r="CR72" i="1"/>
  <c r="BL72" i="1"/>
  <c r="CV68" i="1"/>
  <c r="BP68" i="1"/>
  <c r="CS71" i="1"/>
  <c r="BM71" i="1"/>
  <c r="CU69" i="1"/>
  <c r="BO69" i="1"/>
  <c r="CT71" i="1"/>
  <c r="BN71" i="1"/>
  <c r="AO24" i="1"/>
  <c r="BE23" i="1"/>
  <c r="AW23" i="1"/>
  <c r="G23" i="2" s="1"/>
  <c r="DT17" i="1"/>
  <c r="FL17" i="1"/>
  <c r="FW17" i="1"/>
  <c r="FM17" i="1"/>
  <c r="GE17" i="1"/>
  <c r="FE17" i="1"/>
  <c r="DX17" i="1"/>
  <c r="FU17" i="1"/>
  <c r="FN17" i="1"/>
  <c r="DZ17" i="1"/>
  <c r="DQ17" i="1"/>
  <c r="EW17" i="1"/>
  <c r="EJ17" i="1"/>
  <c r="EQ17" i="1"/>
  <c r="EF17" i="1"/>
  <c r="DS17" i="1"/>
  <c r="EG17" i="1"/>
  <c r="EL17" i="1"/>
  <c r="FX17" i="1"/>
  <c r="FJ17" i="1"/>
  <c r="EX17" i="1"/>
  <c r="EO17" i="1"/>
  <c r="EI17" i="1"/>
  <c r="GB17" i="1"/>
  <c r="EC17" i="1"/>
  <c r="ET17" i="1"/>
  <c r="FR17" i="1"/>
  <c r="FF17" i="1"/>
  <c r="FY17" i="1"/>
  <c r="EB17" i="1"/>
  <c r="GF17" i="1"/>
  <c r="ER17" i="1"/>
  <c r="DV17" i="1"/>
  <c r="EK17" i="1"/>
  <c r="FI17" i="1"/>
  <c r="GD17" i="1"/>
  <c r="FO17" i="1"/>
  <c r="DW17" i="1"/>
  <c r="EA17" i="1"/>
  <c r="GC17" i="1"/>
  <c r="EE17" i="1"/>
  <c r="FS17" i="1"/>
  <c r="FA17" i="1"/>
  <c r="EV17" i="1"/>
  <c r="EH17" i="1"/>
  <c r="FP17" i="1"/>
  <c r="EZ17" i="1"/>
  <c r="GA17" i="1"/>
  <c r="FQ17" i="1"/>
  <c r="FT17" i="1"/>
  <c r="I19" i="2"/>
  <c r="BI18" i="1"/>
  <c r="BA18" i="1"/>
  <c r="DE17" i="1"/>
  <c r="CO17" i="1"/>
  <c r="CW17" i="1"/>
  <c r="CG17" i="1"/>
  <c r="BQ17" i="1"/>
  <c r="BY17" i="1"/>
  <c r="CR22" i="1"/>
  <c r="CB22" i="1"/>
  <c r="CZ22" i="1"/>
  <c r="CJ22" i="1"/>
  <c r="BT22" i="1"/>
  <c r="BL22" i="1"/>
  <c r="BG20" i="1"/>
  <c r="AY20" i="1"/>
  <c r="I20" i="2" s="1"/>
  <c r="CV18" i="1"/>
  <c r="FC18" i="1" s="1"/>
  <c r="CF18" i="1"/>
  <c r="CN18" i="1"/>
  <c r="DD18" i="1"/>
  <c r="GB18" i="1" s="1"/>
  <c r="BX18" i="1"/>
  <c r="BP18" i="1"/>
  <c r="DA21" i="1"/>
  <c r="CK21" i="1"/>
  <c r="CS21" i="1"/>
  <c r="CC21" i="1"/>
  <c r="BU21" i="1"/>
  <c r="BM21" i="1"/>
  <c r="BH19" i="1"/>
  <c r="AZ19" i="1"/>
  <c r="J19" i="2" s="1"/>
  <c r="BD23" i="1"/>
  <c r="AV23" i="1"/>
  <c r="F23" i="2" s="1"/>
  <c r="BE22" i="1"/>
  <c r="AW22" i="1"/>
  <c r="G22" i="2" s="1"/>
  <c r="BF22" i="1"/>
  <c r="AX22" i="1"/>
  <c r="H22" i="2" s="1"/>
  <c r="CU19" i="1"/>
  <c r="DC19" i="1"/>
  <c r="CM19" i="1"/>
  <c r="CE19" i="1"/>
  <c r="BW19" i="1"/>
  <c r="BO19" i="1"/>
  <c r="DB21" i="1"/>
  <c r="CT21" i="1"/>
  <c r="BV21" i="1"/>
  <c r="CL21" i="1"/>
  <c r="CD21" i="1"/>
  <c r="BN21" i="1"/>
  <c r="AS19" i="1"/>
  <c r="K18" i="2"/>
  <c r="AQ21" i="1"/>
  <c r="AR20" i="1"/>
  <c r="AN24" i="1"/>
  <c r="DN71" i="1" l="1"/>
  <c r="DL71" i="1"/>
  <c r="DH71" i="1"/>
  <c r="DI71" i="1"/>
  <c r="DJ71" i="1"/>
  <c r="FJ71" i="1"/>
  <c r="FC71" i="1"/>
  <c r="EW71" i="1"/>
  <c r="FD71" i="1"/>
  <c r="FA71" i="1"/>
  <c r="FI71" i="1"/>
  <c r="ET71" i="1"/>
  <c r="EX71" i="1"/>
  <c r="FH71" i="1"/>
  <c r="FF71" i="1"/>
  <c r="FE71" i="1"/>
  <c r="EY71" i="1"/>
  <c r="FG71" i="1"/>
  <c r="EZ71" i="1"/>
  <c r="EU71" i="1"/>
  <c r="EV71" i="1"/>
  <c r="DJ21" i="1"/>
  <c r="DH21" i="1"/>
  <c r="DM21" i="1"/>
  <c r="DN21" i="1"/>
  <c r="DL21" i="1"/>
  <c r="DI21" i="1"/>
  <c r="CV69" i="1"/>
  <c r="BP69" i="1"/>
  <c r="CS73" i="1"/>
  <c r="BM73" i="1"/>
  <c r="CT72" i="1"/>
  <c r="BN72" i="1"/>
  <c r="CW68" i="1"/>
  <c r="BQ68" i="1"/>
  <c r="CS72" i="1"/>
  <c r="BM72" i="1"/>
  <c r="CR73" i="1"/>
  <c r="BL73" i="1"/>
  <c r="CU70" i="1"/>
  <c r="BO70" i="1"/>
  <c r="CK23" i="1"/>
  <c r="DA23" i="1"/>
  <c r="CS23" i="1"/>
  <c r="BM23" i="1"/>
  <c r="CC23" i="1"/>
  <c r="BU23" i="1"/>
  <c r="BE24" i="1"/>
  <c r="AW24" i="1"/>
  <c r="G24" i="2" s="1"/>
  <c r="U1" i="2" s="1"/>
  <c r="FE18" i="1"/>
  <c r="FD18" i="1"/>
  <c r="FN18" i="1"/>
  <c r="FX18" i="1"/>
  <c r="EJ18" i="1"/>
  <c r="ER18" i="1"/>
  <c r="FZ18" i="1"/>
  <c r="EX18" i="1"/>
  <c r="FM18" i="1"/>
  <c r="FI18" i="1"/>
  <c r="GD18" i="1"/>
  <c r="EG18" i="1"/>
  <c r="FF18" i="1"/>
  <c r="EA18" i="1"/>
  <c r="EZ18" i="1"/>
  <c r="FQ18" i="1"/>
  <c r="DQ18" i="1"/>
  <c r="EC18" i="1"/>
  <c r="EB18" i="1"/>
  <c r="FA18" i="1"/>
  <c r="FT18" i="1"/>
  <c r="FJ18" i="1"/>
  <c r="GA18" i="1"/>
  <c r="FH18" i="1"/>
  <c r="DZ18" i="1"/>
  <c r="DY18" i="1"/>
  <c r="DS18" i="1"/>
  <c r="EV18" i="1"/>
  <c r="EW18" i="1"/>
  <c r="FY18" i="1"/>
  <c r="EH18" i="1"/>
  <c r="FU18" i="1"/>
  <c r="EI18" i="1"/>
  <c r="EL18" i="1"/>
  <c r="GF18" i="1"/>
  <c r="EY18" i="1"/>
  <c r="FG18" i="1"/>
  <c r="FP18" i="1"/>
  <c r="GE18" i="1"/>
  <c r="FW18" i="1"/>
  <c r="EE18" i="1"/>
  <c r="DV18" i="1"/>
  <c r="EO18" i="1"/>
  <c r="EQ18" i="1"/>
  <c r="DP18" i="1"/>
  <c r="ET18" i="1"/>
  <c r="DW18" i="1"/>
  <c r="FL18" i="1"/>
  <c r="GC18" i="1"/>
  <c r="DX18" i="1"/>
  <c r="DT18" i="1"/>
  <c r="EU18" i="1"/>
  <c r="EF18" i="1"/>
  <c r="FO18" i="1"/>
  <c r="FR18" i="1"/>
  <c r="FS18" i="1"/>
  <c r="EK18" i="1"/>
  <c r="EN18" i="1"/>
  <c r="EO19" i="1"/>
  <c r="FW19" i="1"/>
  <c r="FD19" i="1"/>
  <c r="CR23" i="1"/>
  <c r="CZ23" i="1"/>
  <c r="CB23" i="1"/>
  <c r="CJ23" i="1"/>
  <c r="BL23" i="1"/>
  <c r="BT23" i="1"/>
  <c r="CU20" i="1"/>
  <c r="DC20" i="1"/>
  <c r="CE20" i="1"/>
  <c r="CM20" i="1"/>
  <c r="BW20" i="1"/>
  <c r="BO20" i="1"/>
  <c r="BG21" i="1"/>
  <c r="AY21" i="1"/>
  <c r="I21" i="2" s="1"/>
  <c r="DB22" i="1"/>
  <c r="CL22" i="1"/>
  <c r="CT22" i="1"/>
  <c r="CD22" i="1"/>
  <c r="BV22" i="1"/>
  <c r="BN22" i="1"/>
  <c r="CV19" i="1"/>
  <c r="DD19" i="1"/>
  <c r="CF19" i="1"/>
  <c r="CN19" i="1"/>
  <c r="BX19" i="1"/>
  <c r="DT19" i="1" s="1"/>
  <c r="BP19" i="1"/>
  <c r="BH20" i="1"/>
  <c r="AZ20" i="1"/>
  <c r="J20" i="2" s="1"/>
  <c r="BI19" i="1"/>
  <c r="BA19" i="1"/>
  <c r="K19" i="2" s="1"/>
  <c r="DA22" i="1"/>
  <c r="CS22" i="1"/>
  <c r="CK22" i="1"/>
  <c r="CC22" i="1"/>
  <c r="BU22" i="1"/>
  <c r="BM22" i="1"/>
  <c r="BD24" i="1"/>
  <c r="AV24" i="1"/>
  <c r="F24" i="2" s="1"/>
  <c r="DE18" i="1"/>
  <c r="CW18" i="1"/>
  <c r="CO18" i="1"/>
  <c r="BY18" i="1"/>
  <c r="CG18" i="1"/>
  <c r="BQ18" i="1"/>
  <c r="AN25" i="1"/>
  <c r="AR21" i="1"/>
  <c r="AQ22" i="1"/>
  <c r="AS20" i="1"/>
  <c r="FA72" i="1" l="1"/>
  <c r="ET72" i="1"/>
  <c r="EW72" i="1"/>
  <c r="FD72" i="1"/>
  <c r="FH72" i="1"/>
  <c r="FG72" i="1"/>
  <c r="FI72" i="1"/>
  <c r="FF72" i="1"/>
  <c r="EV72" i="1"/>
  <c r="FE72" i="1"/>
  <c r="EX72" i="1"/>
  <c r="EU72" i="1"/>
  <c r="FJ72" i="1"/>
  <c r="FC72" i="1"/>
  <c r="EZ72" i="1"/>
  <c r="EY72" i="1"/>
  <c r="DM23" i="1"/>
  <c r="DL23" i="1"/>
  <c r="DN23" i="1"/>
  <c r="DI23" i="1"/>
  <c r="DH23" i="1"/>
  <c r="DJ23" i="1"/>
  <c r="DH72" i="1"/>
  <c r="DJ72" i="1"/>
  <c r="DL72" i="1"/>
  <c r="DN72" i="1"/>
  <c r="DI72" i="1"/>
  <c r="DI22" i="1"/>
  <c r="DH22" i="1"/>
  <c r="DM22" i="1"/>
  <c r="DL22" i="1"/>
  <c r="DJ22" i="1"/>
  <c r="DN22" i="1"/>
  <c r="DN73" i="1"/>
  <c r="DJ73" i="1"/>
  <c r="DH73" i="1"/>
  <c r="DL73" i="1"/>
  <c r="DI73" i="1"/>
  <c r="EV73" i="1"/>
  <c r="FC73" i="1"/>
  <c r="EW73" i="1"/>
  <c r="EZ73" i="1"/>
  <c r="FJ73" i="1"/>
  <c r="FF73" i="1"/>
  <c r="FI73" i="1"/>
  <c r="FD73" i="1"/>
  <c r="FG73" i="1"/>
  <c r="FE73" i="1"/>
  <c r="FH73" i="1"/>
  <c r="FA73" i="1"/>
  <c r="EX73" i="1"/>
  <c r="ET73" i="1"/>
  <c r="EU73" i="1"/>
  <c r="EY73" i="1"/>
  <c r="CR74" i="1"/>
  <c r="BL74" i="1"/>
  <c r="CW69" i="1"/>
  <c r="BQ69" i="1"/>
  <c r="CU71" i="1"/>
  <c r="BO71" i="1"/>
  <c r="CV70" i="1"/>
  <c r="BP70" i="1"/>
  <c r="CS74" i="1"/>
  <c r="BM74" i="1"/>
  <c r="CC24" i="1"/>
  <c r="DA24" i="1"/>
  <c r="BU24" i="1"/>
  <c r="CK24" i="1"/>
  <c r="CS24" i="1"/>
  <c r="BM24" i="1"/>
  <c r="DM73" i="1" s="1"/>
  <c r="EH19" i="1"/>
  <c r="EU19" i="1"/>
  <c r="FR19" i="1"/>
  <c r="EJ19" i="1"/>
  <c r="DS19" i="1"/>
  <c r="DZ19" i="1"/>
  <c r="GD19" i="1"/>
  <c r="EV19" i="1"/>
  <c r="FM19" i="1"/>
  <c r="FU19" i="1"/>
  <c r="DQ19" i="1"/>
  <c r="FL19" i="1"/>
  <c r="DY19" i="1"/>
  <c r="EB19" i="1"/>
  <c r="DP19" i="1"/>
  <c r="FA19" i="1"/>
  <c r="FC19" i="1"/>
  <c r="DW19" i="1"/>
  <c r="EQ19" i="1"/>
  <c r="DV19" i="1"/>
  <c r="FY19" i="1"/>
  <c r="EI19" i="1"/>
  <c r="FE19" i="1"/>
  <c r="EK19" i="1"/>
  <c r="EN19" i="1"/>
  <c r="ET19" i="1"/>
  <c r="ER19" i="1"/>
  <c r="FG19" i="1"/>
  <c r="FI19" i="1"/>
  <c r="FQ19" i="1"/>
  <c r="FN19" i="1"/>
  <c r="EA19" i="1"/>
  <c r="EC19" i="1"/>
  <c r="FZ19" i="1"/>
  <c r="EZ19" i="1"/>
  <c r="GF19" i="1"/>
  <c r="DX19" i="1"/>
  <c r="FO19" i="1"/>
  <c r="FS19" i="1"/>
  <c r="EE19" i="1"/>
  <c r="FP19" i="1"/>
  <c r="EL19" i="1"/>
  <c r="FJ19" i="1"/>
  <c r="FX19" i="1"/>
  <c r="FT19" i="1"/>
  <c r="EX19" i="1"/>
  <c r="EG19" i="1"/>
  <c r="GA19" i="1"/>
  <c r="FC20" i="1"/>
  <c r="GC19" i="1"/>
  <c r="FF19" i="1"/>
  <c r="FH19" i="1"/>
  <c r="GB19" i="1"/>
  <c r="GE19" i="1"/>
  <c r="EF19" i="1"/>
  <c r="EY19" i="1"/>
  <c r="EW19" i="1"/>
  <c r="EA20" i="1"/>
  <c r="BD25" i="1"/>
  <c r="AV25" i="1"/>
  <c r="F25" i="2" s="1"/>
  <c r="CR24" i="1"/>
  <c r="CZ24" i="1"/>
  <c r="CJ24" i="1"/>
  <c r="CB24" i="1"/>
  <c r="BT24" i="1"/>
  <c r="BL24" i="1"/>
  <c r="CW19" i="1"/>
  <c r="CG19" i="1"/>
  <c r="DE19" i="1"/>
  <c r="CO19" i="1"/>
  <c r="BY19" i="1"/>
  <c r="BQ19" i="1"/>
  <c r="DC21" i="1"/>
  <c r="CM21" i="1"/>
  <c r="CE21" i="1"/>
  <c r="BW21" i="1"/>
  <c r="BO21" i="1"/>
  <c r="CU21" i="1"/>
  <c r="BI20" i="1"/>
  <c r="BA20" i="1"/>
  <c r="K20" i="2" s="1"/>
  <c r="CV20" i="1"/>
  <c r="DD20" i="1"/>
  <c r="CN20" i="1"/>
  <c r="ER20" i="1" s="1"/>
  <c r="CF20" i="1"/>
  <c r="BX20" i="1"/>
  <c r="DT20" i="1" s="1"/>
  <c r="BP20" i="1"/>
  <c r="BH21" i="1"/>
  <c r="AZ21" i="1"/>
  <c r="J21" i="2" s="1"/>
  <c r="BG22" i="1"/>
  <c r="AY22" i="1"/>
  <c r="I22" i="2" s="1"/>
  <c r="AS21" i="1"/>
  <c r="AQ23" i="1"/>
  <c r="AR22" i="1"/>
  <c r="AN26" i="1"/>
  <c r="DM72" i="1" l="1"/>
  <c r="DI74" i="1"/>
  <c r="GM19" i="1" s="1"/>
  <c r="U20" i="2" s="1"/>
  <c r="DJ74" i="1"/>
  <c r="GM20" i="1" s="1"/>
  <c r="U21" i="2" s="1"/>
  <c r="DN74" i="1"/>
  <c r="HC11" i="1" s="1"/>
  <c r="AE21" i="2" s="1"/>
  <c r="DH74" i="1"/>
  <c r="GM18" i="1" s="1"/>
  <c r="U19" i="2" s="1"/>
  <c r="DL74" i="1"/>
  <c r="HC9" i="1" s="1"/>
  <c r="AE19" i="2" s="1"/>
  <c r="EY74" i="1"/>
  <c r="HH7" i="1" s="1"/>
  <c r="AE10" i="2" s="1"/>
  <c r="EZ74" i="1"/>
  <c r="HH8" i="1" s="1"/>
  <c r="AE11" i="2" s="1"/>
  <c r="FI74" i="1"/>
  <c r="HH27" i="1" s="1"/>
  <c r="U11" i="2" s="1"/>
  <c r="FE74" i="1"/>
  <c r="HH23" i="1" s="1"/>
  <c r="U7" i="2" s="1"/>
  <c r="FJ74" i="1"/>
  <c r="HH28" i="1" s="1"/>
  <c r="U12" i="2" s="1"/>
  <c r="EU74" i="1"/>
  <c r="HH3" i="1" s="1"/>
  <c r="AE6" i="2" s="1"/>
  <c r="EX74" i="1"/>
  <c r="HH6" i="1" s="1"/>
  <c r="AE9" i="2" s="1"/>
  <c r="FF74" i="1"/>
  <c r="HH24" i="1" s="1"/>
  <c r="U8" i="2" s="1"/>
  <c r="FA74" i="1"/>
  <c r="HH9" i="1" s="1"/>
  <c r="AE12" i="2" s="1"/>
  <c r="EV74" i="1"/>
  <c r="HH4" i="1" s="1"/>
  <c r="AE7" i="2" s="1"/>
  <c r="FD74" i="1"/>
  <c r="HH22" i="1" s="1"/>
  <c r="U6" i="2" s="1"/>
  <c r="FG74" i="1"/>
  <c r="HH25" i="1" s="1"/>
  <c r="U9" i="2" s="1"/>
  <c r="FC74" i="1"/>
  <c r="HH21" i="1" s="1"/>
  <c r="U5" i="2" s="1"/>
  <c r="ET74" i="1"/>
  <c r="HH2" i="1" s="1"/>
  <c r="AE5" i="2" s="1"/>
  <c r="FH74" i="1"/>
  <c r="HH26" i="1" s="1"/>
  <c r="U10" i="2" s="1"/>
  <c r="EW74" i="1"/>
  <c r="HH5" i="1" s="1"/>
  <c r="AE8" i="2" s="1"/>
  <c r="DM74" i="1"/>
  <c r="DN24" i="1"/>
  <c r="DH24" i="1"/>
  <c r="DJ24" i="1"/>
  <c r="DM24" i="1"/>
  <c r="DL24" i="1"/>
  <c r="DI24" i="1"/>
  <c r="CW70" i="1"/>
  <c r="BQ70" i="1"/>
  <c r="BP71" i="1"/>
  <c r="CV71" i="1"/>
  <c r="BL75" i="1"/>
  <c r="CR75" i="1"/>
  <c r="CU72" i="1"/>
  <c r="BO72" i="1"/>
  <c r="EK20" i="1"/>
  <c r="FJ20" i="1"/>
  <c r="FL20" i="1"/>
  <c r="ET20" i="1"/>
  <c r="FO20" i="1"/>
  <c r="FT20" i="1"/>
  <c r="FW20" i="1"/>
  <c r="DV20" i="1"/>
  <c r="DP20" i="1"/>
  <c r="DQ20" i="1"/>
  <c r="GA20" i="1"/>
  <c r="GB20" i="1"/>
  <c r="FF20" i="1"/>
  <c r="EN20" i="1"/>
  <c r="FX20" i="1"/>
  <c r="EJ20" i="1"/>
  <c r="FA20" i="1"/>
  <c r="EY20" i="1"/>
  <c r="FS20" i="1"/>
  <c r="GF20" i="1"/>
  <c r="EE20" i="1"/>
  <c r="GD20" i="1"/>
  <c r="FD20" i="1"/>
  <c r="EZ20" i="1"/>
  <c r="DW20" i="1"/>
  <c r="DZ20" i="1"/>
  <c r="FR20" i="1"/>
  <c r="EB20" i="1"/>
  <c r="DS20" i="1"/>
  <c r="FH20" i="1"/>
  <c r="FG20" i="1"/>
  <c r="FE20" i="1"/>
  <c r="GC20" i="1"/>
  <c r="EQ20" i="1"/>
  <c r="FN20" i="1"/>
  <c r="EL20" i="1"/>
  <c r="EI20" i="1"/>
  <c r="EH20" i="1"/>
  <c r="EO20" i="1"/>
  <c r="EU20" i="1"/>
  <c r="EG20" i="1"/>
  <c r="FY20" i="1"/>
  <c r="GE20" i="1"/>
  <c r="DY20" i="1"/>
  <c r="DS21" i="1"/>
  <c r="EC20" i="1"/>
  <c r="EW20" i="1"/>
  <c r="EV20" i="1"/>
  <c r="DX20" i="1"/>
  <c r="FM20" i="1"/>
  <c r="FP20" i="1"/>
  <c r="FU20" i="1"/>
  <c r="FW21" i="1"/>
  <c r="FI20" i="1"/>
  <c r="FZ20" i="1"/>
  <c r="FQ20" i="1"/>
  <c r="EF20" i="1"/>
  <c r="GA21" i="1"/>
  <c r="EX20" i="1"/>
  <c r="EL24" i="1"/>
  <c r="EI24" i="1"/>
  <c r="DV24" i="1"/>
  <c r="EK24" i="1"/>
  <c r="EB24" i="1"/>
  <c r="EH24" i="1"/>
  <c r="EF24" i="1"/>
  <c r="EE24" i="1"/>
  <c r="EC24" i="1"/>
  <c r="EG24" i="1"/>
  <c r="DW24" i="1"/>
  <c r="DZ24" i="1"/>
  <c r="EJ24" i="1"/>
  <c r="DX24" i="1"/>
  <c r="EA24" i="1"/>
  <c r="DY24" i="1"/>
  <c r="EN24" i="1"/>
  <c r="EQ24" i="1"/>
  <c r="EO24" i="1"/>
  <c r="ER24" i="1"/>
  <c r="FS24" i="1"/>
  <c r="GF24" i="1"/>
  <c r="FN24" i="1"/>
  <c r="FX24" i="1"/>
  <c r="GC24" i="1"/>
  <c r="FW24" i="1"/>
  <c r="FQ24" i="1"/>
  <c r="FO24" i="1"/>
  <c r="FM24" i="1"/>
  <c r="FZ24" i="1"/>
  <c r="FU24" i="1"/>
  <c r="FT24" i="1"/>
  <c r="FR24" i="1"/>
  <c r="GE24" i="1"/>
  <c r="FL24" i="1"/>
  <c r="GB24" i="1"/>
  <c r="GD24" i="1"/>
  <c r="GA24" i="1"/>
  <c r="FY24" i="1"/>
  <c r="FP24" i="1"/>
  <c r="DP24" i="1"/>
  <c r="DT24" i="1"/>
  <c r="DS24" i="1"/>
  <c r="DQ24" i="1"/>
  <c r="EY24" i="1"/>
  <c r="FA24" i="1"/>
  <c r="FJ24" i="1"/>
  <c r="EZ24" i="1"/>
  <c r="FC24" i="1"/>
  <c r="FF24" i="1"/>
  <c r="EV24" i="1"/>
  <c r="FG24" i="1"/>
  <c r="ET24" i="1"/>
  <c r="FE24" i="1"/>
  <c r="FI24" i="1"/>
  <c r="FD24" i="1"/>
  <c r="FH24" i="1"/>
  <c r="EW24" i="1"/>
  <c r="EU24" i="1"/>
  <c r="EX24" i="1"/>
  <c r="BH22" i="1"/>
  <c r="AZ22" i="1"/>
  <c r="CV21" i="1"/>
  <c r="FF21" i="1" s="1"/>
  <c r="DD21" i="1"/>
  <c r="CN21" i="1"/>
  <c r="CF21" i="1"/>
  <c r="BX21" i="1"/>
  <c r="BP21" i="1"/>
  <c r="CW20" i="1"/>
  <c r="DE20" i="1"/>
  <c r="CG20" i="1"/>
  <c r="CO20" i="1"/>
  <c r="BY20" i="1"/>
  <c r="BQ20" i="1"/>
  <c r="DC22" i="1"/>
  <c r="CU22" i="1"/>
  <c r="BW22" i="1"/>
  <c r="CM22" i="1"/>
  <c r="CE22" i="1"/>
  <c r="BO22" i="1"/>
  <c r="BG23" i="1"/>
  <c r="AY23" i="1"/>
  <c r="I23" i="2" s="1"/>
  <c r="BD26" i="1"/>
  <c r="AV26" i="1"/>
  <c r="F26" i="2" s="1"/>
  <c r="BI21" i="1"/>
  <c r="BA21" i="1"/>
  <c r="K21" i="2" s="1"/>
  <c r="CR25" i="1"/>
  <c r="CZ25" i="1"/>
  <c r="CJ25" i="1"/>
  <c r="CB25" i="1"/>
  <c r="BT25" i="1"/>
  <c r="BL25" i="1"/>
  <c r="AN27" i="1"/>
  <c r="AQ24" i="1"/>
  <c r="AS22" i="1"/>
  <c r="CW71" i="1" l="1"/>
  <c r="BQ71" i="1"/>
  <c r="CV72" i="1"/>
  <c r="BP72" i="1"/>
  <c r="CR76" i="1"/>
  <c r="BL76" i="1"/>
  <c r="CU73" i="1"/>
  <c r="BO73" i="1"/>
  <c r="EL21" i="1"/>
  <c r="EI21" i="1"/>
  <c r="FQ21" i="1"/>
  <c r="DY21" i="1"/>
  <c r="GB21" i="1"/>
  <c r="GE21" i="1"/>
  <c r="J22" i="2"/>
  <c r="GD21" i="1"/>
  <c r="EX21" i="1"/>
  <c r="EE21" i="1"/>
  <c r="FI21" i="1"/>
  <c r="EY21" i="1"/>
  <c r="FY21" i="1"/>
  <c r="FP21" i="1"/>
  <c r="FD21" i="1"/>
  <c r="DW21" i="1"/>
  <c r="ET21" i="1"/>
  <c r="ER21" i="1"/>
  <c r="EZ21" i="1"/>
  <c r="FN21" i="1"/>
  <c r="FJ21" i="1"/>
  <c r="FU21" i="1"/>
  <c r="FC21" i="1"/>
  <c r="DZ21" i="1"/>
  <c r="EJ21" i="1"/>
  <c r="EG21" i="1"/>
  <c r="DT21" i="1"/>
  <c r="FL21" i="1"/>
  <c r="FM21" i="1"/>
  <c r="DV21" i="1"/>
  <c r="EA21" i="1"/>
  <c r="FO21" i="1"/>
  <c r="DP21" i="1"/>
  <c r="EV21" i="1"/>
  <c r="EC21" i="1"/>
  <c r="EQ21" i="1"/>
  <c r="EN21" i="1"/>
  <c r="GC21" i="1"/>
  <c r="FH21" i="1"/>
  <c r="FE21" i="1"/>
  <c r="EO21" i="1"/>
  <c r="FT21" i="1"/>
  <c r="FZ21" i="1"/>
  <c r="FA21" i="1"/>
  <c r="GF21" i="1"/>
  <c r="EH21" i="1"/>
  <c r="FX21" i="1"/>
  <c r="GD22" i="1"/>
  <c r="EW21" i="1"/>
  <c r="DX21" i="1"/>
  <c r="FZ22" i="1"/>
  <c r="EB21" i="1"/>
  <c r="FS21" i="1"/>
  <c r="DQ21" i="1"/>
  <c r="EK21" i="1"/>
  <c r="EU21" i="1"/>
  <c r="EF21" i="1"/>
  <c r="FG21" i="1"/>
  <c r="FR21" i="1"/>
  <c r="DZ25" i="1"/>
  <c r="DY25" i="1"/>
  <c r="EJ25" i="1"/>
  <c r="EI25" i="1"/>
  <c r="DX25" i="1"/>
  <c r="DV25" i="1"/>
  <c r="EH25" i="1"/>
  <c r="EF25" i="1"/>
  <c r="EE25" i="1"/>
  <c r="EG25" i="1"/>
  <c r="EK25" i="1"/>
  <c r="EL25" i="1"/>
  <c r="EB25" i="1"/>
  <c r="DW25" i="1"/>
  <c r="EA25" i="1"/>
  <c r="EC25" i="1"/>
  <c r="EN25" i="1"/>
  <c r="EO25" i="1"/>
  <c r="ER25" i="1"/>
  <c r="EQ25" i="1"/>
  <c r="FZ25" i="1"/>
  <c r="GA25" i="1"/>
  <c r="GF25" i="1"/>
  <c r="GB25" i="1"/>
  <c r="FX25" i="1"/>
  <c r="GC25" i="1"/>
  <c r="FW25" i="1"/>
  <c r="FT25" i="1"/>
  <c r="FN25" i="1"/>
  <c r="FR25" i="1"/>
  <c r="FO25" i="1"/>
  <c r="FU25" i="1"/>
  <c r="GD25" i="1"/>
  <c r="FL25" i="1"/>
  <c r="FQ25" i="1"/>
  <c r="FM25" i="1"/>
  <c r="FP25" i="1"/>
  <c r="GE25" i="1"/>
  <c r="FS25" i="1"/>
  <c r="FY25" i="1"/>
  <c r="FE25" i="1"/>
  <c r="FF25" i="1"/>
  <c r="FI25" i="1"/>
  <c r="EY25" i="1"/>
  <c r="EV25" i="1"/>
  <c r="FJ25" i="1"/>
  <c r="FA25" i="1"/>
  <c r="FH25" i="1"/>
  <c r="FG25" i="1"/>
  <c r="ET25" i="1"/>
  <c r="FD25" i="1"/>
  <c r="EX25" i="1"/>
  <c r="EW25" i="1"/>
  <c r="EZ25" i="1"/>
  <c r="FC25" i="1"/>
  <c r="EU25" i="1"/>
  <c r="DP25" i="1"/>
  <c r="DQ25" i="1"/>
  <c r="DT25" i="1"/>
  <c r="DS25" i="1"/>
  <c r="CZ26" i="1"/>
  <c r="CJ26" i="1"/>
  <c r="CR26" i="1"/>
  <c r="CB26" i="1"/>
  <c r="BL26" i="1"/>
  <c r="BT26" i="1"/>
  <c r="DC23" i="1"/>
  <c r="GC23" i="1" s="1"/>
  <c r="CM23" i="1"/>
  <c r="EQ23" i="1" s="1"/>
  <c r="CU23" i="1"/>
  <c r="EU23" i="1" s="1"/>
  <c r="CE23" i="1"/>
  <c r="DW23" i="1" s="1"/>
  <c r="BO23" i="1"/>
  <c r="BW23" i="1"/>
  <c r="DS23" i="1" s="1"/>
  <c r="BI22" i="1"/>
  <c r="BA22" i="1"/>
  <c r="K22" i="2" s="1"/>
  <c r="BG24" i="1"/>
  <c r="AY24" i="1"/>
  <c r="I24" i="2" s="1"/>
  <c r="BD27" i="1"/>
  <c r="AV27" i="1"/>
  <c r="F27" i="2" s="1"/>
  <c r="CW21" i="1"/>
  <c r="DE21" i="1"/>
  <c r="CO21" i="1"/>
  <c r="CG21" i="1"/>
  <c r="BY21" i="1"/>
  <c r="BQ21" i="1"/>
  <c r="DD22" i="1"/>
  <c r="FR22" i="1" s="1"/>
  <c r="CN22" i="1"/>
  <c r="EQ22" i="1" s="1"/>
  <c r="CF22" i="1"/>
  <c r="EC22" i="1" s="1"/>
  <c r="CV22" i="1"/>
  <c r="FC22" i="1" s="1"/>
  <c r="BP22" i="1"/>
  <c r="BX22" i="1"/>
  <c r="DT22" i="1" s="1"/>
  <c r="AS23" i="1"/>
  <c r="AN28" i="1"/>
  <c r="CR77" i="1" l="1"/>
  <c r="BL77" i="1"/>
  <c r="CU74" i="1"/>
  <c r="BO74" i="1"/>
  <c r="CW72" i="1"/>
  <c r="BQ72" i="1"/>
  <c r="EW23" i="1"/>
  <c r="FJ23" i="1"/>
  <c r="FF23" i="1"/>
  <c r="EY23" i="1"/>
  <c r="FO23" i="1"/>
  <c r="FW23" i="1"/>
  <c r="GD23" i="1"/>
  <c r="FQ23" i="1"/>
  <c r="FL23" i="1"/>
  <c r="FY23" i="1"/>
  <c r="FU23" i="1"/>
  <c r="GE23" i="1"/>
  <c r="FN23" i="1"/>
  <c r="GB23" i="1"/>
  <c r="FR23" i="1"/>
  <c r="ER23" i="1"/>
  <c r="GF23" i="1"/>
  <c r="FZ23" i="1"/>
  <c r="FX23" i="1"/>
  <c r="GA23" i="1"/>
  <c r="DZ23" i="1"/>
  <c r="EA23" i="1"/>
  <c r="FT23" i="1"/>
  <c r="FP23" i="1"/>
  <c r="FS23" i="1"/>
  <c r="EB23" i="1"/>
  <c r="EG23" i="1"/>
  <c r="EL23" i="1"/>
  <c r="EF23" i="1"/>
  <c r="DV23" i="1"/>
  <c r="EK23" i="1"/>
  <c r="EX23" i="1"/>
  <c r="EJ23" i="1"/>
  <c r="EE23" i="1"/>
  <c r="DX23" i="1"/>
  <c r="EI23" i="1"/>
  <c r="FM23" i="1"/>
  <c r="DY23" i="1"/>
  <c r="EC23" i="1"/>
  <c r="EH23" i="1"/>
  <c r="EO23" i="1"/>
  <c r="EN23" i="1"/>
  <c r="DQ23" i="1"/>
  <c r="DP23" i="1"/>
  <c r="DT23" i="1"/>
  <c r="EV23" i="1"/>
  <c r="ET23" i="1"/>
  <c r="FE23" i="1"/>
  <c r="FC23" i="1"/>
  <c r="EZ23" i="1"/>
  <c r="FA23" i="1"/>
  <c r="FG23" i="1"/>
  <c r="FH23" i="1"/>
  <c r="FD23" i="1"/>
  <c r="FI23" i="1"/>
  <c r="FQ22" i="1"/>
  <c r="ET22" i="1"/>
  <c r="EW22" i="1"/>
  <c r="EN22" i="1"/>
  <c r="FY22" i="1"/>
  <c r="FW22" i="1"/>
  <c r="EE22" i="1"/>
  <c r="FL22" i="1"/>
  <c r="FT22" i="1"/>
  <c r="FM22" i="1"/>
  <c r="EG22" i="1"/>
  <c r="EB22" i="1"/>
  <c r="FA22" i="1"/>
  <c r="GE22" i="1"/>
  <c r="ER22" i="1"/>
  <c r="FS22" i="1"/>
  <c r="EX22" i="1"/>
  <c r="DP22" i="1"/>
  <c r="DV22" i="1"/>
  <c r="EA22" i="1"/>
  <c r="EH22" i="1"/>
  <c r="FP22" i="1"/>
  <c r="FD22" i="1"/>
  <c r="EF22" i="1"/>
  <c r="GA22" i="1"/>
  <c r="DW22" i="1"/>
  <c r="FH22" i="1"/>
  <c r="FG22" i="1"/>
  <c r="GB22" i="1"/>
  <c r="DQ22" i="1"/>
  <c r="DS22" i="1"/>
  <c r="EJ22" i="1"/>
  <c r="FO22" i="1"/>
  <c r="DZ22" i="1"/>
  <c r="EU22" i="1"/>
  <c r="FU22" i="1"/>
  <c r="EL22" i="1"/>
  <c r="EI22" i="1"/>
  <c r="DY22" i="1"/>
  <c r="GF22" i="1"/>
  <c r="FI22" i="1"/>
  <c r="FF22" i="1"/>
  <c r="DX22" i="1"/>
  <c r="FJ22" i="1"/>
  <c r="EV22" i="1"/>
  <c r="FN22" i="1"/>
  <c r="EK22" i="1"/>
  <c r="EO22" i="1"/>
  <c r="EZ22" i="1"/>
  <c r="FX22" i="1"/>
  <c r="EY22" i="1"/>
  <c r="FE22" i="1"/>
  <c r="GC22" i="1"/>
  <c r="DP26" i="1"/>
  <c r="DT26" i="1"/>
  <c r="DS26" i="1"/>
  <c r="DQ26" i="1"/>
  <c r="EI26" i="1"/>
  <c r="DW26" i="1"/>
  <c r="EL26" i="1"/>
  <c r="EB26" i="1"/>
  <c r="EC26" i="1"/>
  <c r="EK26" i="1"/>
  <c r="EE26" i="1"/>
  <c r="DV26" i="1"/>
  <c r="DZ26" i="1"/>
  <c r="DY26" i="1"/>
  <c r="EJ26" i="1"/>
  <c r="EA26" i="1"/>
  <c r="EG26" i="1"/>
  <c r="EH26" i="1"/>
  <c r="DX26" i="1"/>
  <c r="EF26" i="1"/>
  <c r="FE26" i="1"/>
  <c r="FG26" i="1"/>
  <c r="FH26" i="1"/>
  <c r="FA26" i="1"/>
  <c r="EV26" i="1"/>
  <c r="FJ26" i="1"/>
  <c r="EY26" i="1"/>
  <c r="FI26" i="1"/>
  <c r="FD26" i="1"/>
  <c r="EZ26" i="1"/>
  <c r="FF26" i="1"/>
  <c r="EX26" i="1"/>
  <c r="EU26" i="1"/>
  <c r="EW26" i="1"/>
  <c r="ET26" i="1"/>
  <c r="FC26" i="1"/>
  <c r="EN26" i="1"/>
  <c r="EQ26" i="1"/>
  <c r="EO26" i="1"/>
  <c r="ER26" i="1"/>
  <c r="FM26" i="1"/>
  <c r="GD26" i="1"/>
  <c r="GC26" i="1"/>
  <c r="FO26" i="1"/>
  <c r="FN26" i="1"/>
  <c r="FQ26" i="1"/>
  <c r="FT26" i="1"/>
  <c r="FY26" i="1"/>
  <c r="FR26" i="1"/>
  <c r="FP26" i="1"/>
  <c r="FX26" i="1"/>
  <c r="GF26" i="1"/>
  <c r="FZ26" i="1"/>
  <c r="FS26" i="1"/>
  <c r="GA26" i="1"/>
  <c r="FW26" i="1"/>
  <c r="GE26" i="1"/>
  <c r="FL26" i="1"/>
  <c r="GB26" i="1"/>
  <c r="FU26" i="1"/>
  <c r="BI23" i="1"/>
  <c r="BA23" i="1"/>
  <c r="K23" i="2" s="1"/>
  <c r="DC24" i="1"/>
  <c r="CU24" i="1"/>
  <c r="CM24" i="1"/>
  <c r="BO24" i="1"/>
  <c r="BW24" i="1"/>
  <c r="CE24" i="1"/>
  <c r="CW22" i="1"/>
  <c r="DE22" i="1"/>
  <c r="CO22" i="1"/>
  <c r="CG22" i="1"/>
  <c r="BY22" i="1"/>
  <c r="BQ22" i="1"/>
  <c r="BD28" i="1"/>
  <c r="AV28" i="1"/>
  <c r="F28" i="2" s="1"/>
  <c r="CZ27" i="1"/>
  <c r="CJ27" i="1"/>
  <c r="CR27" i="1"/>
  <c r="BT27" i="1"/>
  <c r="CB27" i="1"/>
  <c r="BL27" i="1"/>
  <c r="AN29" i="1"/>
  <c r="AS24" i="1"/>
  <c r="CW73" i="1" l="1"/>
  <c r="BQ73" i="1"/>
  <c r="CR78" i="1"/>
  <c r="BL78" i="1"/>
  <c r="EK27" i="1"/>
  <c r="EL27" i="1"/>
  <c r="EA27" i="1"/>
  <c r="DV27" i="1"/>
  <c r="EB27" i="1"/>
  <c r="EE27" i="1"/>
  <c r="DZ27" i="1"/>
  <c r="EG27" i="1"/>
  <c r="DY27" i="1"/>
  <c r="EI27" i="1"/>
  <c r="DX27" i="1"/>
  <c r="DW27" i="1"/>
  <c r="EJ27" i="1"/>
  <c r="EH27" i="1"/>
  <c r="EF27" i="1"/>
  <c r="EC27" i="1"/>
  <c r="DP27" i="1"/>
  <c r="DT27" i="1"/>
  <c r="DQ27" i="1"/>
  <c r="DS27" i="1"/>
  <c r="EU27" i="1"/>
  <c r="FJ27" i="1"/>
  <c r="EY27" i="1"/>
  <c r="EX27" i="1"/>
  <c r="FA27" i="1"/>
  <c r="ET27" i="1"/>
  <c r="EW27" i="1"/>
  <c r="FC27" i="1"/>
  <c r="FD27" i="1"/>
  <c r="FE27" i="1"/>
  <c r="EZ27" i="1"/>
  <c r="FF27" i="1"/>
  <c r="FG27" i="1"/>
  <c r="EV27" i="1"/>
  <c r="FH27" i="1"/>
  <c r="FI27" i="1"/>
  <c r="EO27" i="1"/>
  <c r="ER27" i="1"/>
  <c r="EN27" i="1"/>
  <c r="EQ27" i="1"/>
  <c r="FW27" i="1"/>
  <c r="FQ27" i="1"/>
  <c r="FS27" i="1"/>
  <c r="FT27" i="1"/>
  <c r="FL27" i="1"/>
  <c r="GB27" i="1"/>
  <c r="FO27" i="1"/>
  <c r="GD27" i="1"/>
  <c r="FZ27" i="1"/>
  <c r="GE27" i="1"/>
  <c r="GC27" i="1"/>
  <c r="GF27" i="1"/>
  <c r="FP27" i="1"/>
  <c r="FX27" i="1"/>
  <c r="FU27" i="1"/>
  <c r="FN27" i="1"/>
  <c r="GA27" i="1"/>
  <c r="FY27" i="1"/>
  <c r="FM27" i="1"/>
  <c r="FR27" i="1"/>
  <c r="CZ28" i="1"/>
  <c r="CJ28" i="1"/>
  <c r="CR28" i="1"/>
  <c r="BT28" i="1"/>
  <c r="CB28" i="1"/>
  <c r="BL28" i="1"/>
  <c r="BD29" i="1"/>
  <c r="AV29" i="1"/>
  <c r="F29" i="2" s="1"/>
  <c r="BI24" i="1"/>
  <c r="BA24" i="1"/>
  <c r="K24" i="2" s="1"/>
  <c r="DE23" i="1"/>
  <c r="CO23" i="1"/>
  <c r="CG23" i="1"/>
  <c r="CW23" i="1"/>
  <c r="BQ23" i="1"/>
  <c r="BY23" i="1"/>
  <c r="AS25" i="1"/>
  <c r="AN30" i="1"/>
  <c r="CR79" i="1" l="1"/>
  <c r="BL79" i="1"/>
  <c r="BQ74" i="1"/>
  <c r="CW74" i="1"/>
  <c r="EB28" i="1"/>
  <c r="EC28" i="1"/>
  <c r="EK28" i="1"/>
  <c r="EH28" i="1"/>
  <c r="EL28" i="1"/>
  <c r="DV28" i="1"/>
  <c r="EJ28" i="1"/>
  <c r="EI28" i="1"/>
  <c r="DY28" i="1"/>
  <c r="DX28" i="1"/>
  <c r="DZ28" i="1"/>
  <c r="EA28" i="1"/>
  <c r="EE28" i="1"/>
  <c r="EF28" i="1"/>
  <c r="EG28" i="1"/>
  <c r="DW28" i="1"/>
  <c r="DS28" i="1"/>
  <c r="DT28" i="1"/>
  <c r="DQ28" i="1"/>
  <c r="DP28" i="1"/>
  <c r="EO28" i="1"/>
  <c r="EN28" i="1"/>
  <c r="ER28" i="1"/>
  <c r="EQ28" i="1"/>
  <c r="EU28" i="1"/>
  <c r="FF28" i="1"/>
  <c r="EV28" i="1"/>
  <c r="EZ28" i="1"/>
  <c r="FD28" i="1"/>
  <c r="FA28" i="1"/>
  <c r="FC28" i="1"/>
  <c r="FG28" i="1"/>
  <c r="ET28" i="1"/>
  <c r="EY28" i="1"/>
  <c r="FE28" i="1"/>
  <c r="EW28" i="1"/>
  <c r="FH28" i="1"/>
  <c r="FI28" i="1"/>
  <c r="FJ28" i="1"/>
  <c r="EX28" i="1"/>
  <c r="FP28" i="1"/>
  <c r="FR28" i="1"/>
  <c r="FU28" i="1"/>
  <c r="GC28" i="1"/>
  <c r="FL28" i="1"/>
  <c r="GE28" i="1"/>
  <c r="GA28" i="1"/>
  <c r="FT28" i="1"/>
  <c r="FZ28" i="1"/>
  <c r="FQ28" i="1"/>
  <c r="FO28" i="1"/>
  <c r="GB28" i="1"/>
  <c r="GF28" i="1"/>
  <c r="FW28" i="1"/>
  <c r="GD28" i="1"/>
  <c r="FY28" i="1"/>
  <c r="FS28" i="1"/>
  <c r="FX28" i="1"/>
  <c r="FM28" i="1"/>
  <c r="FN28" i="1"/>
  <c r="CZ29" i="1"/>
  <c r="CJ29" i="1"/>
  <c r="CR29" i="1"/>
  <c r="CB29" i="1"/>
  <c r="BL29" i="1"/>
  <c r="BT29" i="1"/>
  <c r="BD30" i="1"/>
  <c r="AV30" i="1"/>
  <c r="F30" i="2" s="1"/>
  <c r="BI25" i="1"/>
  <c r="BA25" i="1"/>
  <c r="K25" i="2" s="1"/>
  <c r="DE24" i="1"/>
  <c r="CO24" i="1"/>
  <c r="CW24" i="1"/>
  <c r="BY24" i="1"/>
  <c r="CG24" i="1"/>
  <c r="BQ24" i="1"/>
  <c r="AS26" i="1"/>
  <c r="AN31" i="1"/>
  <c r="CR80" i="1" l="1"/>
  <c r="BL80" i="1"/>
  <c r="CW75" i="1"/>
  <c r="BQ75" i="1"/>
  <c r="EH29" i="1"/>
  <c r="EE29" i="1"/>
  <c r="EI29" i="1"/>
  <c r="EF29" i="1"/>
  <c r="EK29" i="1"/>
  <c r="EC29" i="1"/>
  <c r="EG29" i="1"/>
  <c r="DW29" i="1"/>
  <c r="EL29" i="1"/>
  <c r="DZ29" i="1"/>
  <c r="EB29" i="1"/>
  <c r="DX29" i="1"/>
  <c r="EJ29" i="1"/>
  <c r="DY29" i="1"/>
  <c r="EA29" i="1"/>
  <c r="DV29" i="1"/>
  <c r="FI29" i="1"/>
  <c r="FH29" i="1"/>
  <c r="EZ29" i="1"/>
  <c r="FC29" i="1"/>
  <c r="EU29" i="1"/>
  <c r="EV29" i="1"/>
  <c r="FE29" i="1"/>
  <c r="FA29" i="1"/>
  <c r="EX29" i="1"/>
  <c r="EY29" i="1"/>
  <c r="FF29" i="1"/>
  <c r="EW29" i="1"/>
  <c r="ET29" i="1"/>
  <c r="FD29" i="1"/>
  <c r="FJ29" i="1"/>
  <c r="FG29" i="1"/>
  <c r="ER29" i="1"/>
  <c r="EQ29" i="1"/>
  <c r="EN29" i="1"/>
  <c r="EO29" i="1"/>
  <c r="DT29" i="1"/>
  <c r="DS29" i="1"/>
  <c r="DQ29" i="1"/>
  <c r="DP29" i="1"/>
  <c r="FT29" i="1"/>
  <c r="FZ29" i="1"/>
  <c r="GA29" i="1"/>
  <c r="FP29" i="1"/>
  <c r="FO29" i="1"/>
  <c r="GF29" i="1"/>
  <c r="FW29" i="1"/>
  <c r="FS29" i="1"/>
  <c r="GD29" i="1"/>
  <c r="FX29" i="1"/>
  <c r="GB29" i="1"/>
  <c r="FN29" i="1"/>
  <c r="FM29" i="1"/>
  <c r="FR29" i="1"/>
  <c r="FU29" i="1"/>
  <c r="FQ29" i="1"/>
  <c r="GC29" i="1"/>
  <c r="FY29" i="1"/>
  <c r="FL29" i="1"/>
  <c r="GE29" i="1"/>
  <c r="CR30" i="1"/>
  <c r="CZ30" i="1"/>
  <c r="CB30" i="1"/>
  <c r="BT30" i="1"/>
  <c r="CJ30" i="1"/>
  <c r="BL30" i="1"/>
  <c r="BD31" i="1"/>
  <c r="AV31" i="1"/>
  <c r="BI26" i="1"/>
  <c r="BA26" i="1"/>
  <c r="K26" i="2" s="1"/>
  <c r="DE25" i="1"/>
  <c r="CO25" i="1"/>
  <c r="CW25" i="1"/>
  <c r="CG25" i="1"/>
  <c r="BQ25" i="1"/>
  <c r="BY25" i="1"/>
  <c r="AS27" i="1"/>
  <c r="HM22" i="1" l="1"/>
  <c r="N9" i="2" s="1"/>
  <c r="CR81" i="1"/>
  <c r="BL81" i="1"/>
  <c r="CW76" i="1"/>
  <c r="BQ76" i="1"/>
  <c r="F31" i="2"/>
  <c r="Z16" i="1"/>
  <c r="Z14" i="1"/>
  <c r="Z15" i="1"/>
  <c r="Z17" i="1"/>
  <c r="EO30" i="1"/>
  <c r="ER30" i="1"/>
  <c r="EN30" i="1"/>
  <c r="EQ30" i="1"/>
  <c r="EK30" i="1"/>
  <c r="GX8" i="1" s="1"/>
  <c r="EC30" i="1"/>
  <c r="GT8" i="1" s="1"/>
  <c r="EG30" i="1"/>
  <c r="GX11" i="1" s="1"/>
  <c r="Z14" i="2" s="1"/>
  <c r="EL30" i="1"/>
  <c r="GY12" i="1" s="1"/>
  <c r="AA16" i="2" s="1"/>
  <c r="EB30" i="1"/>
  <c r="GS12" i="1" s="1"/>
  <c r="P16" i="2" s="1"/>
  <c r="EE30" i="1"/>
  <c r="GV11" i="1" s="1"/>
  <c r="X14" i="2" s="1"/>
  <c r="EJ30" i="1"/>
  <c r="GW8" i="1" s="1"/>
  <c r="EF30" i="1"/>
  <c r="GW11" i="1" s="1"/>
  <c r="Y14" i="2" s="1"/>
  <c r="EA30" i="1"/>
  <c r="GR12" i="1" s="1"/>
  <c r="O16" i="2" s="1"/>
  <c r="DW30" i="1"/>
  <c r="GR7" i="1" s="1"/>
  <c r="DV30" i="1"/>
  <c r="GQ11" i="1" s="1"/>
  <c r="N14" i="2" s="1"/>
  <c r="DY30" i="1"/>
  <c r="GT7" i="1" s="1"/>
  <c r="DX30" i="1"/>
  <c r="GS11" i="1" s="1"/>
  <c r="P14" i="2" s="1"/>
  <c r="EI30" i="1"/>
  <c r="GV12" i="1" s="1"/>
  <c r="X16" i="2" s="1"/>
  <c r="EH30" i="1"/>
  <c r="GY7" i="1" s="1"/>
  <c r="DZ30" i="1"/>
  <c r="GQ8" i="1" s="1"/>
  <c r="DQ30" i="1"/>
  <c r="GS15" i="1" s="1"/>
  <c r="DP30" i="1"/>
  <c r="GQ15" i="1" s="1"/>
  <c r="DT30" i="1"/>
  <c r="GX15" i="1" s="1"/>
  <c r="DS30" i="1"/>
  <c r="GV13" i="1" s="1"/>
  <c r="X18" i="2" s="1"/>
  <c r="FY30" i="1"/>
  <c r="HO22" i="1" s="1"/>
  <c r="P9" i="2" s="1"/>
  <c r="GF30" i="1"/>
  <c r="GB30" i="1"/>
  <c r="HN24" i="1" s="1"/>
  <c r="FS30" i="1"/>
  <c r="HP8" i="1" s="1"/>
  <c r="FW30" i="1"/>
  <c r="HM25" i="1" s="1"/>
  <c r="GA30" i="1"/>
  <c r="HM24" i="1" s="1"/>
  <c r="FO30" i="1"/>
  <c r="HP13" i="1" s="1"/>
  <c r="AA9" i="2" s="1"/>
  <c r="FQ30" i="1"/>
  <c r="HN12" i="1" s="1"/>
  <c r="Y7" i="2" s="1"/>
  <c r="GD30" i="1"/>
  <c r="HP21" i="1" s="1"/>
  <c r="Q7" i="2" s="1"/>
  <c r="FN30" i="1"/>
  <c r="HO13" i="1" s="1"/>
  <c r="Z9" i="2" s="1"/>
  <c r="FU30" i="1"/>
  <c r="FL30" i="1"/>
  <c r="HM9" i="1" s="1"/>
  <c r="FR30" i="1"/>
  <c r="HO8" i="1" s="1"/>
  <c r="FX30" i="1"/>
  <c r="HN22" i="1" s="1"/>
  <c r="O9" i="2" s="1"/>
  <c r="FT30" i="1"/>
  <c r="FM30" i="1"/>
  <c r="HN9" i="1" s="1"/>
  <c r="GE30" i="1"/>
  <c r="HL17" i="1" s="1"/>
  <c r="FP30" i="1"/>
  <c r="HM12" i="1" s="1"/>
  <c r="X7" i="2" s="1"/>
  <c r="GC30" i="1"/>
  <c r="HO24" i="1" s="1"/>
  <c r="FZ30" i="1"/>
  <c r="HP22" i="1" s="1"/>
  <c r="Q9" i="2" s="1"/>
  <c r="EY30" i="1"/>
  <c r="FF30" i="1"/>
  <c r="EU30" i="1"/>
  <c r="EX30" i="1"/>
  <c r="FH30" i="1"/>
  <c r="FE30" i="1"/>
  <c r="EZ30" i="1"/>
  <c r="FA30" i="1"/>
  <c r="EV30" i="1"/>
  <c r="ET30" i="1"/>
  <c r="FI30" i="1"/>
  <c r="FC30" i="1"/>
  <c r="FD30" i="1"/>
  <c r="EW30" i="1"/>
  <c r="FG30" i="1"/>
  <c r="FJ30" i="1"/>
  <c r="CR31" i="1"/>
  <c r="CZ31" i="1"/>
  <c r="CJ31" i="1"/>
  <c r="CB31" i="1"/>
  <c r="BT31" i="1"/>
  <c r="BL31" i="1"/>
  <c r="BI27" i="1"/>
  <c r="BA27" i="1"/>
  <c r="K27" i="2" s="1"/>
  <c r="DE26" i="1"/>
  <c r="CO26" i="1"/>
  <c r="CW26" i="1"/>
  <c r="BQ26" i="1"/>
  <c r="CG26" i="1"/>
  <c r="BY26" i="1"/>
  <c r="DM65" i="1" l="1"/>
  <c r="DM64" i="1"/>
  <c r="DM67" i="1"/>
  <c r="DM66" i="1"/>
  <c r="DM69" i="1"/>
  <c r="DM60" i="1"/>
  <c r="DM62" i="1"/>
  <c r="DM59" i="1"/>
  <c r="DM70" i="1"/>
  <c r="DM71" i="1"/>
  <c r="DM55" i="1"/>
  <c r="DM58" i="1"/>
  <c r="DM56" i="1"/>
  <c r="DM61" i="1"/>
  <c r="DM68" i="1"/>
  <c r="DM63" i="1"/>
  <c r="DM57" i="1"/>
  <c r="GV7" i="1"/>
  <c r="GT12" i="1"/>
  <c r="Q16" i="2" s="1"/>
  <c r="GX13" i="1"/>
  <c r="Z18" i="2" s="1"/>
  <c r="GQ7" i="1"/>
  <c r="HP25" i="1"/>
  <c r="HN13" i="1"/>
  <c r="Y9" i="2" s="1"/>
  <c r="HM13" i="1"/>
  <c r="X9" i="2" s="1"/>
  <c r="GQ12" i="1"/>
  <c r="N16" i="2" s="1"/>
  <c r="GV15" i="1"/>
  <c r="GT11" i="1"/>
  <c r="Q14" i="2" s="1"/>
  <c r="GW12" i="1"/>
  <c r="Y16" i="2" s="1"/>
  <c r="HP9" i="1"/>
  <c r="GX7" i="1"/>
  <c r="HN25" i="1"/>
  <c r="HN8" i="1"/>
  <c r="GR8" i="1"/>
  <c r="HN21" i="1"/>
  <c r="O7" i="2" s="1"/>
  <c r="GX12" i="1"/>
  <c r="Z16" i="2" s="1"/>
  <c r="GR11" i="1"/>
  <c r="O14" i="2" s="1"/>
  <c r="HP12" i="1"/>
  <c r="AA7" i="2" s="1"/>
  <c r="GW7" i="1"/>
  <c r="HM8" i="1"/>
  <c r="GY8" i="1"/>
  <c r="HO25" i="1"/>
  <c r="GV8" i="1"/>
  <c r="GS8" i="1"/>
  <c r="HM21" i="1"/>
  <c r="N7" i="2" s="1"/>
  <c r="HO12" i="1"/>
  <c r="Z7" i="2" s="1"/>
  <c r="HO9" i="1"/>
  <c r="GY11" i="1"/>
  <c r="AA14" i="2" s="1"/>
  <c r="HO21" i="1"/>
  <c r="P7" i="2" s="1"/>
  <c r="HP24" i="1"/>
  <c r="GS7" i="1"/>
  <c r="CW77" i="1"/>
  <c r="FA93" i="1" s="1"/>
  <c r="HH42" i="1" s="1"/>
  <c r="BQ77" i="1"/>
  <c r="DL93" i="1" s="1"/>
  <c r="HC42" i="1" s="1"/>
  <c r="AE44" i="2" s="1"/>
  <c r="HA10" i="1"/>
  <c r="GQ19" i="1"/>
  <c r="GQ20" i="1"/>
  <c r="HA11" i="1"/>
  <c r="HD11" i="1" s="1"/>
  <c r="AF21" i="2" s="1"/>
  <c r="HA9" i="1"/>
  <c r="HD9" i="1" s="1"/>
  <c r="AF19" i="2" s="1"/>
  <c r="GQ18" i="1"/>
  <c r="DP31" i="1"/>
  <c r="GQ13" i="1" s="1"/>
  <c r="N18" i="2" s="1"/>
  <c r="DQ31" i="1"/>
  <c r="GS13" i="1" s="1"/>
  <c r="P18" i="2" s="1"/>
  <c r="DS31" i="1"/>
  <c r="DT31" i="1"/>
  <c r="EG31" i="1"/>
  <c r="EB31" i="1"/>
  <c r="EF31" i="1"/>
  <c r="EL31" i="1"/>
  <c r="DV31" i="1"/>
  <c r="EK31" i="1"/>
  <c r="DX31" i="1"/>
  <c r="EC31" i="1"/>
  <c r="EJ31" i="1"/>
  <c r="EA31" i="1"/>
  <c r="EI31" i="1"/>
  <c r="DY31" i="1"/>
  <c r="EH31" i="1"/>
  <c r="DW31" i="1"/>
  <c r="DZ31" i="1"/>
  <c r="EE31" i="1"/>
  <c r="ER31" i="1"/>
  <c r="EO31" i="1"/>
  <c r="EN31" i="1"/>
  <c r="EQ31" i="1"/>
  <c r="FP31" i="1"/>
  <c r="FZ31" i="1"/>
  <c r="GB31" i="1"/>
  <c r="GC31" i="1"/>
  <c r="GA31" i="1"/>
  <c r="FQ31" i="1"/>
  <c r="FW31" i="1"/>
  <c r="GE31" i="1"/>
  <c r="N12" i="2" s="1"/>
  <c r="FM31" i="1"/>
  <c r="FU31" i="1"/>
  <c r="HL13" i="1" s="1"/>
  <c r="X6" i="2" s="1"/>
  <c r="FY31" i="1"/>
  <c r="GD31" i="1"/>
  <c r="FN31" i="1"/>
  <c r="FT31" i="1"/>
  <c r="HL12" i="1" s="1"/>
  <c r="X12" i="2" s="1"/>
  <c r="FL31" i="1"/>
  <c r="FO31" i="1"/>
  <c r="FS31" i="1"/>
  <c r="FX31" i="1"/>
  <c r="GF31" i="1"/>
  <c r="HL18" i="1" s="1"/>
  <c r="N6" i="2" s="1"/>
  <c r="FR31" i="1"/>
  <c r="EY31" i="1"/>
  <c r="HF7" i="1" s="1"/>
  <c r="HI7" i="1" s="1"/>
  <c r="AF10" i="2" s="1"/>
  <c r="FA31" i="1"/>
  <c r="HF9" i="1" s="1"/>
  <c r="HI9" i="1" s="1"/>
  <c r="AF12" i="2" s="1"/>
  <c r="EX31" i="1"/>
  <c r="HF6" i="1" s="1"/>
  <c r="HI6" i="1" s="1"/>
  <c r="AF9" i="2" s="1"/>
  <c r="FJ31" i="1"/>
  <c r="HF28" i="1" s="1"/>
  <c r="EW31" i="1"/>
  <c r="HF5" i="1" s="1"/>
  <c r="HI5" i="1" s="1"/>
  <c r="AF8" i="2" s="1"/>
  <c r="FD31" i="1"/>
  <c r="HF22" i="1" s="1"/>
  <c r="FE31" i="1"/>
  <c r="HF23" i="1" s="1"/>
  <c r="EZ31" i="1"/>
  <c r="HF8" i="1" s="1"/>
  <c r="HI8" i="1" s="1"/>
  <c r="AF11" i="2" s="1"/>
  <c r="EV31" i="1"/>
  <c r="HF4" i="1" s="1"/>
  <c r="HI4" i="1" s="1"/>
  <c r="AF7" i="2" s="1"/>
  <c r="FF31" i="1"/>
  <c r="HF24" i="1" s="1"/>
  <c r="EU31" i="1"/>
  <c r="HF3" i="1" s="1"/>
  <c r="HI3" i="1" s="1"/>
  <c r="AF6" i="2" s="1"/>
  <c r="FG31" i="1"/>
  <c r="HF25" i="1" s="1"/>
  <c r="FH31" i="1"/>
  <c r="HF26" i="1" s="1"/>
  <c r="FI31" i="1"/>
  <c r="HF27" i="1" s="1"/>
  <c r="FC31" i="1"/>
  <c r="HF21" i="1" s="1"/>
  <c r="ET31" i="1"/>
  <c r="HF2" i="1" s="1"/>
  <c r="HI2" i="1" s="1"/>
  <c r="AF5" i="2" s="1"/>
  <c r="CW27" i="1"/>
  <c r="FF43" i="1" s="1"/>
  <c r="HF57" i="1" s="1"/>
  <c r="CG27" i="1"/>
  <c r="EG43" i="1" s="1"/>
  <c r="GX44" i="1" s="1"/>
  <c r="Z39" i="2" s="1"/>
  <c r="CO27" i="1"/>
  <c r="EN43" i="1" s="1"/>
  <c r="DE27" i="1"/>
  <c r="FQ43" i="1" s="1"/>
  <c r="HK45" i="1" s="1"/>
  <c r="Y32" i="2" s="1"/>
  <c r="BY27" i="1"/>
  <c r="DP43" i="1" s="1"/>
  <c r="GQ46" i="1" s="1"/>
  <c r="N43" i="2" s="1"/>
  <c r="BQ27" i="1"/>
  <c r="DJ43" i="1" s="1"/>
  <c r="GQ53" i="1" s="1"/>
  <c r="HC10" i="1" l="1"/>
  <c r="AE20" i="2" s="1"/>
  <c r="EV93" i="1"/>
  <c r="HH37" i="1" s="1"/>
  <c r="ET93" i="1"/>
  <c r="HH35" i="1" s="1"/>
  <c r="FG93" i="1"/>
  <c r="HH58" i="1" s="1"/>
  <c r="U34" i="2" s="1"/>
  <c r="FF93" i="1"/>
  <c r="HH57" i="1" s="1"/>
  <c r="U33" i="2" s="1"/>
  <c r="FC93" i="1"/>
  <c r="HH54" i="1" s="1"/>
  <c r="U30" i="2" s="1"/>
  <c r="EU93" i="1"/>
  <c r="HH36" i="1" s="1"/>
  <c r="AE31" i="2" s="1"/>
  <c r="FD93" i="1"/>
  <c r="HH55" i="1" s="1"/>
  <c r="U31" i="2" s="1"/>
  <c r="FI93" i="1"/>
  <c r="HH60" i="1" s="1"/>
  <c r="U36" i="2" s="1"/>
  <c r="EY93" i="1"/>
  <c r="HH40" i="1" s="1"/>
  <c r="AE35" i="2" s="1"/>
  <c r="DM93" i="1"/>
  <c r="HC43" i="1" s="1"/>
  <c r="AE45" i="2" s="1"/>
  <c r="EX93" i="1"/>
  <c r="HH39" i="1" s="1"/>
  <c r="AE34" i="2" s="1"/>
  <c r="AE37" i="2"/>
  <c r="FH93" i="1"/>
  <c r="HH59" i="1" s="1"/>
  <c r="EZ93" i="1"/>
  <c r="HH41" i="1" s="1"/>
  <c r="FJ93" i="1"/>
  <c r="HH61" i="1" s="1"/>
  <c r="U37" i="2" s="1"/>
  <c r="FE93" i="1"/>
  <c r="HH56" i="1" s="1"/>
  <c r="DN93" i="1"/>
  <c r="HC44" i="1" s="1"/>
  <c r="AE46" i="2" s="1"/>
  <c r="AE30" i="2"/>
  <c r="DJ93" i="1"/>
  <c r="GM53" i="1" s="1"/>
  <c r="EW93" i="1"/>
  <c r="HH38" i="1" s="1"/>
  <c r="AE33" i="2" s="1"/>
  <c r="DH93" i="1"/>
  <c r="GM51" i="1" s="1"/>
  <c r="U44" i="2" s="1"/>
  <c r="DI93" i="1"/>
  <c r="GM52" i="1" s="1"/>
  <c r="U45" i="2" s="1"/>
  <c r="AE32" i="2"/>
  <c r="S9" i="2"/>
  <c r="HI25" i="1"/>
  <c r="V9" i="2" s="1"/>
  <c r="S8" i="2"/>
  <c r="HI24" i="1"/>
  <c r="V8" i="2" s="1"/>
  <c r="S12" i="2"/>
  <c r="HI28" i="1"/>
  <c r="V12" i="2" s="1"/>
  <c r="S5" i="2"/>
  <c r="HI21" i="1"/>
  <c r="V5" i="2" s="1"/>
  <c r="S7" i="2"/>
  <c r="HI23" i="1"/>
  <c r="V7" i="2" s="1"/>
  <c r="S11" i="2"/>
  <c r="HI27" i="1"/>
  <c r="V11" i="2" s="1"/>
  <c r="S6" i="2"/>
  <c r="HI22" i="1"/>
  <c r="V6" i="2" s="1"/>
  <c r="S10" i="2"/>
  <c r="HI26" i="1"/>
  <c r="V10" i="2" s="1"/>
  <c r="S19" i="2"/>
  <c r="GN18" i="1"/>
  <c r="V19" i="2" s="1"/>
  <c r="S21" i="2"/>
  <c r="GN20" i="1"/>
  <c r="V21" i="2" s="1"/>
  <c r="S20" i="2"/>
  <c r="GN19" i="1"/>
  <c r="V20" i="2" s="1"/>
  <c r="EH43" i="1"/>
  <c r="GY44" i="1" s="1"/>
  <c r="AA39" i="2" s="1"/>
  <c r="EI43" i="1"/>
  <c r="GV45" i="1" s="1"/>
  <c r="X41" i="2" s="1"/>
  <c r="ET43" i="1"/>
  <c r="HF35" i="1" s="1"/>
  <c r="AC30" i="2" s="1"/>
  <c r="FI43" i="1"/>
  <c r="HF60" i="1" s="1"/>
  <c r="S33" i="2"/>
  <c r="S46" i="2"/>
  <c r="FL43" i="1"/>
  <c r="HJ46" i="1" s="1"/>
  <c r="X34" i="2" s="1"/>
  <c r="GD43" i="1"/>
  <c r="HM50" i="1" s="1"/>
  <c r="Q32" i="2" s="1"/>
  <c r="FP43" i="1"/>
  <c r="HJ45" i="1" s="1"/>
  <c r="X32" i="2" s="1"/>
  <c r="EF43" i="1"/>
  <c r="GW44" i="1" s="1"/>
  <c r="Y39" i="2" s="1"/>
  <c r="EJ43" i="1"/>
  <c r="GW45" i="1" s="1"/>
  <c r="Y41" i="2" s="1"/>
  <c r="DT43" i="1"/>
  <c r="FG43" i="1"/>
  <c r="HF58" i="1" s="1"/>
  <c r="EV43" i="1"/>
  <c r="HF37" i="1" s="1"/>
  <c r="HI37" i="1" s="1"/>
  <c r="AF32" i="2" s="1"/>
  <c r="GB43" i="1"/>
  <c r="HK50" i="1" s="1"/>
  <c r="O32" i="2" s="1"/>
  <c r="GC43" i="1"/>
  <c r="HL50" i="1" s="1"/>
  <c r="P32" i="2" s="1"/>
  <c r="FM43" i="1"/>
  <c r="HK46" i="1" s="1"/>
  <c r="Y34" i="2" s="1"/>
  <c r="ER43" i="1"/>
  <c r="DY43" i="1"/>
  <c r="GT44" i="1" s="1"/>
  <c r="Q39" i="2" s="1"/>
  <c r="EA43" i="1"/>
  <c r="GR45" i="1" s="1"/>
  <c r="O41" i="2" s="1"/>
  <c r="EY43" i="1"/>
  <c r="HF40" i="1" s="1"/>
  <c r="FH43" i="1"/>
  <c r="HF59" i="1" s="1"/>
  <c r="DN43" i="1"/>
  <c r="HA44" i="1" s="1"/>
  <c r="GE43" i="1"/>
  <c r="HI50" i="1" s="1"/>
  <c r="N37" i="2" s="1"/>
  <c r="FR43" i="1"/>
  <c r="HL45" i="1" s="1"/>
  <c r="Z32" i="2" s="1"/>
  <c r="EQ43" i="1"/>
  <c r="EE43" i="1"/>
  <c r="GV44" i="1" s="1"/>
  <c r="X39" i="2" s="1"/>
  <c r="DW43" i="1"/>
  <c r="GR44" i="1" s="1"/>
  <c r="O39" i="2" s="1"/>
  <c r="EX43" i="1"/>
  <c r="HF39" i="1" s="1"/>
  <c r="EW43" i="1"/>
  <c r="HF38" i="1" s="1"/>
  <c r="DL43" i="1"/>
  <c r="HA42" i="1" s="1"/>
  <c r="HD42" i="1" s="1"/>
  <c r="AF44" i="2" s="1"/>
  <c r="FO43" i="1"/>
  <c r="HM46" i="1" s="1"/>
  <c r="AA34" i="2" s="1"/>
  <c r="DS43" i="1"/>
  <c r="AD5" i="2"/>
  <c r="FN43" i="1"/>
  <c r="HL46" i="1" s="1"/>
  <c r="Z34" i="2" s="1"/>
  <c r="FU43" i="1"/>
  <c r="HI46" i="1" s="1"/>
  <c r="X31" i="2" s="1"/>
  <c r="EO43" i="1"/>
  <c r="EK43" i="1"/>
  <c r="GX45" i="1" s="1"/>
  <c r="Z41" i="2" s="1"/>
  <c r="EC43" i="1"/>
  <c r="GT45" i="1" s="1"/>
  <c r="Q41" i="2" s="1"/>
  <c r="FD43" i="1"/>
  <c r="HF55" i="1" s="1"/>
  <c r="FE43" i="1"/>
  <c r="HF56" i="1" s="1"/>
  <c r="DH43" i="1"/>
  <c r="GQ51" i="1" s="1"/>
  <c r="GA43" i="1"/>
  <c r="HJ50" i="1" s="1"/>
  <c r="N32" i="2" s="1"/>
  <c r="FS43" i="1"/>
  <c r="HM45" i="1" s="1"/>
  <c r="AA32" i="2" s="1"/>
  <c r="FT43" i="1"/>
  <c r="HI45" i="1" s="1"/>
  <c r="X37" i="2" s="1"/>
  <c r="DX43" i="1"/>
  <c r="GS44" i="1" s="1"/>
  <c r="P39" i="2" s="1"/>
  <c r="DV43" i="1"/>
  <c r="GQ44" i="1" s="1"/>
  <c r="N39" i="2" s="1"/>
  <c r="EU43" i="1"/>
  <c r="HF36" i="1" s="1"/>
  <c r="HI36" i="1" s="1"/>
  <c r="AF31" i="2" s="1"/>
  <c r="FA43" i="1"/>
  <c r="HF42" i="1" s="1"/>
  <c r="HI42" i="1" s="1"/>
  <c r="AF37" i="2" s="1"/>
  <c r="DI43" i="1"/>
  <c r="GQ52" i="1" s="1"/>
  <c r="GF43" i="1"/>
  <c r="HI51" i="1" s="1"/>
  <c r="N31" i="2" s="1"/>
  <c r="FY43" i="1"/>
  <c r="HL51" i="1" s="1"/>
  <c r="P34" i="2" s="1"/>
  <c r="FX43" i="1"/>
  <c r="HK51" i="1" s="1"/>
  <c r="O34" i="2" s="1"/>
  <c r="EL43" i="1"/>
  <c r="GY45" i="1" s="1"/>
  <c r="AA41" i="2" s="1"/>
  <c r="DZ43" i="1"/>
  <c r="GQ45" i="1" s="1"/>
  <c r="N41" i="2" s="1"/>
  <c r="DQ43" i="1"/>
  <c r="EZ43" i="1"/>
  <c r="HF41" i="1" s="1"/>
  <c r="FC43" i="1"/>
  <c r="HF54" i="1" s="1"/>
  <c r="HI54" i="1" s="1"/>
  <c r="V30" i="2" s="1"/>
  <c r="DM43" i="1"/>
  <c r="HA43" i="1" s="1"/>
  <c r="HD43" i="1" s="1"/>
  <c r="AF45" i="2" s="1"/>
  <c r="FW43" i="1"/>
  <c r="HJ51" i="1" s="1"/>
  <c r="N34" i="2" s="1"/>
  <c r="FZ43" i="1"/>
  <c r="HM51" i="1" s="1"/>
  <c r="Q34" i="2" s="1"/>
  <c r="EB43" i="1"/>
  <c r="GS45" i="1" s="1"/>
  <c r="P41" i="2" s="1"/>
  <c r="FJ43" i="1"/>
  <c r="HF61" i="1" s="1"/>
  <c r="HG5" i="1"/>
  <c r="HJ17" i="1"/>
  <c r="HG3" i="1"/>
  <c r="HG21" i="1"/>
  <c r="HB9" i="1"/>
  <c r="HG23" i="1"/>
  <c r="HB11" i="1"/>
  <c r="HG26" i="1"/>
  <c r="GO18" i="1"/>
  <c r="HG28" i="1"/>
  <c r="HB10" i="1"/>
  <c r="HJ13" i="1"/>
  <c r="HJ18" i="1"/>
  <c r="HG7" i="1"/>
  <c r="HG24" i="1"/>
  <c r="HG8" i="1"/>
  <c r="HG9" i="1"/>
  <c r="HG4" i="1"/>
  <c r="HG2" i="1"/>
  <c r="HG25" i="1"/>
  <c r="GO20" i="1"/>
  <c r="GO19" i="1"/>
  <c r="HG27" i="1"/>
  <c r="HJ12" i="1"/>
  <c r="HG6" i="1"/>
  <c r="HG22" i="1"/>
  <c r="T5" i="2"/>
  <c r="T11" i="2"/>
  <c r="T8" i="2"/>
  <c r="T6" i="2"/>
  <c r="T10" i="2"/>
  <c r="T12" i="2"/>
  <c r="T9" i="2"/>
  <c r="T7" i="2"/>
  <c r="AD8" i="2"/>
  <c r="AD6" i="2"/>
  <c r="AD9" i="2"/>
  <c r="AD12" i="2"/>
  <c r="AD7" i="2"/>
  <c r="AD10" i="2"/>
  <c r="AD11" i="2"/>
  <c r="AC5" i="2"/>
  <c r="AC8" i="2"/>
  <c r="AC6" i="2"/>
  <c r="AC9" i="2"/>
  <c r="AC12" i="2"/>
  <c r="AC7" i="2"/>
  <c r="AC10" i="2"/>
  <c r="AC11" i="2"/>
  <c r="T21" i="2"/>
  <c r="T20" i="2"/>
  <c r="T19" i="2"/>
  <c r="AD19" i="2"/>
  <c r="AD21" i="2"/>
  <c r="AD20" i="2"/>
  <c r="AC21" i="2"/>
  <c r="AC20" i="2"/>
  <c r="AC19" i="2"/>
  <c r="HI39" i="1" l="1"/>
  <c r="AF34" i="2" s="1"/>
  <c r="HD10" i="1"/>
  <c r="AF20" i="2" s="1"/>
  <c r="HI57" i="1"/>
  <c r="V33" i="2" s="1"/>
  <c r="GN52" i="1"/>
  <c r="V45" i="2" s="1"/>
  <c r="HI40" i="1"/>
  <c r="AF35" i="2" s="1"/>
  <c r="GV46" i="1"/>
  <c r="X43" i="2" s="1"/>
  <c r="GX46" i="1"/>
  <c r="Z43" i="2" s="1"/>
  <c r="GS46" i="1"/>
  <c r="HD44" i="1"/>
  <c r="AF46" i="2" s="1"/>
  <c r="HI58" i="1"/>
  <c r="V34" i="2" s="1"/>
  <c r="GN51" i="1"/>
  <c r="V44" i="2" s="1"/>
  <c r="HI38" i="1"/>
  <c r="AF33" i="2" s="1"/>
  <c r="HI55" i="1"/>
  <c r="V31" i="2" s="1"/>
  <c r="HI35" i="1"/>
  <c r="AF30" i="2" s="1"/>
  <c r="HI61" i="1"/>
  <c r="V37" i="2" s="1"/>
  <c r="HI56" i="1"/>
  <c r="V32" i="2" s="1"/>
  <c r="U32" i="2"/>
  <c r="HI41" i="1"/>
  <c r="AF36" i="2" s="1"/>
  <c r="AE36" i="2"/>
  <c r="S36" i="2"/>
  <c r="HI60" i="1"/>
  <c r="V36" i="2" s="1"/>
  <c r="HI59" i="1"/>
  <c r="V35" i="2" s="1"/>
  <c r="U35" i="2"/>
  <c r="GN53" i="1"/>
  <c r="V46" i="2" s="1"/>
  <c r="U46" i="2"/>
  <c r="AD30" i="2"/>
  <c r="S35" i="2"/>
  <c r="T35" i="2"/>
  <c r="AD34" i="2"/>
  <c r="AC34" i="2"/>
  <c r="AC35" i="2"/>
  <c r="AD35" i="2"/>
  <c r="AD32" i="2"/>
  <c r="AC32" i="2"/>
  <c r="AD33" i="2"/>
  <c r="AC33" i="2"/>
  <c r="AC45" i="2"/>
  <c r="T34" i="2"/>
  <c r="S34" i="2"/>
  <c r="T30" i="2"/>
  <c r="S30" i="2"/>
  <c r="S45" i="2"/>
  <c r="S44" i="2"/>
  <c r="AC36" i="2"/>
  <c r="AD36" i="2"/>
  <c r="AC37" i="2"/>
  <c r="AD37" i="2"/>
  <c r="S32" i="2"/>
  <c r="T32" i="2"/>
  <c r="AD31" i="2"/>
  <c r="AC31" i="2"/>
  <c r="T31" i="2"/>
  <c r="S31" i="2"/>
  <c r="S37" i="2"/>
  <c r="T37" i="2"/>
  <c r="AC44" i="2"/>
  <c r="AC46" i="2"/>
  <c r="T36" i="2"/>
  <c r="T33" i="2"/>
  <c r="AD45" i="2" l="1"/>
  <c r="AD44" i="2"/>
  <c r="AD46" i="2"/>
  <c r="P43" i="2"/>
  <c r="T46" i="2"/>
  <c r="T44" i="2"/>
  <c r="T45" i="2"/>
</calcChain>
</file>

<file path=xl/sharedStrings.xml><?xml version="1.0" encoding="utf-8"?>
<sst xmlns="http://schemas.openxmlformats.org/spreadsheetml/2006/main" count="929" uniqueCount="120">
  <si>
    <t>名前</t>
  </si>
  <si>
    <t>ポジション</t>
  </si>
  <si>
    <t>デュレーション</t>
  </si>
  <si>
    <t>GameCount</t>
  </si>
  <si>
    <t>Point</t>
  </si>
  <si>
    <t>TimeOut</t>
  </si>
  <si>
    <t>打球回数</t>
  </si>
  <si>
    <t>SV</t>
  </si>
  <si>
    <t>SV Type</t>
  </si>
  <si>
    <t>SV第1バウンド</t>
  </si>
  <si>
    <t>第2バウンド(SVコース)</t>
  </si>
  <si>
    <t>RV_ラケット面</t>
  </si>
  <si>
    <t>RV Type</t>
  </si>
  <si>
    <t>RVコース</t>
  </si>
  <si>
    <t>SV得点率</t>
    <phoneticPr fontId="18"/>
  </si>
  <si>
    <t>RV得点率=RVでの得点／NSV数</t>
    <rPh sb="10" eb="12">
      <t>トクテン</t>
    </rPh>
    <rPh sb="16" eb="17">
      <t>スウ</t>
    </rPh>
    <phoneticPr fontId="18"/>
  </si>
  <si>
    <t>RV得点率</t>
    <phoneticPr fontId="18"/>
  </si>
  <si>
    <t>３回のラリーでの得点</t>
    <rPh sb="1" eb="2">
      <t>カイ</t>
    </rPh>
    <rPh sb="8" eb="10">
      <t>トクテン</t>
    </rPh>
    <phoneticPr fontId="18"/>
  </si>
  <si>
    <t>#3得点率</t>
    <rPh sb="2" eb="4">
      <t>トクテン</t>
    </rPh>
    <rPh sb="4" eb="5">
      <t>リツ</t>
    </rPh>
    <phoneticPr fontId="18"/>
  </si>
  <si>
    <t>（３＃得点ー相手の２＃得点）／SV数</t>
    <rPh sb="3" eb="5">
      <t>トクテン</t>
    </rPh>
    <rPh sb="6" eb="8">
      <t>アイテ</t>
    </rPh>
    <rPh sb="11" eb="13">
      <t>トクテン</t>
    </rPh>
    <rPh sb="17" eb="18">
      <t>スウ</t>
    </rPh>
    <phoneticPr fontId="18"/>
  </si>
  <si>
    <t>#3効果率</t>
    <rPh sb="2" eb="4">
      <t>コウカ</t>
    </rPh>
    <rPh sb="4" eb="5">
      <t>リツ</t>
    </rPh>
    <phoneticPr fontId="18"/>
  </si>
  <si>
    <t>（サービスエース＋#3得点）／SV数</t>
    <rPh sb="11" eb="13">
      <t>トクテン</t>
    </rPh>
    <rPh sb="17" eb="18">
      <t>スウ</t>
    </rPh>
    <phoneticPr fontId="18"/>
  </si>
  <si>
    <t>SV#3得点率</t>
    <rPh sb="4" eb="6">
      <t>トクテン</t>
    </rPh>
    <rPh sb="6" eb="7">
      <t>リツ</t>
    </rPh>
    <phoneticPr fontId="18"/>
  </si>
  <si>
    <t>Game</t>
    <phoneticPr fontId="18"/>
  </si>
  <si>
    <t>Point</t>
    <phoneticPr fontId="18"/>
  </si>
  <si>
    <t>Time</t>
    <phoneticPr fontId="18"/>
  </si>
  <si>
    <t>Game</t>
    <phoneticPr fontId="18"/>
  </si>
  <si>
    <t>FENG Tianwei_Back</t>
  </si>
  <si>
    <t>FENG Tianwei_Side</t>
  </si>
  <si>
    <t>FENG Tianwei_(Side)</t>
  </si>
  <si>
    <t>HAYATA Hina_Back</t>
  </si>
  <si>
    <t>HAYATA Hina_Side</t>
  </si>
  <si>
    <t>HAYATA Hina_(Side)</t>
  </si>
  <si>
    <t>FENG Tianwei_B</t>
  </si>
  <si>
    <t>FENG Tianwei_F</t>
  </si>
  <si>
    <t>HAYATA Hina_B</t>
  </si>
  <si>
    <t>HAYATA Hina_F</t>
  </si>
  <si>
    <t>FENG Tianwei_BM</t>
  </si>
  <si>
    <t>FENG Tianwei_BMS</t>
  </si>
  <si>
    <t>FENG Tianwei_BS</t>
  </si>
  <si>
    <t>FENG Tianwei_FM</t>
  </si>
  <si>
    <t>FENG Tianwei_FMS</t>
  </si>
  <si>
    <t>FENG Tianwei_FS</t>
  </si>
  <si>
    <t>HAYATA Hina_BM</t>
  </si>
  <si>
    <t>HAYATA Hina_BMS</t>
  </si>
  <si>
    <t>HAYATA Hina_BS</t>
  </si>
  <si>
    <t>HAYATA Hina_FM</t>
  </si>
  <si>
    <t>HAYATA Hina_FMS</t>
  </si>
  <si>
    <t>HAYATA Hina_FS</t>
  </si>
  <si>
    <t>B</t>
    <phoneticPr fontId="18"/>
  </si>
  <si>
    <t>F</t>
    <phoneticPr fontId="18"/>
  </si>
  <si>
    <t>Back</t>
    <phoneticPr fontId="18"/>
  </si>
  <si>
    <t>Side</t>
    <phoneticPr fontId="18"/>
  </si>
  <si>
    <t>(Side)</t>
    <phoneticPr fontId="18"/>
  </si>
  <si>
    <t>Chiquita</t>
    <phoneticPr fontId="18"/>
  </si>
  <si>
    <t>Flick</t>
    <phoneticPr fontId="18"/>
  </si>
  <si>
    <t>Push</t>
    <phoneticPr fontId="18"/>
  </si>
  <si>
    <t>Stop</t>
    <phoneticPr fontId="18"/>
  </si>
  <si>
    <t>その他</t>
    <phoneticPr fontId="18"/>
  </si>
  <si>
    <t>ドライブ</t>
    <phoneticPr fontId="18"/>
  </si>
  <si>
    <t>ミユータ</t>
    <phoneticPr fontId="18"/>
  </si>
  <si>
    <t>空振り</t>
    <phoneticPr fontId="18"/>
  </si>
  <si>
    <t>オーバーミス</t>
    <phoneticPr fontId="18"/>
  </si>
  <si>
    <t>ネット</t>
    <phoneticPr fontId="18"/>
  </si>
  <si>
    <t>SVバウンド</t>
    <phoneticPr fontId="18"/>
  </si>
  <si>
    <t>RVバウンド</t>
    <phoneticPr fontId="18"/>
  </si>
  <si>
    <t>Differences</t>
    <phoneticPr fontId="18"/>
  </si>
  <si>
    <t>Difference</t>
    <phoneticPr fontId="18"/>
  </si>
  <si>
    <t>打数</t>
    <rPh sb="0" eb="2">
      <t>ダスウ</t>
    </rPh>
    <phoneticPr fontId="18"/>
  </si>
  <si>
    <t>Difference</t>
    <phoneticPr fontId="18"/>
  </si>
  <si>
    <t>1st</t>
  </si>
  <si>
    <t>2nd</t>
  </si>
  <si>
    <t>3rd</t>
  </si>
  <si>
    <t>4th</t>
  </si>
  <si>
    <t>5th</t>
  </si>
  <si>
    <t>6th</t>
  </si>
  <si>
    <t>7th</t>
  </si>
  <si>
    <t>SV得点率</t>
    <rPh sb="2" eb="5">
      <t>トクテンリツ</t>
    </rPh>
    <phoneticPr fontId="18"/>
  </si>
  <si>
    <t>RV得点率</t>
    <rPh sb="2" eb="5">
      <t>トクテンリツ</t>
    </rPh>
    <phoneticPr fontId="18"/>
  </si>
  <si>
    <t>#3得点率</t>
    <rPh sb="2" eb="5">
      <t>トクテンリツ</t>
    </rPh>
    <phoneticPr fontId="18"/>
  </si>
  <si>
    <t>SV得点率=SVでの得点／SV数</t>
    <phoneticPr fontId="18"/>
  </si>
  <si>
    <t>SV得点率</t>
  </si>
  <si>
    <t>Total</t>
    <phoneticPr fontId="18"/>
  </si>
  <si>
    <t>Gain</t>
    <phoneticPr fontId="18"/>
  </si>
  <si>
    <t>Loose</t>
    <phoneticPr fontId="18"/>
  </si>
  <si>
    <t>Point</t>
    <phoneticPr fontId="18"/>
  </si>
  <si>
    <t>R</t>
  </si>
  <si>
    <t>FENG Tianwei</t>
  </si>
  <si>
    <t>KIHARA Miyuu</t>
  </si>
  <si>
    <t>#02</t>
  </si>
  <si>
    <t>#05</t>
  </si>
  <si>
    <t>#03</t>
  </si>
  <si>
    <t>#06</t>
  </si>
  <si>
    <t>#07</t>
  </si>
  <si>
    <t>#09-</t>
  </si>
  <si>
    <t>SV Let</t>
  </si>
  <si>
    <t>#01</t>
  </si>
  <si>
    <t>#08</t>
  </si>
  <si>
    <t>#04</t>
  </si>
  <si>
    <t>#10-</t>
  </si>
  <si>
    <t>Side</t>
  </si>
  <si>
    <t>(Side)</t>
  </si>
  <si>
    <t>Back</t>
  </si>
  <si>
    <t>B</t>
  </si>
  <si>
    <t>F</t>
  </si>
  <si>
    <t>BS</t>
  </si>
  <si>
    <t>BM</t>
  </si>
  <si>
    <t>FS</t>
  </si>
  <si>
    <t>FMS</t>
  </si>
  <si>
    <t>BMS</t>
  </si>
  <si>
    <t>FM</t>
  </si>
  <si>
    <t>Push</t>
  </si>
  <si>
    <t>ドライブ</t>
  </si>
  <si>
    <t>Stop</t>
  </si>
  <si>
    <t>Chiquita</t>
  </si>
  <si>
    <t>空振り</t>
  </si>
  <si>
    <t>Flick</t>
  </si>
  <si>
    <t>ネットオーバー</t>
  </si>
  <si>
    <t>ネット</t>
  </si>
  <si>
    <t>オーバーミス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</si>
</sst>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_ "/>
    <numFmt numFmtId="177" formatCode="0_);[Red]\(0\)"/>
  </numFmts>
  <fonts count="41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</font>
    <font>
      <b/>
      <sz val="14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sz val="12"/>
      <color theme="1"/>
      <name val="游ゴシック"/>
      <family val="3"/>
      <charset val="128"/>
      <scheme val="minor"/>
    </font>
    <font>
      <b/>
      <sz val="16"/>
      <color rgb="FFFF00FF"/>
      <name val="游ゴシック"/>
      <family val="3"/>
      <charset val="128"/>
      <scheme val="minor"/>
    </font>
    <font>
      <b/>
      <sz val="16"/>
      <color theme="4" tint="-0.249977111117893"/>
      <name val="游ゴシック"/>
      <family val="3"/>
      <charset val="128"/>
      <scheme val="minor"/>
    </font>
    <font>
      <b/>
      <sz val="16"/>
      <color rgb="FF0070C0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4"/>
      <color rgb="FF0070C0"/>
      <name val="游ゴシック"/>
      <family val="3"/>
      <charset val="128"/>
      <scheme val="minor"/>
    </font>
    <font>
      <b/>
      <sz val="14"/>
      <color rgb="FFFF00FF"/>
      <name val="游ゴシック"/>
      <family val="3"/>
      <charset val="128"/>
      <scheme val="minor"/>
    </font>
    <font>
      <sz val="10.5"/>
      <color theme="1"/>
      <name val="游明朝"/>
      <family val="1"/>
      <charset val="128"/>
    </font>
    <font>
      <sz val="16"/>
      <color theme="1"/>
      <name val="游ゴシック"/>
      <family val="2"/>
      <charset val="128"/>
      <scheme val="minor"/>
    </font>
    <font>
      <b/>
      <sz val="14"/>
      <color theme="8" tint="-0.249977111117893"/>
      <name val="游ゴシック"/>
      <family val="3"/>
      <charset val="128"/>
      <scheme val="minor"/>
    </font>
    <font>
      <sz val="11"/>
      <color theme="8" tint="-0.249977111117893"/>
      <name val="游ゴシック"/>
      <family val="3"/>
      <charset val="128"/>
      <scheme val="minor"/>
    </font>
    <font>
      <b/>
      <sz val="11"/>
      <color theme="8" tint="-0.249977111117893"/>
      <name val="游ゴシック"/>
      <family val="3"/>
      <charset val="128"/>
      <scheme val="minor"/>
    </font>
    <font>
      <sz val="11"/>
      <color rgb="FFFF00FF"/>
      <name val="游ゴシック"/>
      <family val="3"/>
      <charset val="128"/>
      <scheme val="minor"/>
    </font>
    <font>
      <b/>
      <sz val="11"/>
      <color rgb="FFFF00FF"/>
      <name val="游ゴシック"/>
      <family val="3"/>
      <charset val="128"/>
      <scheme val="minor"/>
    </font>
    <font>
      <b/>
      <sz val="16"/>
      <color theme="4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1"/>
      <color theme="4"/>
      <name val="游ゴシック"/>
      <family val="2"/>
      <charset val="128"/>
      <scheme val="minor"/>
    </font>
    <font>
      <sz val="11"/>
      <color rgb="FFFF00FF"/>
      <name val="游ゴシック"/>
      <family val="2"/>
      <charset val="128"/>
      <scheme val="minor"/>
    </font>
    <font>
      <sz val="11"/>
      <color theme="4"/>
      <name val="游ゴシック"/>
      <family val="3"/>
      <charset val="128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66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4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</cellStyleXfs>
  <cellXfs count="97">
    <xf numFmtId="0" fontId="0" fillId="0" borderId="0" xfId="0">
      <alignment vertical="center"/>
    </xf>
    <xf numFmtId="47" fontId="0" fillId="0" borderId="0" xfId="0" applyNumberFormat="1">
      <alignment vertical="center"/>
    </xf>
    <xf numFmtId="20" fontId="0" fillId="0" borderId="0" xfId="0" applyNumberFormat="1">
      <alignment vertical="center"/>
    </xf>
    <xf numFmtId="49" fontId="19" fillId="0" borderId="0" xfId="42" applyNumberFormat="1" applyFont="1" applyAlignment="1">
      <alignment horizontal="right" vertical="center"/>
    </xf>
    <xf numFmtId="0" fontId="19" fillId="0" borderId="0" xfId="42" applyFont="1" applyAlignment="1">
      <alignment horizontal="center" vertical="center"/>
    </xf>
    <xf numFmtId="0" fontId="19" fillId="0" borderId="0" xfId="42" applyFont="1">
      <alignment vertical="center"/>
    </xf>
    <xf numFmtId="0" fontId="19" fillId="0" borderId="0" xfId="42" applyNumberFormat="1" applyFont="1" applyAlignment="1">
      <alignment horizontal="right" vertical="center"/>
    </xf>
    <xf numFmtId="49" fontId="19" fillId="0" borderId="0" xfId="42" applyNumberFormat="1" applyFont="1">
      <alignment vertical="center"/>
    </xf>
    <xf numFmtId="2" fontId="19" fillId="0" borderId="0" xfId="42" applyNumberFormat="1" applyFont="1" applyAlignment="1">
      <alignment horizontal="right" vertical="center"/>
    </xf>
    <xf numFmtId="176" fontId="19" fillId="0" borderId="0" xfId="42" applyNumberFormat="1" applyFont="1" applyAlignment="1">
      <alignment horizontal="right" vertical="center"/>
    </xf>
    <xf numFmtId="2" fontId="0" fillId="0" borderId="0" xfId="0" applyNumberFormat="1">
      <alignment vertical="center"/>
    </xf>
    <xf numFmtId="0" fontId="0" fillId="0" borderId="0" xfId="0" applyNumberFormat="1">
      <alignment vertical="center"/>
    </xf>
    <xf numFmtId="177" fontId="0" fillId="0" borderId="0" xfId="0" applyNumberFormat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0" fillId="0" borderId="0" xfId="0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0" fillId="0" borderId="16" xfId="0" applyBorder="1">
      <alignment vertical="center"/>
    </xf>
    <xf numFmtId="0" fontId="0" fillId="0" borderId="17" xfId="0" applyBorder="1">
      <alignment vertical="center"/>
    </xf>
    <xf numFmtId="0" fontId="0" fillId="0" borderId="18" xfId="0" applyBorder="1">
      <alignment vertical="center"/>
    </xf>
    <xf numFmtId="0" fontId="0" fillId="0" borderId="19" xfId="0" applyBorder="1">
      <alignment vertical="center"/>
    </xf>
    <xf numFmtId="0" fontId="0" fillId="0" borderId="20" xfId="0" applyBorder="1">
      <alignment vertical="center"/>
    </xf>
    <xf numFmtId="0" fontId="20" fillId="0" borderId="0" xfId="0" applyFont="1">
      <alignment vertical="center"/>
    </xf>
    <xf numFmtId="0" fontId="21" fillId="0" borderId="0" xfId="0" applyFont="1">
      <alignment vertical="center"/>
    </xf>
    <xf numFmtId="0" fontId="22" fillId="0" borderId="0" xfId="0" applyFont="1">
      <alignment vertical="center"/>
    </xf>
    <xf numFmtId="47" fontId="20" fillId="0" borderId="0" xfId="0" applyNumberFormat="1" applyFont="1" applyAlignment="1">
      <alignment horizontal="left" vertical="center"/>
    </xf>
    <xf numFmtId="0" fontId="20" fillId="34" borderId="0" xfId="0" applyFont="1" applyFill="1">
      <alignment vertical="center"/>
    </xf>
    <xf numFmtId="0" fontId="20" fillId="33" borderId="0" xfId="0" applyFont="1" applyFill="1">
      <alignment vertical="center"/>
    </xf>
    <xf numFmtId="0" fontId="23" fillId="0" borderId="0" xfId="0" applyFont="1">
      <alignment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0" fillId="35" borderId="0" xfId="0" applyFill="1">
      <alignment vertical="center"/>
    </xf>
    <xf numFmtId="0" fontId="23" fillId="0" borderId="0" xfId="0" applyFont="1" applyAlignment="1">
      <alignment horizontal="right" vertical="center"/>
    </xf>
    <xf numFmtId="0" fontId="25" fillId="0" borderId="0" xfId="0" applyFont="1" applyAlignment="1">
      <alignment horizontal="right" vertical="center"/>
    </xf>
    <xf numFmtId="0" fontId="0" fillId="0" borderId="0" xfId="0" quotePrefix="1">
      <alignment vertical="center"/>
    </xf>
    <xf numFmtId="0" fontId="0" fillId="0" borderId="0" xfId="0" applyAlignment="1">
      <alignment horizontal="center" vertical="center"/>
    </xf>
    <xf numFmtId="2" fontId="20" fillId="0" borderId="0" xfId="0" applyNumberFormat="1" applyFont="1">
      <alignment vertical="center"/>
    </xf>
    <xf numFmtId="0" fontId="29" fillId="0" borderId="0" xfId="0" applyFont="1">
      <alignment vertical="center"/>
    </xf>
    <xf numFmtId="0" fontId="19" fillId="0" borderId="0" xfId="42" applyNumberFormat="1" applyFont="1">
      <alignment vertical="center"/>
    </xf>
    <xf numFmtId="0" fontId="30" fillId="36" borderId="0" xfId="0" applyFont="1" applyFill="1" applyAlignment="1">
      <alignment horizontal="center" vertical="center"/>
    </xf>
    <xf numFmtId="0" fontId="0" fillId="35" borderId="0" xfId="0" applyFill="1" applyBorder="1">
      <alignment vertical="center"/>
    </xf>
    <xf numFmtId="0" fontId="0" fillId="35" borderId="14" xfId="0" applyFill="1" applyBorder="1">
      <alignment vertical="center"/>
    </xf>
    <xf numFmtId="0" fontId="0" fillId="35" borderId="13" xfId="0" applyFill="1" applyBorder="1">
      <alignment vertical="center"/>
    </xf>
    <xf numFmtId="0" fontId="14" fillId="0" borderId="0" xfId="0" applyFont="1" applyBorder="1">
      <alignment vertical="center"/>
    </xf>
    <xf numFmtId="0" fontId="14" fillId="0" borderId="14" xfId="0" applyFont="1" applyBorder="1">
      <alignment vertical="center"/>
    </xf>
    <xf numFmtId="0" fontId="21" fillId="36" borderId="0" xfId="0" applyFont="1" applyFill="1" applyBorder="1" applyAlignment="1">
      <alignment horizontal="center" vertical="center"/>
    </xf>
    <xf numFmtId="0" fontId="28" fillId="0" borderId="0" xfId="0" applyFont="1" applyAlignment="1">
      <alignment horizontal="right" vertical="center"/>
    </xf>
    <xf numFmtId="0" fontId="27" fillId="0" borderId="0" xfId="0" applyFont="1" applyAlignment="1">
      <alignment horizontal="right" vertical="center"/>
    </xf>
    <xf numFmtId="0" fontId="31" fillId="0" borderId="0" xfId="0" applyFont="1">
      <alignment vertical="center"/>
    </xf>
    <xf numFmtId="0" fontId="32" fillId="0" borderId="0" xfId="0" applyFont="1">
      <alignment vertical="center"/>
    </xf>
    <xf numFmtId="0" fontId="33" fillId="0" borderId="0" xfId="0" applyFont="1">
      <alignment vertical="center"/>
    </xf>
    <xf numFmtId="2" fontId="31" fillId="0" borderId="0" xfId="0" applyNumberFormat="1" applyFont="1">
      <alignment vertical="center"/>
    </xf>
    <xf numFmtId="0" fontId="28" fillId="0" borderId="0" xfId="0" applyFont="1">
      <alignment vertical="center"/>
    </xf>
    <xf numFmtId="0" fontId="34" fillId="0" borderId="0" xfId="0" applyFont="1">
      <alignment vertical="center"/>
    </xf>
    <xf numFmtId="0" fontId="35" fillId="0" borderId="0" xfId="0" applyFont="1">
      <alignment vertical="center"/>
    </xf>
    <xf numFmtId="2" fontId="28" fillId="0" borderId="0" xfId="0" applyNumberFormat="1" applyFont="1">
      <alignment vertical="center"/>
    </xf>
    <xf numFmtId="0" fontId="0" fillId="37" borderId="0" xfId="0" applyFill="1">
      <alignment vertical="center"/>
    </xf>
    <xf numFmtId="0" fontId="36" fillId="0" borderId="0" xfId="0" applyFont="1">
      <alignment vertical="center"/>
    </xf>
    <xf numFmtId="0" fontId="37" fillId="0" borderId="0" xfId="0" applyFont="1">
      <alignment vertical="center"/>
    </xf>
    <xf numFmtId="0" fontId="21" fillId="38" borderId="0" xfId="0" applyFont="1" applyFill="1">
      <alignment vertical="center"/>
    </xf>
    <xf numFmtId="0" fontId="37" fillId="0" borderId="0" xfId="0" applyFont="1" applyAlignment="1">
      <alignment horizontal="right" vertical="center"/>
    </xf>
    <xf numFmtId="0" fontId="20" fillId="0" borderId="0" xfId="0" applyFont="1" applyAlignment="1">
      <alignment horizontal="right" vertical="center"/>
    </xf>
    <xf numFmtId="0" fontId="14" fillId="0" borderId="0" xfId="0" applyFont="1">
      <alignment vertical="center"/>
    </xf>
    <xf numFmtId="0" fontId="38" fillId="0" borderId="0" xfId="0" applyFont="1">
      <alignment vertical="center"/>
    </xf>
    <xf numFmtId="0" fontId="39" fillId="0" borderId="0" xfId="0" applyFont="1">
      <alignment vertical="center"/>
    </xf>
    <xf numFmtId="0" fontId="40" fillId="0" borderId="0" xfId="0" applyFont="1">
      <alignment vertical="center"/>
    </xf>
    <xf numFmtId="0" fontId="20" fillId="0" borderId="0" xfId="0" applyFont="1" applyAlignment="1">
      <alignment horizontal="left" vertical="center"/>
    </xf>
    <xf numFmtId="0" fontId="38" fillId="0" borderId="0" xfId="0" applyFont="1" applyBorder="1">
      <alignment vertical="center"/>
    </xf>
    <xf numFmtId="0" fontId="39" fillId="0" borderId="0" xfId="0" applyFont="1" applyBorder="1">
      <alignment vertical="center"/>
    </xf>
    <xf numFmtId="0" fontId="23" fillId="0" borderId="21" xfId="0" applyFont="1" applyBorder="1" applyAlignment="1">
      <alignment horizontal="center" vertical="center"/>
    </xf>
    <xf numFmtId="0" fontId="21" fillId="36" borderId="0" xfId="0" applyFont="1" applyFill="1" applyBorder="1" applyAlignment="1">
      <alignment horizontal="center" vertical="center"/>
    </xf>
    <xf numFmtId="0" fontId="23" fillId="0" borderId="25" xfId="0" applyFont="1" applyBorder="1" applyAlignment="1">
      <alignment horizontal="center" vertical="center"/>
    </xf>
    <xf numFmtId="0" fontId="23" fillId="0" borderId="22" xfId="0" applyFont="1" applyBorder="1" applyAlignment="1">
      <alignment horizontal="center" vertical="center"/>
    </xf>
    <xf numFmtId="0" fontId="23" fillId="0" borderId="26" xfId="0" applyFont="1" applyBorder="1" applyAlignment="1">
      <alignment horizontal="center" vertical="center"/>
    </xf>
    <xf numFmtId="0" fontId="23" fillId="0" borderId="28" xfId="0" applyFont="1" applyBorder="1" applyAlignment="1">
      <alignment horizontal="center" vertical="center"/>
    </xf>
    <xf numFmtId="0" fontId="23" fillId="0" borderId="27" xfId="0" applyFont="1" applyBorder="1" applyAlignment="1">
      <alignment horizontal="center" vertical="center"/>
    </xf>
    <xf numFmtId="0" fontId="23" fillId="0" borderId="23" xfId="0" applyFont="1" applyBorder="1" applyAlignment="1">
      <alignment horizontal="center" vertical="center"/>
    </xf>
    <xf numFmtId="0" fontId="23" fillId="0" borderId="29" xfId="0" applyFont="1" applyBorder="1" applyAlignment="1">
      <alignment horizontal="center" vertical="center"/>
    </xf>
    <xf numFmtId="0" fontId="23" fillId="0" borderId="24" xfId="0" applyFont="1" applyBorder="1" applyAlignment="1">
      <alignment horizontal="center" vertical="center"/>
    </xf>
    <xf numFmtId="0" fontId="27" fillId="0" borderId="26" xfId="0" applyFont="1" applyBorder="1" applyAlignment="1">
      <alignment horizontal="center" vertical="center"/>
    </xf>
    <xf numFmtId="0" fontId="27" fillId="0" borderId="28" xfId="0" applyFont="1" applyBorder="1" applyAlignment="1">
      <alignment horizontal="center" vertical="center"/>
    </xf>
    <xf numFmtId="0" fontId="27" fillId="0" borderId="27" xfId="0" applyFont="1" applyBorder="1" applyAlignment="1">
      <alignment horizontal="center" vertical="center"/>
    </xf>
    <xf numFmtId="0" fontId="25" fillId="0" borderId="23" xfId="0" applyFont="1" applyBorder="1" applyAlignment="1">
      <alignment horizontal="center" vertical="center"/>
    </xf>
    <xf numFmtId="0" fontId="25" fillId="0" borderId="29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24" fillId="0" borderId="25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0" fontId="25" fillId="0" borderId="22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3" fillId="0" borderId="0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0" fontId="25" fillId="0" borderId="0" xfId="0" applyFont="1" applyBorder="1" applyAlignment="1">
      <alignment horizontal="center" vertical="center"/>
    </xf>
  </cellXfs>
  <cellStyles count="43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標準 5" xfId="42" xr:uid="{00000000-0005-0000-0000-000029000000}"/>
    <cellStyle name="良い" xfId="6" builtinId="26" customBuiltin="1"/>
  </cellStyles>
  <dxfs count="56">
    <dxf>
      <fill>
        <patternFill>
          <bgColor theme="2" tint="-9.9948118533890809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00B0F0"/>
        </patternFill>
      </fill>
    </dxf>
    <dxf>
      <fill>
        <patternFill>
          <bgColor rgb="FFFF99FF"/>
        </patternFill>
      </fill>
    </dxf>
    <dxf>
      <fill>
        <patternFill>
          <bgColor rgb="FF00B0F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00B0F0"/>
        </patternFill>
      </fill>
    </dxf>
    <dxf>
      <fill>
        <patternFill>
          <bgColor rgb="FFFF99FF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</dxfs>
  <tableStyles count="0" defaultTableStyle="TableStyleMedium2" defaultPivotStyle="PivotStyleLight16"/>
  <colors>
    <mruColors>
      <color rgb="FFFF00FF"/>
      <color rgb="FF6699FF"/>
      <color rgb="FFFF99FF"/>
      <color rgb="FFFF66FF"/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SV</a:t>
            </a:r>
            <a:r>
              <a:rPr lang="ja-JP" altLang="en-US"/>
              <a:t>得点率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458292720095"/>
          <c:y val="0.18734387315949411"/>
          <c:w val="0.88389129483814521"/>
          <c:h val="0.69153579760863226"/>
        </c:manualLayout>
      </c:layout>
      <c:lineChart>
        <c:grouping val="standard"/>
        <c:varyColors val="0"/>
        <c:ser>
          <c:idx val="2"/>
          <c:order val="0"/>
          <c:marker>
            <c:symbol val="none"/>
          </c:marker>
          <c:val>
            <c:numRef>
              <c:f>[0]!graph_area11</c:f>
              <c:numCache>
                <c:formatCode>0.00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0.33333333333333331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0.6</c:v>
                </c:pt>
                <c:pt idx="9">
                  <c:v>0.66666666666666663</c:v>
                </c:pt>
                <c:pt idx="10">
                  <c:v>0.66666666666666663</c:v>
                </c:pt>
                <c:pt idx="11">
                  <c:v>0.66666666666666663</c:v>
                </c:pt>
                <c:pt idx="12">
                  <c:v>0.7142857142857143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0478-41B7-9B1B-61DB845543D9}"/>
            </c:ext>
          </c:extLst>
        </c:ser>
        <c:ser>
          <c:idx val="3"/>
          <c:order val="1"/>
          <c:marker>
            <c:symbol val="none"/>
          </c:marker>
          <c:val>
            <c:numRef>
              <c:f>[0]!graph_area12</c:f>
              <c:numCache>
                <c:formatCode>0.00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0.33333333333333331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0.4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0.42857142857142855</c:v>
                </c:pt>
                <c:pt idx="15">
                  <c:v>0.375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0478-41B7-9B1B-61DB845543D9}"/>
            </c:ext>
          </c:extLst>
        </c:ser>
        <c:ser>
          <c:idx val="0"/>
          <c:order val="2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[0]!graph_area11</c:f>
              <c:numCache>
                <c:formatCode>0.00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0.33333333333333331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0.6</c:v>
                </c:pt>
                <c:pt idx="9">
                  <c:v>0.66666666666666663</c:v>
                </c:pt>
                <c:pt idx="10">
                  <c:v>0.66666666666666663</c:v>
                </c:pt>
                <c:pt idx="11">
                  <c:v>0.66666666666666663</c:v>
                </c:pt>
                <c:pt idx="12">
                  <c:v>0.7142857142857143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0478-41B7-9B1B-61DB845543D9}"/>
            </c:ext>
          </c:extLst>
        </c:ser>
        <c:ser>
          <c:idx val="1"/>
          <c:order val="3"/>
          <c:spPr>
            <a:ln w="28575" cap="rnd">
              <a:solidFill>
                <a:srgbClr val="FF66FF"/>
              </a:solidFill>
              <a:round/>
            </a:ln>
            <a:effectLst/>
          </c:spPr>
          <c:marker>
            <c:symbol val="none"/>
          </c:marker>
          <c:val>
            <c:numRef>
              <c:f>[0]!graph_area12</c:f>
              <c:numCache>
                <c:formatCode>0.00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0.33333333333333331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0.4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0.42857142857142855</c:v>
                </c:pt>
                <c:pt idx="15">
                  <c:v>0.375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0478-41B7-9B1B-61DB84554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51231200"/>
        <c:axId val="421105664"/>
      </c:lineChart>
      <c:catAx>
        <c:axId val="95123120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21105664"/>
        <c:crosses val="autoZero"/>
        <c:auto val="1"/>
        <c:lblAlgn val="ctr"/>
        <c:lblOffset val="100"/>
        <c:noMultiLvlLbl val="0"/>
      </c:catAx>
      <c:valAx>
        <c:axId val="42110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51231200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RV</a:t>
            </a:r>
            <a:r>
              <a:rPr lang="ja-JP" altLang="en-US"/>
              <a:t>得点率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477119881537544"/>
          <c:y val="0.18187529857833731"/>
          <c:w val="0.88389129483814521"/>
          <c:h val="0.69153579760863226"/>
        </c:manualLayout>
      </c:layout>
      <c:lineChart>
        <c:grouping val="standard"/>
        <c:varyColors val="0"/>
        <c:ser>
          <c:idx val="0"/>
          <c:order val="0"/>
          <c:spPr>
            <a:ln w="28575"/>
          </c:spPr>
          <c:marker>
            <c:symbol val="none"/>
          </c:marker>
          <c:val>
            <c:numRef>
              <c:f>[0]!graph_area21</c:f>
              <c:numCache>
                <c:formatCode>0.00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0.66666666666666663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0.6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0.5714285714285714</c:v>
                </c:pt>
                <c:pt idx="15">
                  <c:v>0.625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9EA-4B7B-AEBF-BB29C4C293AB}"/>
            </c:ext>
          </c:extLst>
        </c:ser>
        <c:ser>
          <c:idx val="1"/>
          <c:order val="1"/>
          <c:spPr>
            <a:ln w="28575">
              <a:solidFill>
                <a:srgbClr val="FF66FF"/>
              </a:solidFill>
            </a:ln>
          </c:spPr>
          <c:marker>
            <c:symbol val="none"/>
          </c:marker>
          <c:val>
            <c:numRef>
              <c:f>[0]!graph_area22</c:f>
              <c:numCache>
                <c:formatCode>0.00</c:formatCode>
                <c:ptCount val="1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0.66666666666666663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0.4</c:v>
                </c:pt>
                <c:pt idx="9">
                  <c:v>0.33333333333333331</c:v>
                </c:pt>
                <c:pt idx="10">
                  <c:v>0.33333333333333331</c:v>
                </c:pt>
                <c:pt idx="11">
                  <c:v>0.33333333333333331</c:v>
                </c:pt>
                <c:pt idx="12">
                  <c:v>0.2857142857142857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9EA-4B7B-AEBF-BB29C4C293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51231200"/>
        <c:axId val="421105664"/>
      </c:lineChart>
      <c:catAx>
        <c:axId val="95123120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21105664"/>
        <c:crosses val="autoZero"/>
        <c:auto val="1"/>
        <c:lblAlgn val="ctr"/>
        <c:lblOffset val="100"/>
        <c:noMultiLvlLbl val="0"/>
      </c:catAx>
      <c:valAx>
        <c:axId val="42110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51231200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#3</a:t>
            </a:r>
            <a:r>
              <a:rPr lang="ja-JP" altLang="en-US"/>
              <a:t>得点率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8.3716823581024877E-2"/>
          <c:y val="0.1798758431646556"/>
          <c:w val="0.88389129483814521"/>
          <c:h val="0.69153579760863226"/>
        </c:manualLayout>
      </c:layout>
      <c:lineChart>
        <c:grouping val="standard"/>
        <c:varyColors val="0"/>
        <c:ser>
          <c:idx val="0"/>
          <c:order val="0"/>
          <c:spPr>
            <a:ln w="28575"/>
          </c:spPr>
          <c:marker>
            <c:symbol val="none"/>
          </c:marker>
          <c:val>
            <c:numRef>
              <c:f>[0]!graph_area31</c:f>
              <c:numCache>
                <c:formatCode>0.00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0.33333333333333331</c:v>
                </c:pt>
                <c:pt idx="10">
                  <c:v>0.33333333333333331</c:v>
                </c:pt>
                <c:pt idx="11">
                  <c:v>0.33333333333333331</c:v>
                </c:pt>
                <c:pt idx="12">
                  <c:v>0.2857142857142857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026-4531-B9F1-06C809ADFF38}"/>
            </c:ext>
          </c:extLst>
        </c:ser>
        <c:ser>
          <c:idx val="1"/>
          <c:order val="1"/>
          <c:spPr>
            <a:ln w="28575">
              <a:solidFill>
                <a:srgbClr val="FF66FF"/>
              </a:solidFill>
            </a:ln>
          </c:spPr>
          <c:marker>
            <c:symbol val="none"/>
          </c:marker>
          <c:val>
            <c:numRef>
              <c:f>[0]!graph_area32</c:f>
              <c:numCache>
                <c:formatCode>0.00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026-4531-B9F1-06C809ADF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51231200"/>
        <c:axId val="421105664"/>
      </c:lineChart>
      <c:catAx>
        <c:axId val="95123120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21105664"/>
        <c:crosses val="autoZero"/>
        <c:auto val="1"/>
        <c:lblAlgn val="ctr"/>
        <c:lblOffset val="100"/>
        <c:noMultiLvlLbl val="0"/>
      </c:catAx>
      <c:valAx>
        <c:axId val="421105664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51231200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#3</a:t>
            </a:r>
            <a:r>
              <a:rPr lang="ja-JP" altLang="en-US"/>
              <a:t>効果率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0314370078740158"/>
          <c:y val="0.15939814814814815"/>
          <c:w val="0.88389129483814521"/>
          <c:h val="0.69153579760863226"/>
        </c:manualLayout>
      </c:layout>
      <c:lineChart>
        <c:grouping val="standard"/>
        <c:varyColors val="0"/>
        <c:ser>
          <c:idx val="0"/>
          <c:order val="0"/>
          <c:spPr>
            <a:ln w="28575"/>
          </c:spPr>
          <c:marker>
            <c:symbol val="none"/>
          </c:marker>
          <c:val>
            <c:numRef>
              <c:f>[0]!graph_area41</c:f>
              <c:numCache>
                <c:formatCode>0.00</c:formatCode>
                <c:ptCount val="16"/>
                <c:pt idx="0">
                  <c:v>0</c:v>
                </c:pt>
                <c:pt idx="1">
                  <c:v>-0.5</c:v>
                </c:pt>
                <c:pt idx="2">
                  <c:v>-0.5</c:v>
                </c:pt>
                <c:pt idx="3">
                  <c:v>-0.5</c:v>
                </c:pt>
                <c:pt idx="4">
                  <c:v>-0.33333333333333331</c:v>
                </c:pt>
                <c:pt idx="5">
                  <c:v>-0.25</c:v>
                </c:pt>
                <c:pt idx="6">
                  <c:v>-0.25</c:v>
                </c:pt>
                <c:pt idx="7">
                  <c:v>-0.25</c:v>
                </c:pt>
                <c:pt idx="8">
                  <c:v>0</c:v>
                </c:pt>
                <c:pt idx="9">
                  <c:v>0.16666666666666666</c:v>
                </c:pt>
                <c:pt idx="10">
                  <c:v>0.16666666666666666</c:v>
                </c:pt>
                <c:pt idx="11">
                  <c:v>0.16666666666666666</c:v>
                </c:pt>
                <c:pt idx="12">
                  <c:v>0.14285714285714285</c:v>
                </c:pt>
                <c:pt idx="13">
                  <c:v>0.125</c:v>
                </c:pt>
                <c:pt idx="14">
                  <c:v>0.125</c:v>
                </c:pt>
                <c:pt idx="15">
                  <c:v>0.125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15C-4929-9E08-BEA3B3306E79}"/>
            </c:ext>
          </c:extLst>
        </c:ser>
        <c:ser>
          <c:idx val="1"/>
          <c:order val="1"/>
          <c:spPr>
            <a:ln w="28575">
              <a:solidFill>
                <a:srgbClr val="FF66FF"/>
              </a:solidFill>
            </a:ln>
          </c:spPr>
          <c:marker>
            <c:symbol val="none"/>
          </c:marker>
          <c:val>
            <c:numRef>
              <c:f>[0]!graph_area42</c:f>
              <c:numCache>
                <c:formatCode>0.00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-0.25</c:v>
                </c:pt>
                <c:pt idx="8">
                  <c:v>-0.25</c:v>
                </c:pt>
                <c:pt idx="9">
                  <c:v>-0.25</c:v>
                </c:pt>
                <c:pt idx="10">
                  <c:v>-0.2</c:v>
                </c:pt>
                <c:pt idx="11">
                  <c:v>-0.16666666666666666</c:v>
                </c:pt>
                <c:pt idx="12">
                  <c:v>-0.16666666666666666</c:v>
                </c:pt>
                <c:pt idx="13">
                  <c:v>-0.16666666666666666</c:v>
                </c:pt>
                <c:pt idx="14">
                  <c:v>-0.14285714285714285</c:v>
                </c:pt>
                <c:pt idx="15">
                  <c:v>-0.125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15C-4929-9E08-BEA3B3306E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51231200"/>
        <c:axId val="421105664"/>
      </c:lineChart>
      <c:catAx>
        <c:axId val="95123120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21105664"/>
        <c:crosses val="autoZero"/>
        <c:auto val="1"/>
        <c:lblAlgn val="ctr"/>
        <c:lblOffset val="100"/>
        <c:noMultiLvlLbl val="0"/>
      </c:catAx>
      <c:valAx>
        <c:axId val="42110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51231200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SV#3</a:t>
            </a:r>
            <a:r>
              <a:rPr lang="ja-JP" altLang="en-US"/>
              <a:t>得点率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8.3716797969077855E-2"/>
          <c:y val="0.1798758431646556"/>
          <c:w val="0.88389129483814521"/>
          <c:h val="0.69153579760863226"/>
        </c:manualLayout>
      </c:layout>
      <c:lineChart>
        <c:grouping val="standard"/>
        <c:varyColors val="0"/>
        <c:ser>
          <c:idx val="0"/>
          <c:order val="0"/>
          <c:spPr>
            <a:ln w="28575"/>
          </c:spPr>
          <c:marker>
            <c:symbol val="none"/>
          </c:marker>
          <c:val>
            <c:numRef>
              <c:f>[0]!graph_area51</c:f>
              <c:numCache>
                <c:formatCode>0.00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0.33333333333333331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0.4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0.42857142857142855</c:v>
                </c:pt>
                <c:pt idx="13">
                  <c:v>0.5</c:v>
                </c:pt>
                <c:pt idx="14">
                  <c:v>0.5</c:v>
                </c:pt>
                <c:pt idx="15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09-4C65-AAAA-D73B2928E383}"/>
            </c:ext>
          </c:extLst>
        </c:ser>
        <c:ser>
          <c:idx val="1"/>
          <c:order val="1"/>
          <c:spPr>
            <a:ln w="28575">
              <a:solidFill>
                <a:srgbClr val="FF66FF"/>
              </a:solidFill>
            </a:ln>
          </c:spPr>
          <c:marker>
            <c:symbol val="none"/>
          </c:marker>
          <c:val>
            <c:numRef>
              <c:f>[0]!graph_area52</c:f>
              <c:numCache>
                <c:formatCode>0.00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0.2</c:v>
                </c:pt>
                <c:pt idx="11">
                  <c:v>0.33333333333333331</c:v>
                </c:pt>
                <c:pt idx="12">
                  <c:v>0.33333333333333331</c:v>
                </c:pt>
                <c:pt idx="13">
                  <c:v>0.33333333333333331</c:v>
                </c:pt>
                <c:pt idx="14">
                  <c:v>0.2857142857142857</c:v>
                </c:pt>
                <c:pt idx="15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809-4C65-AAAA-D73B2928E3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51231200"/>
        <c:axId val="421105664"/>
      </c:lineChart>
      <c:catAx>
        <c:axId val="95123120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21105664"/>
        <c:crosses val="autoZero"/>
        <c:auto val="1"/>
        <c:lblAlgn val="ctr"/>
        <c:lblOffset val="100"/>
        <c:noMultiLvlLbl val="0"/>
      </c:catAx>
      <c:valAx>
        <c:axId val="42110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51231200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197</xdr:col>
      <xdr:colOff>469900</xdr:colOff>
      <xdr:row>0</xdr:row>
      <xdr:rowOff>0</xdr:rowOff>
    </xdr:from>
    <xdr:to>
      <xdr:col>202</xdr:col>
      <xdr:colOff>419100</xdr:colOff>
      <xdr:row>3</xdr:row>
      <xdr:rowOff>139700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4CA8E0C8-27A2-4293-A1FD-C0124FD4C5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106950" y="0"/>
          <a:ext cx="1651000" cy="825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157</xdr:col>
      <xdr:colOff>257174</xdr:colOff>
      <xdr:row>0</xdr:row>
      <xdr:rowOff>0</xdr:rowOff>
    </xdr:from>
    <xdr:to>
      <xdr:col>163</xdr:col>
      <xdr:colOff>231774</xdr:colOff>
      <xdr:row>3</xdr:row>
      <xdr:rowOff>138642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C5CB35A0-FAE4-4191-9197-4D8D8B8545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291591" y="0"/>
          <a:ext cx="1657350" cy="8212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334247</xdr:colOff>
      <xdr:row>0</xdr:row>
      <xdr:rowOff>70719</xdr:rowOff>
    </xdr:from>
    <xdr:to>
      <xdr:col>36</xdr:col>
      <xdr:colOff>119941</xdr:colOff>
      <xdr:row>8</xdr:row>
      <xdr:rowOff>46472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8B46CC94-3B3A-49A6-A966-F85D7E2925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36</xdr:col>
      <xdr:colOff>208825</xdr:colOff>
      <xdr:row>0</xdr:row>
      <xdr:rowOff>67544</xdr:rowOff>
    </xdr:from>
    <xdr:to>
      <xdr:col>39</xdr:col>
      <xdr:colOff>655256</xdr:colOff>
      <xdr:row>8</xdr:row>
      <xdr:rowOff>43297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2E49B0B3-A115-40E3-A640-77F45AA0A4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32</xdr:col>
      <xdr:colOff>321547</xdr:colOff>
      <xdr:row>8</xdr:row>
      <xdr:rowOff>157245</xdr:rowOff>
    </xdr:from>
    <xdr:to>
      <xdr:col>36</xdr:col>
      <xdr:colOff>107241</xdr:colOff>
      <xdr:row>17</xdr:row>
      <xdr:rowOff>11547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82097622-C1FE-4CB5-9A04-BD0A88FAF8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36</xdr:col>
      <xdr:colOff>202475</xdr:colOff>
      <xdr:row>8</xdr:row>
      <xdr:rowOff>157245</xdr:rowOff>
    </xdr:from>
    <xdr:to>
      <xdr:col>39</xdr:col>
      <xdr:colOff>648906</xdr:colOff>
      <xdr:row>17</xdr:row>
      <xdr:rowOff>11547</xdr:rowOff>
    </xdr:to>
    <xdr:graphicFrame macro="">
      <xdr:nvGraphicFramePr>
        <xdr:cNvPr id="8" name="グラフ 7">
          <a:extLst>
            <a:ext uri="{FF2B5EF4-FFF2-40B4-BE49-F238E27FC236}">
              <a16:creationId xmlns:a16="http://schemas.microsoft.com/office/drawing/2014/main" id="{F54EB0E2-1691-4EF3-B2BE-9C0EDAE533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315199</xdr:colOff>
      <xdr:row>17</xdr:row>
      <xdr:rowOff>160427</xdr:rowOff>
    </xdr:from>
    <xdr:to>
      <xdr:col>36</xdr:col>
      <xdr:colOff>100893</xdr:colOff>
      <xdr:row>26</xdr:row>
      <xdr:rowOff>11549</xdr:rowOff>
    </xdr:to>
    <xdr:graphicFrame macro="">
      <xdr:nvGraphicFramePr>
        <xdr:cNvPr id="9" name="グラフ 8">
          <a:extLst>
            <a:ext uri="{FF2B5EF4-FFF2-40B4-BE49-F238E27FC236}">
              <a16:creationId xmlns:a16="http://schemas.microsoft.com/office/drawing/2014/main" id="{24B439ED-5381-4649-91E1-F9C5786B33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21</xdr:col>
      <xdr:colOff>543367</xdr:colOff>
      <xdr:row>16</xdr:row>
      <xdr:rowOff>150811</xdr:rowOff>
    </xdr:from>
    <xdr:to>
      <xdr:col>27</xdr:col>
      <xdr:colOff>311731</xdr:colOff>
      <xdr:row>17</xdr:row>
      <xdr:rowOff>127000</xdr:rowOff>
    </xdr:to>
    <xdr:sp macro="" textlink="">
      <xdr:nvSpPr>
        <xdr:cNvPr id="2" name="減算記号 1">
          <a:extLst>
            <a:ext uri="{FF2B5EF4-FFF2-40B4-BE49-F238E27FC236}">
              <a16:creationId xmlns:a16="http://schemas.microsoft.com/office/drawing/2014/main" id="{0A977BE8-79C8-42CD-A1E0-650467F7EE7E}"/>
            </a:ext>
          </a:extLst>
        </xdr:cNvPr>
        <xdr:cNvSpPr/>
      </xdr:nvSpPr>
      <xdr:spPr>
        <a:xfrm>
          <a:off x="10079912" y="4053175"/>
          <a:ext cx="2227546" cy="207098"/>
        </a:xfrm>
        <a:prstGeom prst="mathMin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</xdr:col>
      <xdr:colOff>48496</xdr:colOff>
      <xdr:row>16</xdr:row>
      <xdr:rowOff>184148</xdr:rowOff>
    </xdr:from>
    <xdr:to>
      <xdr:col>17</xdr:col>
      <xdr:colOff>311148</xdr:colOff>
      <xdr:row>17</xdr:row>
      <xdr:rowOff>118004</xdr:rowOff>
    </xdr:to>
    <xdr:sp macro="" textlink="">
      <xdr:nvSpPr>
        <xdr:cNvPr id="10" name="減算記号 9">
          <a:extLst>
            <a:ext uri="{FF2B5EF4-FFF2-40B4-BE49-F238E27FC236}">
              <a16:creationId xmlns:a16="http://schemas.microsoft.com/office/drawing/2014/main" id="{E5ABB3C4-31B2-4849-9206-762AD2648D52}"/>
            </a:ext>
          </a:extLst>
        </xdr:cNvPr>
        <xdr:cNvSpPr/>
      </xdr:nvSpPr>
      <xdr:spPr>
        <a:xfrm>
          <a:off x="9742829" y="3602565"/>
          <a:ext cx="2336986" cy="166689"/>
        </a:xfrm>
        <a:prstGeom prst="mathMin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21167</xdr:colOff>
      <xdr:row>5</xdr:row>
      <xdr:rowOff>127716</xdr:rowOff>
    </xdr:from>
    <xdr:to>
      <xdr:col>27</xdr:col>
      <xdr:colOff>277810</xdr:colOff>
      <xdr:row>6</xdr:row>
      <xdr:rowOff>61573</xdr:rowOff>
    </xdr:to>
    <xdr:sp macro="" textlink="">
      <xdr:nvSpPr>
        <xdr:cNvPr id="13" name="減算記号 12">
          <a:extLst>
            <a:ext uri="{FF2B5EF4-FFF2-40B4-BE49-F238E27FC236}">
              <a16:creationId xmlns:a16="http://schemas.microsoft.com/office/drawing/2014/main" id="{DE12C381-E813-46CC-AC1D-FCE7B6F7B395}"/>
            </a:ext>
          </a:extLst>
        </xdr:cNvPr>
        <xdr:cNvSpPr/>
      </xdr:nvSpPr>
      <xdr:spPr>
        <a:xfrm>
          <a:off x="10111894" y="1490080"/>
          <a:ext cx="2161643" cy="164766"/>
        </a:xfrm>
        <a:prstGeom prst="mathMin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</xdr:col>
      <xdr:colOff>22755</xdr:colOff>
      <xdr:row>5</xdr:row>
      <xdr:rowOff>149513</xdr:rowOff>
    </xdr:from>
    <xdr:to>
      <xdr:col>17</xdr:col>
      <xdr:colOff>279398</xdr:colOff>
      <xdr:row>6</xdr:row>
      <xdr:rowOff>83369</xdr:rowOff>
    </xdr:to>
    <xdr:sp macro="" textlink="">
      <xdr:nvSpPr>
        <xdr:cNvPr id="14" name="減算記号 13">
          <a:extLst>
            <a:ext uri="{FF2B5EF4-FFF2-40B4-BE49-F238E27FC236}">
              <a16:creationId xmlns:a16="http://schemas.microsoft.com/office/drawing/2014/main" id="{8455B286-F670-4585-AA02-551A2D65D3D9}"/>
            </a:ext>
          </a:extLst>
        </xdr:cNvPr>
        <xdr:cNvSpPr/>
      </xdr:nvSpPr>
      <xdr:spPr>
        <a:xfrm>
          <a:off x="5252846" y="1511877"/>
          <a:ext cx="2300188" cy="164765"/>
        </a:xfrm>
        <a:prstGeom prst="mathMin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1</xdr:colOff>
      <xdr:row>41</xdr:row>
      <xdr:rowOff>150811</xdr:rowOff>
    </xdr:from>
    <xdr:to>
      <xdr:col>27</xdr:col>
      <xdr:colOff>300184</xdr:colOff>
      <xdr:row>42</xdr:row>
      <xdr:rowOff>127000</xdr:rowOff>
    </xdr:to>
    <xdr:sp macro="" textlink="">
      <xdr:nvSpPr>
        <xdr:cNvPr id="11" name="減算記号 10">
          <a:extLst>
            <a:ext uri="{FF2B5EF4-FFF2-40B4-BE49-F238E27FC236}">
              <a16:creationId xmlns:a16="http://schemas.microsoft.com/office/drawing/2014/main" id="{54D89F87-25B2-400E-89CF-C7855EBC7DCC}"/>
            </a:ext>
          </a:extLst>
        </xdr:cNvPr>
        <xdr:cNvSpPr/>
      </xdr:nvSpPr>
      <xdr:spPr>
        <a:xfrm>
          <a:off x="10090728" y="10091447"/>
          <a:ext cx="2205183" cy="230189"/>
        </a:xfrm>
        <a:prstGeom prst="mathMin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</xdr:col>
      <xdr:colOff>48496</xdr:colOff>
      <xdr:row>41</xdr:row>
      <xdr:rowOff>184148</xdr:rowOff>
    </xdr:from>
    <xdr:to>
      <xdr:col>17</xdr:col>
      <xdr:colOff>311148</xdr:colOff>
      <xdr:row>42</xdr:row>
      <xdr:rowOff>118004</xdr:rowOff>
    </xdr:to>
    <xdr:sp macro="" textlink="">
      <xdr:nvSpPr>
        <xdr:cNvPr id="12" name="減算記号 11">
          <a:extLst>
            <a:ext uri="{FF2B5EF4-FFF2-40B4-BE49-F238E27FC236}">
              <a16:creationId xmlns:a16="http://schemas.microsoft.com/office/drawing/2014/main" id="{628265BB-62A2-4A75-BDD7-210E51FA57C3}"/>
            </a:ext>
          </a:extLst>
        </xdr:cNvPr>
        <xdr:cNvSpPr/>
      </xdr:nvSpPr>
      <xdr:spPr>
        <a:xfrm>
          <a:off x="10621246" y="3625848"/>
          <a:ext cx="2326402" cy="168806"/>
        </a:xfrm>
        <a:prstGeom prst="mathMin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21</xdr:col>
      <xdr:colOff>552258</xdr:colOff>
      <xdr:row>30</xdr:row>
      <xdr:rowOff>127720</xdr:rowOff>
    </xdr:from>
    <xdr:to>
      <xdr:col>27</xdr:col>
      <xdr:colOff>254719</xdr:colOff>
      <xdr:row>31</xdr:row>
      <xdr:rowOff>107758</xdr:rowOff>
    </xdr:to>
    <xdr:sp macro="" textlink="">
      <xdr:nvSpPr>
        <xdr:cNvPr id="15" name="減算記号 14">
          <a:extLst>
            <a:ext uri="{FF2B5EF4-FFF2-40B4-BE49-F238E27FC236}">
              <a16:creationId xmlns:a16="http://schemas.microsoft.com/office/drawing/2014/main" id="{50E96D1A-251D-452E-BF72-A36395740121}"/>
            </a:ext>
          </a:extLst>
        </xdr:cNvPr>
        <xdr:cNvSpPr/>
      </xdr:nvSpPr>
      <xdr:spPr>
        <a:xfrm>
          <a:off x="10088803" y="7308993"/>
          <a:ext cx="2161643" cy="210947"/>
        </a:xfrm>
        <a:prstGeom prst="mathMin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</xdr:col>
      <xdr:colOff>22755</xdr:colOff>
      <xdr:row>30</xdr:row>
      <xdr:rowOff>184148</xdr:rowOff>
    </xdr:from>
    <xdr:to>
      <xdr:col>17</xdr:col>
      <xdr:colOff>279398</xdr:colOff>
      <xdr:row>31</xdr:row>
      <xdr:rowOff>118004</xdr:rowOff>
    </xdr:to>
    <xdr:sp macro="" textlink="">
      <xdr:nvSpPr>
        <xdr:cNvPr id="16" name="減算記号 15">
          <a:extLst>
            <a:ext uri="{FF2B5EF4-FFF2-40B4-BE49-F238E27FC236}">
              <a16:creationId xmlns:a16="http://schemas.microsoft.com/office/drawing/2014/main" id="{5D38F651-6F97-4DA4-8FDB-82447C6EC8A2}"/>
            </a:ext>
          </a:extLst>
        </xdr:cNvPr>
        <xdr:cNvSpPr/>
      </xdr:nvSpPr>
      <xdr:spPr>
        <a:xfrm>
          <a:off x="14202305" y="3625848"/>
          <a:ext cx="2174343" cy="168806"/>
        </a:xfrm>
        <a:prstGeom prst="mathMin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AE8327-1042-4900-A9FD-EF0EE5DC30ED}">
  <sheetPr codeName="Sheet3"/>
  <dimension ref="A1:Q125"/>
  <sheetViews>
    <sheetView topLeftCell="A70" workbookViewId="0">
      <selection activeCell="C87" sqref="C87"/>
    </sheetView>
  </sheetViews>
  <sheetFormatPr defaultRowHeight="18" x14ac:dyDescent="0.45"/>
  <sheetData>
    <row r="1" spans="1:17" x14ac:dyDescent="0.45">
      <c r="A1" t="s">
        <v>0</v>
      </c>
      <c r="B1" t="s">
        <v>1</v>
      </c>
      <c r="C1" t="s">
        <v>2</v>
      </c>
      <c r="D1" t="s">
        <v>3</v>
      </c>
      <c r="E1" t="s">
        <v>5</v>
      </c>
      <c r="F1" t="s">
        <v>4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</row>
    <row r="2" spans="1:17" x14ac:dyDescent="0.45">
      <c r="A2" t="s">
        <v>87</v>
      </c>
      <c r="B2" s="1">
        <v>6.5612268518518526E-4</v>
      </c>
      <c r="C2" s="1">
        <v>6.5648148148148147E-5</v>
      </c>
      <c r="D2" s="2">
        <v>0</v>
      </c>
      <c r="E2" s="2">
        <v>0</v>
      </c>
      <c r="F2" t="s">
        <v>88</v>
      </c>
      <c r="G2" t="s">
        <v>89</v>
      </c>
      <c r="H2" t="s">
        <v>87</v>
      </c>
      <c r="I2" t="s">
        <v>100</v>
      </c>
      <c r="J2" t="s">
        <v>103</v>
      </c>
      <c r="K2" t="s">
        <v>105</v>
      </c>
      <c r="L2" t="s">
        <v>103</v>
      </c>
      <c r="M2" t="s">
        <v>111</v>
      </c>
      <c r="N2" t="s">
        <v>104</v>
      </c>
    </row>
    <row r="3" spans="1:17" x14ac:dyDescent="0.45">
      <c r="A3" t="s">
        <v>87</v>
      </c>
      <c r="B3" s="1">
        <v>8.5849537037037025E-4</v>
      </c>
      <c r="C3" s="1">
        <v>7.1053240740740736E-5</v>
      </c>
      <c r="D3" s="2">
        <v>0</v>
      </c>
      <c r="E3" s="2">
        <v>0</v>
      </c>
      <c r="F3" t="s">
        <v>87</v>
      </c>
      <c r="G3" t="s">
        <v>90</v>
      </c>
      <c r="H3" t="s">
        <v>87</v>
      </c>
      <c r="I3" t="s">
        <v>100</v>
      </c>
      <c r="J3" t="s">
        <v>103</v>
      </c>
      <c r="K3" t="s">
        <v>103</v>
      </c>
      <c r="L3" t="s">
        <v>103</v>
      </c>
      <c r="M3" t="s">
        <v>112</v>
      </c>
      <c r="N3" t="s">
        <v>109</v>
      </c>
    </row>
    <row r="4" spans="1:17" x14ac:dyDescent="0.45">
      <c r="A4" t="s">
        <v>88</v>
      </c>
      <c r="B4" s="1">
        <v>1.0793865740740742E-3</v>
      </c>
      <c r="C4" s="1">
        <v>6.9513888888888897E-5</v>
      </c>
      <c r="D4" s="2">
        <v>0</v>
      </c>
      <c r="E4" s="2">
        <v>0</v>
      </c>
      <c r="F4" t="s">
        <v>88</v>
      </c>
      <c r="G4" t="s">
        <v>91</v>
      </c>
      <c r="H4" t="s">
        <v>88</v>
      </c>
      <c r="I4" t="s">
        <v>101</v>
      </c>
      <c r="J4" t="s">
        <v>103</v>
      </c>
      <c r="K4" t="s">
        <v>106</v>
      </c>
      <c r="M4" t="s">
        <v>112</v>
      </c>
      <c r="N4" t="s">
        <v>103</v>
      </c>
    </row>
    <row r="5" spans="1:17" x14ac:dyDescent="0.45">
      <c r="A5" t="s">
        <v>88</v>
      </c>
      <c r="B5" s="1">
        <v>1.2813657407407407E-3</v>
      </c>
      <c r="C5" s="1">
        <v>7.259259259259259E-5</v>
      </c>
      <c r="D5" s="2">
        <v>0</v>
      </c>
      <c r="E5" s="2">
        <v>0</v>
      </c>
      <c r="F5" t="s">
        <v>88</v>
      </c>
      <c r="G5" t="s">
        <v>91</v>
      </c>
      <c r="H5" t="s">
        <v>88</v>
      </c>
      <c r="I5" t="s">
        <v>101</v>
      </c>
      <c r="J5" t="s">
        <v>103</v>
      </c>
      <c r="K5" t="s">
        <v>107</v>
      </c>
      <c r="L5" t="s">
        <v>104</v>
      </c>
      <c r="M5" t="s">
        <v>111</v>
      </c>
      <c r="N5" t="s">
        <v>103</v>
      </c>
    </row>
    <row r="6" spans="1:17" ht="22.2" x14ac:dyDescent="0.45">
      <c r="A6" t="s">
        <v>87</v>
      </c>
      <c r="B6" s="1">
        <v>1.498402777777778E-3</v>
      </c>
      <c r="C6" s="1">
        <v>9.8854166666666673E-5</v>
      </c>
      <c r="D6" s="2">
        <v>0</v>
      </c>
      <c r="E6" s="2">
        <v>0</v>
      </c>
      <c r="F6" t="s">
        <v>88</v>
      </c>
      <c r="G6" t="s">
        <v>92</v>
      </c>
      <c r="H6" t="s">
        <v>87</v>
      </c>
      <c r="I6" t="s">
        <v>100</v>
      </c>
      <c r="J6" t="s">
        <v>103</v>
      </c>
      <c r="K6" t="s">
        <v>105</v>
      </c>
      <c r="L6" t="s">
        <v>103</v>
      </c>
      <c r="M6" t="s">
        <v>111</v>
      </c>
      <c r="N6" t="s">
        <v>106</v>
      </c>
      <c r="O6" s="25"/>
      <c r="P6" s="39"/>
      <c r="Q6" s="39"/>
    </row>
    <row r="7" spans="1:17" ht="22.2" x14ac:dyDescent="0.45">
      <c r="A7" t="s">
        <v>87</v>
      </c>
      <c r="B7" s="1">
        <v>1.7405439814814816E-3</v>
      </c>
      <c r="C7" s="1">
        <v>5.0972222222222217E-5</v>
      </c>
      <c r="D7" s="2">
        <v>0</v>
      </c>
      <c r="E7" s="2">
        <v>0</v>
      </c>
      <c r="F7" t="s">
        <v>87</v>
      </c>
      <c r="G7" t="s">
        <v>91</v>
      </c>
      <c r="H7" t="s">
        <v>87</v>
      </c>
      <c r="I7" t="s">
        <v>100</v>
      </c>
      <c r="J7" t="s">
        <v>103</v>
      </c>
      <c r="K7" t="s">
        <v>106</v>
      </c>
      <c r="L7" t="s">
        <v>103</v>
      </c>
      <c r="M7" t="s">
        <v>112</v>
      </c>
      <c r="N7" t="s">
        <v>106</v>
      </c>
      <c r="O7" s="25"/>
      <c r="P7" s="39"/>
      <c r="Q7" s="39"/>
    </row>
    <row r="8" spans="1:17" x14ac:dyDescent="0.45">
      <c r="A8" t="s">
        <v>88</v>
      </c>
      <c r="B8" s="1">
        <v>1.9591319444444443E-3</v>
      </c>
      <c r="C8" s="1">
        <v>7.0277777777777775E-5</v>
      </c>
      <c r="D8" s="2">
        <v>0</v>
      </c>
      <c r="E8" s="2">
        <v>0</v>
      </c>
      <c r="F8" t="s">
        <v>88</v>
      </c>
      <c r="G8" t="s">
        <v>91</v>
      </c>
      <c r="H8" t="s">
        <v>88</v>
      </c>
      <c r="I8" t="s">
        <v>101</v>
      </c>
      <c r="J8" t="s">
        <v>103</v>
      </c>
      <c r="K8" t="s">
        <v>108</v>
      </c>
      <c r="L8" t="s">
        <v>103</v>
      </c>
      <c r="M8" s="34" t="s">
        <v>111</v>
      </c>
      <c r="N8" s="34" t="s">
        <v>103</v>
      </c>
    </row>
    <row r="9" spans="1:17" x14ac:dyDescent="0.45">
      <c r="A9" t="s">
        <v>88</v>
      </c>
      <c r="B9" s="1">
        <v>2.1599421296296297E-3</v>
      </c>
      <c r="C9" s="1">
        <v>8.4178240740740744E-5</v>
      </c>
      <c r="D9" s="2">
        <v>0</v>
      </c>
      <c r="E9" s="2">
        <v>0</v>
      </c>
      <c r="F9" t="s">
        <v>88</v>
      </c>
      <c r="G9" t="s">
        <v>90</v>
      </c>
      <c r="H9" t="s">
        <v>88</v>
      </c>
      <c r="I9" t="s">
        <v>101</v>
      </c>
      <c r="J9" t="s">
        <v>103</v>
      </c>
      <c r="K9" s="34" t="s">
        <v>103</v>
      </c>
      <c r="L9" t="s">
        <v>103</v>
      </c>
      <c r="M9" t="s">
        <v>112</v>
      </c>
      <c r="N9" t="s">
        <v>103</v>
      </c>
    </row>
    <row r="10" spans="1:17" x14ac:dyDescent="0.45">
      <c r="A10" t="s">
        <v>87</v>
      </c>
      <c r="B10" s="1">
        <v>2.3731249999999998E-3</v>
      </c>
      <c r="C10" s="1">
        <v>9.1134259259259269E-5</v>
      </c>
      <c r="D10" s="2">
        <v>0</v>
      </c>
      <c r="E10" s="2">
        <v>0</v>
      </c>
      <c r="F10" t="s">
        <v>87</v>
      </c>
      <c r="G10" t="s">
        <v>93</v>
      </c>
      <c r="H10" t="s">
        <v>87</v>
      </c>
      <c r="I10" t="s">
        <v>101</v>
      </c>
      <c r="J10" t="s">
        <v>103</v>
      </c>
      <c r="K10" t="s">
        <v>107</v>
      </c>
      <c r="L10" t="s">
        <v>104</v>
      </c>
      <c r="M10" t="s">
        <v>113</v>
      </c>
      <c r="N10" t="s">
        <v>108</v>
      </c>
    </row>
    <row r="11" spans="1:17" x14ac:dyDescent="0.45">
      <c r="A11" t="s">
        <v>87</v>
      </c>
      <c r="B11" s="1">
        <v>2.588611111111111E-3</v>
      </c>
      <c r="C11" s="1">
        <v>1.0890046296296297E-4</v>
      </c>
      <c r="D11" s="2">
        <v>0</v>
      </c>
      <c r="E11" s="2">
        <v>0</v>
      </c>
      <c r="F11" t="s">
        <v>87</v>
      </c>
      <c r="G11" t="s">
        <v>94</v>
      </c>
      <c r="H11" t="s">
        <v>87</v>
      </c>
      <c r="I11" t="s">
        <v>101</v>
      </c>
      <c r="J11" t="s">
        <v>103</v>
      </c>
      <c r="K11" t="s">
        <v>108</v>
      </c>
      <c r="L11" t="s">
        <v>104</v>
      </c>
      <c r="M11" t="s">
        <v>112</v>
      </c>
      <c r="N11" t="s">
        <v>103</v>
      </c>
    </row>
    <row r="12" spans="1:17" x14ac:dyDescent="0.45">
      <c r="A12" t="s">
        <v>88</v>
      </c>
      <c r="B12" s="1">
        <v>2.8404050925925923E-3</v>
      </c>
      <c r="C12" s="1">
        <v>5.8692129629629621E-5</v>
      </c>
      <c r="D12" s="2">
        <v>0</v>
      </c>
      <c r="E12" s="2">
        <v>0</v>
      </c>
      <c r="G12" t="s">
        <v>95</v>
      </c>
      <c r="H12" t="s">
        <v>88</v>
      </c>
      <c r="I12" t="s">
        <v>101</v>
      </c>
      <c r="J12" t="s">
        <v>103</v>
      </c>
      <c r="K12" t="s">
        <v>108</v>
      </c>
      <c r="L12" t="s">
        <v>104</v>
      </c>
    </row>
    <row r="13" spans="1:17" x14ac:dyDescent="0.45">
      <c r="A13" t="s">
        <v>88</v>
      </c>
      <c r="B13" s="1">
        <v>2.9323263888888888E-3</v>
      </c>
      <c r="C13" s="1">
        <v>5.4062499999999999E-5</v>
      </c>
      <c r="D13" s="2">
        <v>0</v>
      </c>
      <c r="E13" s="2">
        <v>0</v>
      </c>
      <c r="F13" t="s">
        <v>88</v>
      </c>
      <c r="G13" t="s">
        <v>96</v>
      </c>
      <c r="H13" t="s">
        <v>88</v>
      </c>
      <c r="I13" t="s">
        <v>101</v>
      </c>
      <c r="J13" t="s">
        <v>103</v>
      </c>
      <c r="K13" t="s">
        <v>108</v>
      </c>
      <c r="L13" t="s">
        <v>103</v>
      </c>
      <c r="M13" t="s">
        <v>114</v>
      </c>
      <c r="N13" t="s">
        <v>117</v>
      </c>
    </row>
    <row r="14" spans="1:17" x14ac:dyDescent="0.45">
      <c r="A14" t="s">
        <v>88</v>
      </c>
      <c r="B14" s="1">
        <v>3.1092013888888888E-3</v>
      </c>
      <c r="C14" s="1">
        <v>5.8692129629629621E-5</v>
      </c>
      <c r="D14" s="2">
        <v>0</v>
      </c>
      <c r="E14" s="2">
        <v>0</v>
      </c>
      <c r="F14" t="s">
        <v>88</v>
      </c>
      <c r="G14" t="s">
        <v>96</v>
      </c>
      <c r="H14" t="s">
        <v>88</v>
      </c>
      <c r="I14" t="s">
        <v>101</v>
      </c>
      <c r="J14" t="s">
        <v>103</v>
      </c>
      <c r="K14" t="s">
        <v>105</v>
      </c>
      <c r="L14" t="s">
        <v>103</v>
      </c>
      <c r="M14" t="s">
        <v>111</v>
      </c>
      <c r="N14" t="s">
        <v>118</v>
      </c>
    </row>
    <row r="15" spans="1:17" x14ac:dyDescent="0.45">
      <c r="A15" t="s">
        <v>87</v>
      </c>
      <c r="B15" s="1">
        <v>3.3316435185185185E-3</v>
      </c>
      <c r="C15" s="1">
        <v>8.9594907407407416E-5</v>
      </c>
      <c r="D15" s="2">
        <v>0</v>
      </c>
      <c r="E15" s="2">
        <v>0</v>
      </c>
      <c r="F15" t="s">
        <v>88</v>
      </c>
      <c r="G15" t="s">
        <v>97</v>
      </c>
      <c r="H15" t="s">
        <v>87</v>
      </c>
      <c r="I15" t="s">
        <v>101</v>
      </c>
      <c r="J15" t="s">
        <v>103</v>
      </c>
      <c r="K15" t="s">
        <v>103</v>
      </c>
      <c r="L15" t="s">
        <v>103</v>
      </c>
      <c r="M15" t="s">
        <v>112</v>
      </c>
      <c r="N15" t="s">
        <v>109</v>
      </c>
    </row>
    <row r="16" spans="1:17" x14ac:dyDescent="0.45">
      <c r="A16" t="s">
        <v>87</v>
      </c>
      <c r="B16" s="1">
        <v>3.5954050925925927E-3</v>
      </c>
      <c r="C16" s="1">
        <v>4.9421296296296289E-5</v>
      </c>
      <c r="D16" s="2">
        <v>0</v>
      </c>
      <c r="E16" s="2">
        <v>0</v>
      </c>
      <c r="G16" t="s">
        <v>95</v>
      </c>
      <c r="H16" t="s">
        <v>87</v>
      </c>
      <c r="I16" t="s">
        <v>101</v>
      </c>
      <c r="J16" t="s">
        <v>103</v>
      </c>
      <c r="K16" t="s">
        <v>109</v>
      </c>
      <c r="L16" t="s">
        <v>103</v>
      </c>
    </row>
    <row r="17" spans="1:14" x14ac:dyDescent="0.45">
      <c r="A17" t="s">
        <v>87</v>
      </c>
      <c r="B17" s="1">
        <v>3.6857754629629632E-3</v>
      </c>
      <c r="C17" s="1">
        <v>5.7928240740740743E-5</v>
      </c>
      <c r="D17" s="2">
        <v>0</v>
      </c>
      <c r="E17" s="2">
        <v>0</v>
      </c>
      <c r="F17" t="s">
        <v>88</v>
      </c>
      <c r="G17" t="s">
        <v>89</v>
      </c>
      <c r="H17" t="s">
        <v>87</v>
      </c>
      <c r="I17" t="s">
        <v>101</v>
      </c>
      <c r="J17" t="s">
        <v>103</v>
      </c>
      <c r="K17" t="s">
        <v>106</v>
      </c>
      <c r="L17" t="s">
        <v>103</v>
      </c>
      <c r="M17" t="s">
        <v>112</v>
      </c>
      <c r="N17" t="s">
        <v>104</v>
      </c>
    </row>
    <row r="18" spans="1:14" x14ac:dyDescent="0.45">
      <c r="A18" t="s">
        <v>88</v>
      </c>
      <c r="B18" s="1">
        <v>3.8483564814814817E-3</v>
      </c>
      <c r="C18" s="1">
        <v>7.5682870370370365E-5</v>
      </c>
      <c r="D18" s="2">
        <v>0</v>
      </c>
      <c r="E18" s="2">
        <v>0</v>
      </c>
      <c r="F18" t="s">
        <v>88</v>
      </c>
      <c r="G18" t="s">
        <v>90</v>
      </c>
      <c r="H18" t="s">
        <v>88</v>
      </c>
      <c r="I18" t="s">
        <v>101</v>
      </c>
      <c r="J18" t="s">
        <v>103</v>
      </c>
      <c r="K18" t="s">
        <v>108</v>
      </c>
      <c r="L18" t="s">
        <v>104</v>
      </c>
      <c r="M18" t="s">
        <v>112</v>
      </c>
      <c r="N18" t="s">
        <v>106</v>
      </c>
    </row>
    <row r="19" spans="1:14" x14ac:dyDescent="0.45">
      <c r="A19" t="s">
        <v>88</v>
      </c>
      <c r="B19" s="1">
        <v>4.9907060185185185E-3</v>
      </c>
      <c r="C19" s="1">
        <v>7.0277777777777775E-5</v>
      </c>
      <c r="D19" s="2">
        <v>6.9444444444444447E-4</v>
      </c>
      <c r="E19" s="2">
        <v>0</v>
      </c>
      <c r="F19" t="s">
        <v>88</v>
      </c>
      <c r="G19" t="s">
        <v>90</v>
      </c>
      <c r="H19" t="s">
        <v>88</v>
      </c>
      <c r="I19" t="s">
        <v>101</v>
      </c>
      <c r="J19" t="s">
        <v>103</v>
      </c>
      <c r="K19" t="s">
        <v>103</v>
      </c>
      <c r="L19" t="s">
        <v>103</v>
      </c>
      <c r="M19" t="s">
        <v>112</v>
      </c>
      <c r="N19" t="s">
        <v>106</v>
      </c>
    </row>
    <row r="20" spans="1:14" x14ac:dyDescent="0.45">
      <c r="A20" t="s">
        <v>88</v>
      </c>
      <c r="B20" s="1">
        <v>5.1710532407407408E-3</v>
      </c>
      <c r="C20" s="1">
        <v>8.2638888888888877E-5</v>
      </c>
      <c r="D20" s="2">
        <v>6.9444444444444447E-4</v>
      </c>
      <c r="E20" s="2">
        <v>0</v>
      </c>
      <c r="F20" t="s">
        <v>88</v>
      </c>
      <c r="G20" t="s">
        <v>93</v>
      </c>
      <c r="H20" t="s">
        <v>88</v>
      </c>
      <c r="I20" t="s">
        <v>101</v>
      </c>
      <c r="J20" t="s">
        <v>103</v>
      </c>
      <c r="K20" t="s">
        <v>110</v>
      </c>
      <c r="L20" t="s">
        <v>104</v>
      </c>
      <c r="M20" t="s">
        <v>112</v>
      </c>
      <c r="N20" t="s">
        <v>110</v>
      </c>
    </row>
    <row r="21" spans="1:14" x14ac:dyDescent="0.45">
      <c r="A21" t="s">
        <v>87</v>
      </c>
      <c r="B21" s="1">
        <v>5.4491087962962965E-3</v>
      </c>
      <c r="C21" s="1">
        <v>5.3287037037037039E-5</v>
      </c>
      <c r="D21" s="2">
        <v>6.9444444444444447E-4</v>
      </c>
      <c r="E21" s="2">
        <v>0</v>
      </c>
      <c r="F21" t="s">
        <v>88</v>
      </c>
      <c r="G21" t="s">
        <v>89</v>
      </c>
      <c r="H21" t="s">
        <v>87</v>
      </c>
      <c r="I21" t="s">
        <v>100</v>
      </c>
      <c r="J21" t="s">
        <v>103</v>
      </c>
      <c r="K21" t="s">
        <v>106</v>
      </c>
      <c r="L21" t="s">
        <v>103</v>
      </c>
      <c r="M21" t="s">
        <v>112</v>
      </c>
      <c r="N21" t="s">
        <v>106</v>
      </c>
    </row>
    <row r="22" spans="1:14" x14ac:dyDescent="0.45">
      <c r="A22" t="s">
        <v>87</v>
      </c>
      <c r="B22" s="1">
        <v>5.6387268518518522E-3</v>
      </c>
      <c r="C22" s="1">
        <v>6.3333333333333332E-5</v>
      </c>
      <c r="D22" s="2">
        <v>6.9444444444444447E-4</v>
      </c>
      <c r="E22" s="2">
        <v>0</v>
      </c>
      <c r="F22" t="s">
        <v>88</v>
      </c>
      <c r="G22" t="s">
        <v>98</v>
      </c>
      <c r="H22" t="s">
        <v>87</v>
      </c>
      <c r="I22" t="s">
        <v>102</v>
      </c>
      <c r="J22" t="s">
        <v>103</v>
      </c>
      <c r="K22" t="s">
        <v>107</v>
      </c>
      <c r="L22" t="s">
        <v>104</v>
      </c>
      <c r="M22" t="s">
        <v>111</v>
      </c>
      <c r="N22" t="s">
        <v>106</v>
      </c>
    </row>
    <row r="23" spans="1:14" x14ac:dyDescent="0.45">
      <c r="A23" t="s">
        <v>88</v>
      </c>
      <c r="B23" s="1">
        <v>5.8353009259259269E-3</v>
      </c>
      <c r="C23" s="1">
        <v>7.1828703703703711E-5</v>
      </c>
      <c r="D23" s="2">
        <v>6.9444444444444447E-4</v>
      </c>
      <c r="E23" s="2">
        <v>0</v>
      </c>
      <c r="F23" t="s">
        <v>88</v>
      </c>
      <c r="G23" t="s">
        <v>91</v>
      </c>
      <c r="H23" t="s">
        <v>88</v>
      </c>
      <c r="I23" t="s">
        <v>101</v>
      </c>
      <c r="J23" t="s">
        <v>103</v>
      </c>
      <c r="K23" t="s">
        <v>107</v>
      </c>
      <c r="L23" t="s">
        <v>104</v>
      </c>
      <c r="M23" t="s">
        <v>113</v>
      </c>
      <c r="N23" t="s">
        <v>108</v>
      </c>
    </row>
    <row r="24" spans="1:14" x14ac:dyDescent="0.45">
      <c r="A24" t="s">
        <v>88</v>
      </c>
      <c r="B24" s="1">
        <v>6.0314814814814814E-3</v>
      </c>
      <c r="C24" s="1">
        <v>6.4097222222222225E-5</v>
      </c>
      <c r="D24" s="2">
        <v>6.9444444444444447E-4</v>
      </c>
      <c r="E24" s="2">
        <v>0</v>
      </c>
      <c r="F24" t="s">
        <v>88</v>
      </c>
      <c r="G24" t="s">
        <v>91</v>
      </c>
      <c r="H24" t="s">
        <v>88</v>
      </c>
      <c r="I24" t="s">
        <v>101</v>
      </c>
      <c r="J24" t="s">
        <v>103</v>
      </c>
      <c r="K24" t="s">
        <v>108</v>
      </c>
      <c r="L24" t="s">
        <v>104</v>
      </c>
      <c r="M24" t="s">
        <v>113</v>
      </c>
      <c r="N24" t="s">
        <v>108</v>
      </c>
    </row>
    <row r="25" spans="1:14" x14ac:dyDescent="0.45">
      <c r="A25" t="s">
        <v>87</v>
      </c>
      <c r="B25" s="1">
        <v>6.396817129629629E-3</v>
      </c>
      <c r="C25" s="1">
        <v>6.4097222222222225E-5</v>
      </c>
      <c r="D25" s="2">
        <v>6.9444444444444447E-4</v>
      </c>
      <c r="E25" s="2">
        <v>0</v>
      </c>
      <c r="F25" t="s">
        <v>88</v>
      </c>
      <c r="G25" t="s">
        <v>89</v>
      </c>
      <c r="H25" t="s">
        <v>87</v>
      </c>
      <c r="I25" t="s">
        <v>101</v>
      </c>
      <c r="J25" t="s">
        <v>103</v>
      </c>
      <c r="K25" t="s">
        <v>107</v>
      </c>
      <c r="L25" t="s">
        <v>104</v>
      </c>
      <c r="M25" t="s">
        <v>113</v>
      </c>
      <c r="N25" t="s">
        <v>108</v>
      </c>
    </row>
    <row r="26" spans="1:14" x14ac:dyDescent="0.45">
      <c r="A26" t="s">
        <v>87</v>
      </c>
      <c r="B26" s="1">
        <v>6.574849537037037E-3</v>
      </c>
      <c r="C26" s="1">
        <v>4.7881944444444449E-5</v>
      </c>
      <c r="D26" s="2">
        <v>6.9444444444444447E-4</v>
      </c>
      <c r="E26" s="2">
        <v>0</v>
      </c>
      <c r="F26" t="s">
        <v>87</v>
      </c>
      <c r="G26" t="s">
        <v>96</v>
      </c>
      <c r="H26" t="s">
        <v>87</v>
      </c>
      <c r="I26" t="s">
        <v>100</v>
      </c>
      <c r="J26" t="s">
        <v>104</v>
      </c>
      <c r="K26" t="s">
        <v>103</v>
      </c>
      <c r="L26" t="s">
        <v>103</v>
      </c>
      <c r="M26" t="s">
        <v>115</v>
      </c>
    </row>
    <row r="27" spans="1:14" x14ac:dyDescent="0.45">
      <c r="A27" t="s">
        <v>88</v>
      </c>
      <c r="B27" s="1">
        <v>6.7428472222222221E-3</v>
      </c>
      <c r="C27" s="1">
        <v>8.804398148148148E-5</v>
      </c>
      <c r="D27" s="2">
        <v>6.9444444444444447E-4</v>
      </c>
      <c r="E27" s="2">
        <v>0</v>
      </c>
      <c r="F27" t="s">
        <v>87</v>
      </c>
      <c r="G27" t="s">
        <v>97</v>
      </c>
      <c r="H27" t="s">
        <v>88</v>
      </c>
      <c r="I27" t="s">
        <v>101</v>
      </c>
      <c r="J27" t="s">
        <v>103</v>
      </c>
      <c r="K27" t="s">
        <v>103</v>
      </c>
      <c r="L27" t="s">
        <v>103</v>
      </c>
      <c r="M27" t="s">
        <v>112</v>
      </c>
      <c r="N27" t="s">
        <v>106</v>
      </c>
    </row>
    <row r="28" spans="1:14" x14ac:dyDescent="0.45">
      <c r="A28" t="s">
        <v>88</v>
      </c>
      <c r="B28" s="1">
        <v>6.9683796296296299E-3</v>
      </c>
      <c r="C28" s="1">
        <v>6.7187499999999986E-5</v>
      </c>
      <c r="D28" s="2">
        <v>6.9444444444444447E-4</v>
      </c>
      <c r="E28" s="2">
        <v>0</v>
      </c>
      <c r="F28" t="s">
        <v>88</v>
      </c>
      <c r="G28" t="s">
        <v>91</v>
      </c>
      <c r="H28" t="s">
        <v>88</v>
      </c>
      <c r="I28" t="s">
        <v>101</v>
      </c>
      <c r="J28" t="s">
        <v>103</v>
      </c>
      <c r="K28" t="s">
        <v>108</v>
      </c>
      <c r="L28" t="s">
        <v>103</v>
      </c>
      <c r="M28" t="s">
        <v>114</v>
      </c>
      <c r="N28" t="s">
        <v>110</v>
      </c>
    </row>
    <row r="29" spans="1:14" x14ac:dyDescent="0.45">
      <c r="A29" t="s">
        <v>87</v>
      </c>
      <c r="B29" s="1">
        <v>7.1962268518518521E-3</v>
      </c>
      <c r="C29" s="1">
        <v>7.3368055555555564E-5</v>
      </c>
      <c r="D29" s="2">
        <v>6.9444444444444447E-4</v>
      </c>
      <c r="E29" s="2">
        <v>0</v>
      </c>
      <c r="F29" t="s">
        <v>87</v>
      </c>
      <c r="G29" t="s">
        <v>90</v>
      </c>
      <c r="H29" t="s">
        <v>87</v>
      </c>
      <c r="I29" t="s">
        <v>102</v>
      </c>
      <c r="J29" t="s">
        <v>104</v>
      </c>
      <c r="K29" t="s">
        <v>107</v>
      </c>
      <c r="L29" t="s">
        <v>104</v>
      </c>
      <c r="M29" t="s">
        <v>111</v>
      </c>
      <c r="N29" t="s">
        <v>106</v>
      </c>
    </row>
    <row r="30" spans="1:14" x14ac:dyDescent="0.45">
      <c r="A30" t="s">
        <v>87</v>
      </c>
      <c r="B30" s="1">
        <v>7.4167361111111109E-3</v>
      </c>
      <c r="C30" s="1">
        <v>7.4143518518518512E-5</v>
      </c>
      <c r="D30" s="2">
        <v>6.9444444444444447E-4</v>
      </c>
      <c r="E30" s="2">
        <v>0</v>
      </c>
      <c r="F30" t="s">
        <v>88</v>
      </c>
      <c r="G30" t="s">
        <v>98</v>
      </c>
      <c r="H30" t="s">
        <v>87</v>
      </c>
      <c r="I30" t="s">
        <v>100</v>
      </c>
      <c r="J30" t="s">
        <v>104</v>
      </c>
      <c r="K30" t="s">
        <v>103</v>
      </c>
      <c r="L30" t="s">
        <v>103</v>
      </c>
      <c r="M30" t="s">
        <v>112</v>
      </c>
      <c r="N30" t="s">
        <v>106</v>
      </c>
    </row>
    <row r="31" spans="1:14" x14ac:dyDescent="0.45">
      <c r="A31" t="s">
        <v>88</v>
      </c>
      <c r="B31" s="1">
        <v>7.623356481481481E-3</v>
      </c>
      <c r="C31" s="1">
        <v>5.483796296296296E-5</v>
      </c>
      <c r="D31" s="2">
        <v>6.9444444444444447E-4</v>
      </c>
      <c r="E31" s="2">
        <v>0</v>
      </c>
      <c r="F31" t="s">
        <v>88</v>
      </c>
      <c r="G31" t="s">
        <v>96</v>
      </c>
      <c r="H31" t="s">
        <v>88</v>
      </c>
      <c r="I31" t="s">
        <v>101</v>
      </c>
      <c r="J31" t="s">
        <v>103</v>
      </c>
      <c r="K31" t="s">
        <v>108</v>
      </c>
      <c r="L31" t="s">
        <v>104</v>
      </c>
      <c r="M31" t="s">
        <v>111</v>
      </c>
      <c r="N31" t="s">
        <v>119</v>
      </c>
    </row>
    <row r="32" spans="1:14" x14ac:dyDescent="0.45">
      <c r="A32" t="s">
        <v>88</v>
      </c>
      <c r="B32" s="1">
        <v>7.7419097222222221E-3</v>
      </c>
      <c r="C32" s="1">
        <v>5.3287037037037039E-5</v>
      </c>
      <c r="D32" s="2">
        <v>6.9444444444444447E-4</v>
      </c>
      <c r="E32" s="2">
        <v>0</v>
      </c>
      <c r="F32" t="s">
        <v>87</v>
      </c>
      <c r="G32" t="s">
        <v>89</v>
      </c>
      <c r="H32" t="s">
        <v>88</v>
      </c>
      <c r="I32" t="s">
        <v>101</v>
      </c>
      <c r="J32" t="s">
        <v>103</v>
      </c>
      <c r="K32" t="s">
        <v>108</v>
      </c>
      <c r="L32" t="s">
        <v>103</v>
      </c>
      <c r="M32" t="s">
        <v>114</v>
      </c>
      <c r="N32" t="s">
        <v>103</v>
      </c>
    </row>
    <row r="33" spans="1:14" x14ac:dyDescent="0.45">
      <c r="A33" t="s">
        <v>87</v>
      </c>
      <c r="B33" s="1">
        <v>7.9265046296296288E-3</v>
      </c>
      <c r="C33" s="1">
        <v>5.9467592592592589E-5</v>
      </c>
      <c r="D33" s="2">
        <v>6.9444444444444447E-4</v>
      </c>
      <c r="E33" s="2">
        <v>0</v>
      </c>
      <c r="F33" t="s">
        <v>88</v>
      </c>
      <c r="G33" t="s">
        <v>89</v>
      </c>
      <c r="H33" t="s">
        <v>87</v>
      </c>
      <c r="I33" t="s">
        <v>100</v>
      </c>
      <c r="J33" t="s">
        <v>103</v>
      </c>
      <c r="K33" t="s">
        <v>103</v>
      </c>
      <c r="L33" t="s">
        <v>103</v>
      </c>
      <c r="M33" t="s">
        <v>112</v>
      </c>
      <c r="N33" t="s">
        <v>110</v>
      </c>
    </row>
    <row r="34" spans="1:14" x14ac:dyDescent="0.45">
      <c r="A34" t="s">
        <v>87</v>
      </c>
      <c r="B34" s="1">
        <v>8.9850462962962965E-3</v>
      </c>
      <c r="C34" s="1">
        <v>9.0358796296296321E-5</v>
      </c>
      <c r="D34" s="2">
        <v>1.3888888888888889E-3</v>
      </c>
      <c r="E34" s="2">
        <v>0</v>
      </c>
      <c r="F34" t="s">
        <v>88</v>
      </c>
      <c r="G34" t="s">
        <v>97</v>
      </c>
      <c r="H34" t="s">
        <v>87</v>
      </c>
      <c r="I34" t="s">
        <v>100</v>
      </c>
      <c r="J34" t="s">
        <v>103</v>
      </c>
      <c r="K34" t="s">
        <v>106</v>
      </c>
      <c r="L34" t="s">
        <v>103</v>
      </c>
      <c r="M34" t="s">
        <v>112</v>
      </c>
      <c r="N34" t="s">
        <v>106</v>
      </c>
    </row>
    <row r="35" spans="1:14" x14ac:dyDescent="0.45">
      <c r="A35" t="s">
        <v>87</v>
      </c>
      <c r="B35" s="1">
        <v>9.2268055555555558E-3</v>
      </c>
      <c r="C35" s="1">
        <v>6.178240740740741E-5</v>
      </c>
      <c r="D35" s="2">
        <v>1.3888888888888889E-3</v>
      </c>
      <c r="E35" s="2">
        <v>0</v>
      </c>
      <c r="F35" t="s">
        <v>88</v>
      </c>
      <c r="G35" t="s">
        <v>89</v>
      </c>
      <c r="H35" t="s">
        <v>87</v>
      </c>
      <c r="I35" t="s">
        <v>102</v>
      </c>
      <c r="J35" t="s">
        <v>103</v>
      </c>
      <c r="K35" t="s">
        <v>108</v>
      </c>
      <c r="L35" t="s">
        <v>103</v>
      </c>
      <c r="M35" t="s">
        <v>113</v>
      </c>
      <c r="N35" t="s">
        <v>108</v>
      </c>
    </row>
    <row r="36" spans="1:14" x14ac:dyDescent="0.45">
      <c r="A36" t="s">
        <v>88</v>
      </c>
      <c r="B36" s="1">
        <v>9.4222106481481483E-3</v>
      </c>
      <c r="C36" s="1">
        <v>8.5729166666666666E-5</v>
      </c>
      <c r="D36" s="2">
        <v>1.3888888888888889E-3</v>
      </c>
      <c r="E36" s="2">
        <v>0</v>
      </c>
      <c r="F36" t="s">
        <v>88</v>
      </c>
      <c r="G36" t="s">
        <v>93</v>
      </c>
      <c r="H36" t="s">
        <v>88</v>
      </c>
      <c r="I36" t="s">
        <v>101</v>
      </c>
      <c r="J36" t="s">
        <v>103</v>
      </c>
      <c r="K36" t="s">
        <v>107</v>
      </c>
      <c r="L36" t="s">
        <v>103</v>
      </c>
      <c r="M36" t="s">
        <v>114</v>
      </c>
      <c r="N36" t="s">
        <v>104</v>
      </c>
    </row>
    <row r="37" spans="1:14" x14ac:dyDescent="0.45">
      <c r="A37" t="s">
        <v>88</v>
      </c>
      <c r="B37" s="1">
        <v>1.0396956018518517E-2</v>
      </c>
      <c r="C37" s="1">
        <v>7.0277777777777775E-5</v>
      </c>
      <c r="D37" s="2">
        <v>1.3888888888888889E-3</v>
      </c>
      <c r="E37" s="2">
        <v>4.1666666666666664E-2</v>
      </c>
      <c r="F37" t="s">
        <v>87</v>
      </c>
      <c r="G37" t="s">
        <v>98</v>
      </c>
      <c r="H37" t="s">
        <v>88</v>
      </c>
      <c r="I37" t="s">
        <v>101</v>
      </c>
      <c r="J37" t="s">
        <v>103</v>
      </c>
      <c r="K37" t="s">
        <v>103</v>
      </c>
      <c r="L37" t="s">
        <v>103</v>
      </c>
      <c r="M37" t="s">
        <v>112</v>
      </c>
      <c r="N37" t="s">
        <v>104</v>
      </c>
    </row>
    <row r="38" spans="1:14" x14ac:dyDescent="0.45">
      <c r="A38" t="s">
        <v>87</v>
      </c>
      <c r="B38" s="1">
        <v>1.0584641203703704E-2</v>
      </c>
      <c r="C38" s="1">
        <v>5.6377314814814821E-5</v>
      </c>
      <c r="D38" s="2">
        <v>1.3888888888888889E-3</v>
      </c>
      <c r="E38" s="2">
        <v>4.1666666666666664E-2</v>
      </c>
      <c r="F38" t="s">
        <v>87</v>
      </c>
      <c r="G38" t="s">
        <v>96</v>
      </c>
      <c r="H38" t="s">
        <v>87</v>
      </c>
      <c r="I38" t="s">
        <v>100</v>
      </c>
      <c r="J38" t="s">
        <v>103</v>
      </c>
      <c r="K38" t="s">
        <v>106</v>
      </c>
      <c r="L38" t="s">
        <v>104</v>
      </c>
      <c r="M38" t="s">
        <v>112</v>
      </c>
      <c r="N38" t="s">
        <v>117</v>
      </c>
    </row>
    <row r="39" spans="1:14" x14ac:dyDescent="0.45">
      <c r="A39" t="s">
        <v>87</v>
      </c>
      <c r="B39" s="1">
        <v>1.0763067129629629E-2</v>
      </c>
      <c r="C39" s="1">
        <v>6.178240740740741E-5</v>
      </c>
      <c r="D39" s="2">
        <v>1.3888888888888889E-3</v>
      </c>
      <c r="E39" s="2">
        <v>4.1666666666666664E-2</v>
      </c>
      <c r="F39" t="s">
        <v>87</v>
      </c>
      <c r="G39" t="s">
        <v>90</v>
      </c>
      <c r="H39" t="s">
        <v>87</v>
      </c>
      <c r="I39" t="s">
        <v>100</v>
      </c>
      <c r="J39" t="s">
        <v>103</v>
      </c>
      <c r="K39" t="s">
        <v>106</v>
      </c>
      <c r="L39" t="s">
        <v>103</v>
      </c>
      <c r="M39" t="s">
        <v>112</v>
      </c>
      <c r="N39" t="s">
        <v>105</v>
      </c>
    </row>
    <row r="40" spans="1:14" x14ac:dyDescent="0.45">
      <c r="A40" t="s">
        <v>88</v>
      </c>
      <c r="B40" s="1">
        <v>1.0994780092592594E-2</v>
      </c>
      <c r="C40" s="1">
        <v>7.4143518518518512E-5</v>
      </c>
      <c r="D40" s="2">
        <v>1.3888888888888889E-3</v>
      </c>
      <c r="E40" s="2">
        <v>4.1666666666666664E-2</v>
      </c>
      <c r="F40" t="s">
        <v>87</v>
      </c>
      <c r="G40" t="s">
        <v>98</v>
      </c>
      <c r="H40" t="s">
        <v>88</v>
      </c>
      <c r="I40" t="s">
        <v>101</v>
      </c>
      <c r="J40" t="s">
        <v>103</v>
      </c>
      <c r="K40" t="s">
        <v>107</v>
      </c>
      <c r="M40" t="s">
        <v>113</v>
      </c>
      <c r="N40" t="s">
        <v>109</v>
      </c>
    </row>
    <row r="41" spans="1:14" x14ac:dyDescent="0.45">
      <c r="A41" t="s">
        <v>88</v>
      </c>
      <c r="B41" s="1">
        <v>1.1195590277777777E-2</v>
      </c>
      <c r="C41" s="1">
        <v>5.8692129629629621E-5</v>
      </c>
      <c r="D41" s="2">
        <v>1.3888888888888889E-3</v>
      </c>
      <c r="E41" s="2">
        <v>4.1666666666666664E-2</v>
      </c>
      <c r="F41" t="s">
        <v>87</v>
      </c>
      <c r="G41" t="s">
        <v>89</v>
      </c>
      <c r="H41" t="s">
        <v>88</v>
      </c>
      <c r="I41" t="s">
        <v>101</v>
      </c>
      <c r="J41" t="s">
        <v>103</v>
      </c>
      <c r="K41" t="s">
        <v>108</v>
      </c>
      <c r="L41" t="s">
        <v>104</v>
      </c>
      <c r="M41" t="s">
        <v>111</v>
      </c>
      <c r="N41" t="s">
        <v>106</v>
      </c>
    </row>
    <row r="42" spans="1:14" x14ac:dyDescent="0.45">
      <c r="A42" t="s">
        <v>87</v>
      </c>
      <c r="B42" s="1">
        <v>1.1423055555555556E-2</v>
      </c>
      <c r="C42" s="1">
        <v>6.2557870370370371E-5</v>
      </c>
      <c r="D42" s="2">
        <v>1.3888888888888889E-3</v>
      </c>
      <c r="E42" s="2">
        <v>4.1666666666666664E-2</v>
      </c>
      <c r="F42" t="s">
        <v>87</v>
      </c>
      <c r="G42" t="s">
        <v>91</v>
      </c>
      <c r="H42" t="s">
        <v>87</v>
      </c>
      <c r="I42" t="s">
        <v>100</v>
      </c>
      <c r="J42" t="s">
        <v>103</v>
      </c>
      <c r="K42" t="s">
        <v>103</v>
      </c>
      <c r="L42" t="s">
        <v>103</v>
      </c>
      <c r="M42" t="s">
        <v>112</v>
      </c>
      <c r="N42" t="s">
        <v>109</v>
      </c>
    </row>
    <row r="43" spans="1:14" x14ac:dyDescent="0.45">
      <c r="A43" t="s">
        <v>87</v>
      </c>
      <c r="B43" s="1">
        <v>1.1612291666666665E-2</v>
      </c>
      <c r="C43" s="1">
        <v>6.7187499999999986E-5</v>
      </c>
      <c r="D43" s="2">
        <v>1.3888888888888889E-3</v>
      </c>
      <c r="E43" s="2">
        <v>4.1666666666666664E-2</v>
      </c>
      <c r="F43" t="s">
        <v>87</v>
      </c>
      <c r="G43" t="s">
        <v>91</v>
      </c>
      <c r="H43" t="s">
        <v>87</v>
      </c>
      <c r="I43" t="s">
        <v>102</v>
      </c>
      <c r="J43" t="s">
        <v>103</v>
      </c>
      <c r="K43" t="s">
        <v>107</v>
      </c>
      <c r="L43" t="s">
        <v>103</v>
      </c>
      <c r="M43" t="s">
        <v>113</v>
      </c>
      <c r="N43" t="s">
        <v>107</v>
      </c>
    </row>
    <row r="44" spans="1:14" x14ac:dyDescent="0.45">
      <c r="A44" t="s">
        <v>88</v>
      </c>
      <c r="B44" s="1">
        <v>1.1838206018518519E-2</v>
      </c>
      <c r="C44" s="1">
        <v>5.2511574074074071E-5</v>
      </c>
      <c r="D44" s="2">
        <v>1.3888888888888889E-3</v>
      </c>
      <c r="E44" s="2">
        <v>4.1666666666666664E-2</v>
      </c>
      <c r="F44" t="s">
        <v>88</v>
      </c>
      <c r="G44" t="s">
        <v>96</v>
      </c>
      <c r="H44" t="s">
        <v>88</v>
      </c>
      <c r="I44" t="s">
        <v>101</v>
      </c>
      <c r="J44" t="s">
        <v>103</v>
      </c>
      <c r="K44" t="s">
        <v>107</v>
      </c>
      <c r="L44" t="s">
        <v>104</v>
      </c>
      <c r="M44" t="s">
        <v>111</v>
      </c>
      <c r="N44" t="s">
        <v>118</v>
      </c>
    </row>
    <row r="45" spans="1:14" x14ac:dyDescent="0.45">
      <c r="A45" t="s">
        <v>88</v>
      </c>
      <c r="B45" s="1">
        <v>1.2003495370370371E-2</v>
      </c>
      <c r="C45" s="1">
        <v>5.4062499999999999E-5</v>
      </c>
      <c r="D45" s="2">
        <v>1.3888888888888889E-3</v>
      </c>
      <c r="E45" s="2">
        <v>4.1666666666666664E-2</v>
      </c>
      <c r="F45" t="s">
        <v>88</v>
      </c>
      <c r="G45" t="s">
        <v>96</v>
      </c>
      <c r="H45" t="s">
        <v>88</v>
      </c>
      <c r="I45" t="s">
        <v>101</v>
      </c>
      <c r="J45" t="s">
        <v>103</v>
      </c>
      <c r="K45" t="s">
        <v>103</v>
      </c>
      <c r="L45" t="s">
        <v>103</v>
      </c>
      <c r="M45" t="s">
        <v>111</v>
      </c>
    </row>
    <row r="46" spans="1:14" x14ac:dyDescent="0.45">
      <c r="A46" t="s">
        <v>87</v>
      </c>
      <c r="B46" s="1">
        <v>1.2293912037037037E-2</v>
      </c>
      <c r="C46" s="1">
        <v>8.6504629629629627E-5</v>
      </c>
      <c r="D46" s="2">
        <v>1.3888888888888889E-3</v>
      </c>
      <c r="E46" s="2">
        <v>4.1666666666666664E-2</v>
      </c>
      <c r="F46" t="s">
        <v>87</v>
      </c>
      <c r="G46" t="s">
        <v>94</v>
      </c>
      <c r="H46" t="s">
        <v>87</v>
      </c>
      <c r="I46" t="s">
        <v>100</v>
      </c>
      <c r="J46" t="s">
        <v>103</v>
      </c>
      <c r="K46" t="s">
        <v>103</v>
      </c>
      <c r="L46" t="s">
        <v>103</v>
      </c>
      <c r="M46" t="s">
        <v>112</v>
      </c>
      <c r="N46" t="s">
        <v>110</v>
      </c>
    </row>
    <row r="47" spans="1:14" x14ac:dyDescent="0.45">
      <c r="A47" t="s">
        <v>87</v>
      </c>
      <c r="B47" s="1">
        <v>1.2568877314814814E-2</v>
      </c>
      <c r="C47" s="1">
        <v>5.8692129629629621E-5</v>
      </c>
      <c r="D47" s="2">
        <v>1.3888888888888889E-3</v>
      </c>
      <c r="E47" s="2">
        <v>4.1666666666666664E-2</v>
      </c>
      <c r="F47" t="s">
        <v>87</v>
      </c>
      <c r="G47" t="s">
        <v>96</v>
      </c>
      <c r="H47" t="s">
        <v>87</v>
      </c>
      <c r="I47" t="s">
        <v>102</v>
      </c>
      <c r="J47" t="s">
        <v>103</v>
      </c>
      <c r="K47" t="s">
        <v>105</v>
      </c>
      <c r="L47" t="s">
        <v>103</v>
      </c>
      <c r="M47" t="s">
        <v>111</v>
      </c>
      <c r="N47" t="s">
        <v>118</v>
      </c>
    </row>
    <row r="48" spans="1:14" x14ac:dyDescent="0.45">
      <c r="A48" t="s">
        <v>88</v>
      </c>
      <c r="B48" s="1">
        <v>1.2716400462962962E-2</v>
      </c>
      <c r="C48" s="1">
        <v>5.5601851851851853E-5</v>
      </c>
      <c r="D48" s="2">
        <v>1.3888888888888889E-3</v>
      </c>
      <c r="E48" s="2">
        <v>4.1666666666666664E-2</v>
      </c>
      <c r="F48" t="s">
        <v>87</v>
      </c>
      <c r="G48" t="s">
        <v>98</v>
      </c>
      <c r="H48" t="s">
        <v>88</v>
      </c>
      <c r="I48" t="s">
        <v>101</v>
      </c>
      <c r="J48" t="s">
        <v>103</v>
      </c>
      <c r="K48" t="s">
        <v>103</v>
      </c>
      <c r="L48" t="s">
        <v>103</v>
      </c>
      <c r="M48" t="s">
        <v>112</v>
      </c>
      <c r="N48" t="s">
        <v>106</v>
      </c>
    </row>
    <row r="49" spans="1:14" x14ac:dyDescent="0.45">
      <c r="A49" t="s">
        <v>88</v>
      </c>
      <c r="B49" s="1">
        <v>1.2861226851851855E-2</v>
      </c>
      <c r="C49" s="1">
        <v>7.0277777777777775E-5</v>
      </c>
      <c r="D49" s="2">
        <v>1.3888888888888889E-3</v>
      </c>
      <c r="E49" s="2">
        <v>4.1666666666666664E-2</v>
      </c>
      <c r="F49" t="s">
        <v>87</v>
      </c>
      <c r="G49" t="s">
        <v>92</v>
      </c>
      <c r="H49" t="s">
        <v>88</v>
      </c>
      <c r="I49" t="s">
        <v>101</v>
      </c>
      <c r="J49" t="s">
        <v>103</v>
      </c>
      <c r="K49" t="s">
        <v>108</v>
      </c>
      <c r="L49" t="s">
        <v>104</v>
      </c>
      <c r="M49" t="s">
        <v>112</v>
      </c>
      <c r="N49" t="s">
        <v>104</v>
      </c>
    </row>
    <row r="50" spans="1:14" x14ac:dyDescent="0.45">
      <c r="A50" t="s">
        <v>88</v>
      </c>
      <c r="B50" s="1">
        <v>1.4003182870370369E-2</v>
      </c>
      <c r="C50" s="1">
        <v>8.0324074074074062E-5</v>
      </c>
      <c r="D50" s="2">
        <v>4.3055555555555562E-2</v>
      </c>
      <c r="E50" s="2">
        <v>4.1666666666666664E-2</v>
      </c>
      <c r="F50" t="s">
        <v>88</v>
      </c>
      <c r="G50" t="s">
        <v>91</v>
      </c>
      <c r="H50" t="s">
        <v>88</v>
      </c>
      <c r="I50" t="s">
        <v>101</v>
      </c>
      <c r="J50" t="s">
        <v>103</v>
      </c>
      <c r="K50" t="s">
        <v>108</v>
      </c>
      <c r="L50" t="s">
        <v>103</v>
      </c>
      <c r="M50" t="s">
        <v>111</v>
      </c>
      <c r="N50" t="s">
        <v>103</v>
      </c>
    </row>
    <row r="51" spans="1:14" x14ac:dyDescent="0.45">
      <c r="A51" t="s">
        <v>88</v>
      </c>
      <c r="B51" s="1">
        <v>1.4185844907407407E-2</v>
      </c>
      <c r="C51" s="1">
        <v>6.3333333333333332E-5</v>
      </c>
      <c r="D51" s="2">
        <v>4.3055555555555562E-2</v>
      </c>
      <c r="E51" s="2">
        <v>4.1666666666666664E-2</v>
      </c>
      <c r="F51" t="s">
        <v>87</v>
      </c>
      <c r="G51" t="s">
        <v>89</v>
      </c>
      <c r="H51" t="s">
        <v>88</v>
      </c>
      <c r="I51" t="s">
        <v>101</v>
      </c>
      <c r="J51" t="s">
        <v>103</v>
      </c>
      <c r="K51" t="s">
        <v>107</v>
      </c>
      <c r="L51" t="s">
        <v>104</v>
      </c>
      <c r="M51" t="s">
        <v>112</v>
      </c>
      <c r="N51" t="s">
        <v>106</v>
      </c>
    </row>
    <row r="52" spans="1:14" x14ac:dyDescent="0.45">
      <c r="A52" t="s">
        <v>87</v>
      </c>
      <c r="B52" s="1">
        <v>1.4387442129629628E-2</v>
      </c>
      <c r="C52" s="1">
        <v>6.7187499999999986E-5</v>
      </c>
      <c r="D52" s="2">
        <v>4.3055555555555562E-2</v>
      </c>
      <c r="E52" s="2">
        <v>4.1666666666666664E-2</v>
      </c>
      <c r="F52" t="s">
        <v>87</v>
      </c>
      <c r="G52" t="s">
        <v>90</v>
      </c>
      <c r="H52" t="s">
        <v>87</v>
      </c>
      <c r="I52" t="s">
        <v>100</v>
      </c>
      <c r="J52" t="s">
        <v>103</v>
      </c>
      <c r="K52" t="s">
        <v>106</v>
      </c>
      <c r="L52" t="s">
        <v>103</v>
      </c>
      <c r="M52" t="s">
        <v>112</v>
      </c>
      <c r="N52" t="s">
        <v>106</v>
      </c>
    </row>
    <row r="53" spans="1:14" x14ac:dyDescent="0.45">
      <c r="A53" t="s">
        <v>87</v>
      </c>
      <c r="B53" s="1">
        <v>1.4600231481481483E-2</v>
      </c>
      <c r="C53" s="1">
        <v>7.4143518518518512E-5</v>
      </c>
      <c r="D53" s="2">
        <v>4.3055555555555562E-2</v>
      </c>
      <c r="E53" s="2">
        <v>4.1666666666666664E-2</v>
      </c>
      <c r="F53" t="s">
        <v>87</v>
      </c>
      <c r="G53" t="s">
        <v>90</v>
      </c>
      <c r="H53" t="s">
        <v>87</v>
      </c>
      <c r="I53" t="s">
        <v>100</v>
      </c>
      <c r="J53" t="s">
        <v>103</v>
      </c>
      <c r="K53" t="s">
        <v>106</v>
      </c>
      <c r="L53" t="s">
        <v>103</v>
      </c>
      <c r="M53" t="s">
        <v>112</v>
      </c>
      <c r="N53" t="s">
        <v>103</v>
      </c>
    </row>
    <row r="54" spans="1:14" x14ac:dyDescent="0.45">
      <c r="A54" t="s">
        <v>88</v>
      </c>
      <c r="B54" s="1">
        <v>1.4821122685185184E-2</v>
      </c>
      <c r="C54" s="1">
        <v>1.0349537037037037E-4</v>
      </c>
      <c r="D54" s="2">
        <v>4.3055555555555562E-2</v>
      </c>
      <c r="E54" s="2">
        <v>4.1666666666666664E-2</v>
      </c>
      <c r="F54" t="s">
        <v>88</v>
      </c>
      <c r="G54" t="s">
        <v>94</v>
      </c>
      <c r="H54" t="s">
        <v>88</v>
      </c>
      <c r="I54" t="s">
        <v>101</v>
      </c>
      <c r="J54" t="s">
        <v>103</v>
      </c>
      <c r="K54" t="s">
        <v>107</v>
      </c>
      <c r="L54" t="s">
        <v>104</v>
      </c>
      <c r="M54" t="s">
        <v>111</v>
      </c>
      <c r="N54" t="s">
        <v>106</v>
      </c>
    </row>
    <row r="55" spans="1:14" x14ac:dyDescent="0.45">
      <c r="A55" t="s">
        <v>88</v>
      </c>
      <c r="B55" s="1">
        <v>1.5116180555555555E-2</v>
      </c>
      <c r="C55" s="1">
        <v>6.8738425925925936E-5</v>
      </c>
      <c r="D55" s="2">
        <v>4.3055555555555562E-2</v>
      </c>
      <c r="E55" s="2">
        <v>4.1666666666666664E-2</v>
      </c>
      <c r="F55" t="s">
        <v>87</v>
      </c>
      <c r="G55" t="s">
        <v>98</v>
      </c>
      <c r="H55" t="s">
        <v>88</v>
      </c>
      <c r="I55" t="s">
        <v>101</v>
      </c>
      <c r="J55" t="s">
        <v>103</v>
      </c>
      <c r="K55" t="s">
        <v>107</v>
      </c>
      <c r="L55" t="s">
        <v>104</v>
      </c>
      <c r="M55" t="s">
        <v>111</v>
      </c>
      <c r="N55" t="s">
        <v>106</v>
      </c>
    </row>
    <row r="56" spans="1:14" x14ac:dyDescent="0.45">
      <c r="A56" t="s">
        <v>87</v>
      </c>
      <c r="B56" s="1">
        <v>1.5376469907407408E-2</v>
      </c>
      <c r="C56" s="1">
        <v>7.3368055555555564E-5</v>
      </c>
      <c r="D56" s="2">
        <v>4.3055555555555562E-2</v>
      </c>
      <c r="E56" s="2">
        <v>4.1666666666666664E-2</v>
      </c>
      <c r="F56" t="s">
        <v>87</v>
      </c>
      <c r="G56" t="s">
        <v>90</v>
      </c>
      <c r="H56" t="s">
        <v>87</v>
      </c>
      <c r="I56" t="s">
        <v>102</v>
      </c>
      <c r="J56" t="s">
        <v>103</v>
      </c>
      <c r="K56" t="s">
        <v>107</v>
      </c>
      <c r="L56" t="s">
        <v>104</v>
      </c>
      <c r="M56" t="s">
        <v>111</v>
      </c>
      <c r="N56" t="s">
        <v>104</v>
      </c>
    </row>
    <row r="57" spans="1:14" x14ac:dyDescent="0.45">
      <c r="A57" t="s">
        <v>87</v>
      </c>
      <c r="B57" s="1">
        <v>1.5613194444444445E-2</v>
      </c>
      <c r="C57" s="1">
        <v>9.4224537037037031E-5</v>
      </c>
      <c r="D57" s="2">
        <v>4.3055555555555562E-2</v>
      </c>
      <c r="E57" s="2">
        <v>4.1666666666666664E-2</v>
      </c>
      <c r="F57" t="s">
        <v>88</v>
      </c>
      <c r="G57" t="s">
        <v>97</v>
      </c>
      <c r="H57" t="s">
        <v>87</v>
      </c>
      <c r="I57" t="s">
        <v>102</v>
      </c>
      <c r="J57" t="s">
        <v>103</v>
      </c>
      <c r="K57" t="s">
        <v>106</v>
      </c>
      <c r="L57" t="s">
        <v>103</v>
      </c>
      <c r="M57" t="s">
        <v>112</v>
      </c>
      <c r="N57" t="s">
        <v>103</v>
      </c>
    </row>
    <row r="58" spans="1:14" x14ac:dyDescent="0.45">
      <c r="A58" t="s">
        <v>88</v>
      </c>
      <c r="B58" s="1">
        <v>1.5876967592592595E-2</v>
      </c>
      <c r="C58" s="1">
        <v>6.3333333333333332E-5</v>
      </c>
      <c r="D58" s="2">
        <v>4.3055555555555562E-2</v>
      </c>
      <c r="E58" s="2">
        <v>4.1666666666666664E-2</v>
      </c>
      <c r="F58" t="s">
        <v>88</v>
      </c>
      <c r="G58" t="s">
        <v>91</v>
      </c>
      <c r="H58" t="s">
        <v>88</v>
      </c>
      <c r="I58" t="s">
        <v>101</v>
      </c>
      <c r="J58" t="s">
        <v>103</v>
      </c>
      <c r="K58" t="s">
        <v>107</v>
      </c>
      <c r="L58" t="s">
        <v>104</v>
      </c>
      <c r="M58" t="s">
        <v>111</v>
      </c>
      <c r="N58" t="s">
        <v>106</v>
      </c>
    </row>
    <row r="59" spans="1:14" x14ac:dyDescent="0.45">
      <c r="A59" t="s">
        <v>88</v>
      </c>
      <c r="B59" s="1">
        <v>1.6080486111111111E-2</v>
      </c>
      <c r="C59" s="1">
        <v>9.1134259259259269E-5</v>
      </c>
      <c r="D59" s="2">
        <v>4.3055555555555562E-2</v>
      </c>
      <c r="E59" s="2">
        <v>4.1666666666666664E-2</v>
      </c>
      <c r="F59" t="s">
        <v>88</v>
      </c>
      <c r="G59" t="s">
        <v>90</v>
      </c>
      <c r="H59" t="s">
        <v>88</v>
      </c>
      <c r="I59" t="s">
        <v>101</v>
      </c>
      <c r="J59" t="s">
        <v>103</v>
      </c>
      <c r="K59" t="s">
        <v>107</v>
      </c>
      <c r="L59" t="s">
        <v>104</v>
      </c>
      <c r="M59" t="s">
        <v>111</v>
      </c>
      <c r="N59" t="s">
        <v>107</v>
      </c>
    </row>
    <row r="60" spans="1:14" x14ac:dyDescent="0.45">
      <c r="A60" t="s">
        <v>87</v>
      </c>
      <c r="B60" s="1">
        <v>1.6412604166666667E-2</v>
      </c>
      <c r="C60" s="1">
        <v>5.7928240740740743E-5</v>
      </c>
      <c r="D60" s="2">
        <v>4.3055555555555562E-2</v>
      </c>
      <c r="E60" s="2">
        <v>4.1666666666666664E-2</v>
      </c>
      <c r="F60" t="s">
        <v>87</v>
      </c>
      <c r="G60" t="s">
        <v>96</v>
      </c>
      <c r="H60" t="s">
        <v>87</v>
      </c>
      <c r="I60" t="s">
        <v>100</v>
      </c>
      <c r="J60" t="s">
        <v>103</v>
      </c>
      <c r="K60" t="s">
        <v>106</v>
      </c>
      <c r="L60" t="s">
        <v>104</v>
      </c>
      <c r="M60" t="s">
        <v>112</v>
      </c>
      <c r="N60" t="s">
        <v>119</v>
      </c>
    </row>
    <row r="61" spans="1:14" x14ac:dyDescent="0.45">
      <c r="A61" t="s">
        <v>87</v>
      </c>
      <c r="B61" s="1">
        <v>1.6660162037037039E-2</v>
      </c>
      <c r="C61" s="1">
        <v>4.3252314814814813E-5</v>
      </c>
      <c r="D61" s="2">
        <v>4.3055555555555562E-2</v>
      </c>
      <c r="E61" s="2">
        <v>4.1666666666666664E-2</v>
      </c>
      <c r="F61" t="s">
        <v>87</v>
      </c>
      <c r="G61" t="s">
        <v>96</v>
      </c>
      <c r="H61" t="s">
        <v>87</v>
      </c>
      <c r="I61" t="s">
        <v>100</v>
      </c>
      <c r="J61" t="s">
        <v>103</v>
      </c>
      <c r="K61" t="s">
        <v>103</v>
      </c>
      <c r="L61" t="s">
        <v>103</v>
      </c>
      <c r="M61" t="s">
        <v>112</v>
      </c>
      <c r="N61" t="s">
        <v>118</v>
      </c>
    </row>
    <row r="62" spans="1:14" x14ac:dyDescent="0.45">
      <c r="A62" t="s">
        <v>88</v>
      </c>
      <c r="B62" s="1">
        <v>1.693744212962963E-2</v>
      </c>
      <c r="C62" s="1">
        <v>6.178240740740741E-5</v>
      </c>
      <c r="D62" s="2">
        <v>4.3055555555555562E-2</v>
      </c>
      <c r="E62" s="2">
        <v>4.1666666666666664E-2</v>
      </c>
      <c r="F62" t="s">
        <v>88</v>
      </c>
      <c r="G62" t="s">
        <v>91</v>
      </c>
      <c r="H62" t="s">
        <v>88</v>
      </c>
      <c r="I62" t="s">
        <v>101</v>
      </c>
      <c r="J62" t="s">
        <v>103</v>
      </c>
      <c r="K62" t="s">
        <v>108</v>
      </c>
      <c r="L62" t="s">
        <v>104</v>
      </c>
      <c r="M62" t="s">
        <v>111</v>
      </c>
      <c r="N62" t="s">
        <v>103</v>
      </c>
    </row>
    <row r="63" spans="1:14" x14ac:dyDescent="0.45">
      <c r="A63" t="s">
        <v>88</v>
      </c>
      <c r="B63" s="1">
        <v>1.7162199074074073E-2</v>
      </c>
      <c r="C63" s="1">
        <v>1.3361111111111112E-4</v>
      </c>
      <c r="D63" s="2">
        <v>4.3055555555555562E-2</v>
      </c>
      <c r="E63" s="2">
        <v>4.1666666666666664E-2</v>
      </c>
      <c r="F63" t="s">
        <v>88</v>
      </c>
      <c r="G63" t="s">
        <v>94</v>
      </c>
      <c r="H63" t="s">
        <v>88</v>
      </c>
      <c r="I63" t="s">
        <v>101</v>
      </c>
      <c r="J63" t="s">
        <v>103</v>
      </c>
      <c r="K63" t="s">
        <v>108</v>
      </c>
      <c r="L63" t="s">
        <v>103</v>
      </c>
      <c r="M63" t="s">
        <v>114</v>
      </c>
      <c r="N63" t="s">
        <v>106</v>
      </c>
    </row>
    <row r="64" spans="1:14" x14ac:dyDescent="0.45">
      <c r="A64" t="s">
        <v>87</v>
      </c>
      <c r="B64" s="1">
        <v>1.7584687500000001E-2</v>
      </c>
      <c r="C64" s="1">
        <v>9.6539351851851832E-5</v>
      </c>
      <c r="D64" s="2">
        <v>4.3055555555555562E-2</v>
      </c>
      <c r="E64" s="2">
        <v>4.1666666666666664E-2</v>
      </c>
      <c r="F64" t="s">
        <v>87</v>
      </c>
      <c r="G64" t="s">
        <v>94</v>
      </c>
      <c r="H64" t="s">
        <v>87</v>
      </c>
      <c r="I64" t="s">
        <v>100</v>
      </c>
      <c r="J64" t="s">
        <v>103</v>
      </c>
      <c r="K64" t="s">
        <v>103</v>
      </c>
      <c r="L64" t="s">
        <v>103</v>
      </c>
      <c r="M64" t="s">
        <v>112</v>
      </c>
      <c r="N64" t="s">
        <v>103</v>
      </c>
    </row>
    <row r="65" spans="1:14" x14ac:dyDescent="0.45">
      <c r="A65" t="s">
        <v>87</v>
      </c>
      <c r="B65" s="1">
        <v>1.7905613425925927E-2</v>
      </c>
      <c r="C65" s="1">
        <v>8.4953703703703718E-5</v>
      </c>
      <c r="D65" s="2">
        <v>4.3055555555555562E-2</v>
      </c>
      <c r="E65" s="2">
        <v>4.1666666666666664E-2</v>
      </c>
      <c r="F65" t="s">
        <v>88</v>
      </c>
      <c r="G65" t="s">
        <v>92</v>
      </c>
      <c r="H65" t="s">
        <v>87</v>
      </c>
      <c r="I65" t="s">
        <v>102</v>
      </c>
      <c r="J65" t="s">
        <v>103</v>
      </c>
      <c r="K65" t="s">
        <v>103</v>
      </c>
      <c r="L65" t="s">
        <v>103</v>
      </c>
      <c r="M65" t="s">
        <v>111</v>
      </c>
      <c r="N65" t="s">
        <v>103</v>
      </c>
    </row>
    <row r="66" spans="1:14" x14ac:dyDescent="0.45">
      <c r="A66" t="s">
        <v>88</v>
      </c>
      <c r="B66" s="1">
        <v>1.8228854166666666E-2</v>
      </c>
      <c r="C66" s="1">
        <v>7.259259259259259E-5</v>
      </c>
      <c r="D66" s="2">
        <v>4.3055555555555562E-2</v>
      </c>
      <c r="E66" s="2">
        <v>4.1666666666666664E-2</v>
      </c>
      <c r="F66" t="s">
        <v>87</v>
      </c>
      <c r="G66" t="s">
        <v>98</v>
      </c>
      <c r="H66" t="s">
        <v>88</v>
      </c>
      <c r="I66" t="s">
        <v>101</v>
      </c>
      <c r="J66" t="s">
        <v>103</v>
      </c>
      <c r="K66" t="s">
        <v>108</v>
      </c>
      <c r="L66" t="s">
        <v>103</v>
      </c>
      <c r="M66" t="s">
        <v>114</v>
      </c>
      <c r="N66" t="s">
        <v>104</v>
      </c>
    </row>
    <row r="67" spans="1:14" x14ac:dyDescent="0.45">
      <c r="A67" t="s">
        <v>88</v>
      </c>
      <c r="B67" s="1">
        <v>1.8501886574074072E-2</v>
      </c>
      <c r="C67" s="1">
        <v>6.1006944444444443E-5</v>
      </c>
      <c r="D67" s="2">
        <v>4.3055555555555562E-2</v>
      </c>
      <c r="E67" s="2">
        <v>4.1666666666666664E-2</v>
      </c>
      <c r="F67" t="s">
        <v>87</v>
      </c>
      <c r="G67" t="s">
        <v>89</v>
      </c>
      <c r="H67" t="s">
        <v>88</v>
      </c>
      <c r="I67" t="s">
        <v>101</v>
      </c>
      <c r="J67" t="s">
        <v>103</v>
      </c>
      <c r="K67" t="s">
        <v>106</v>
      </c>
      <c r="L67" t="s">
        <v>103</v>
      </c>
      <c r="M67" t="s">
        <v>112</v>
      </c>
      <c r="N67" t="s">
        <v>103</v>
      </c>
    </row>
    <row r="68" spans="1:14" x14ac:dyDescent="0.45">
      <c r="A68" t="s">
        <v>87</v>
      </c>
      <c r="B68" s="1">
        <v>1.8732442129629628E-2</v>
      </c>
      <c r="C68" s="1">
        <v>6.1006944444444443E-5</v>
      </c>
      <c r="D68" s="2">
        <v>4.3055555555555562E-2</v>
      </c>
      <c r="E68" s="2">
        <v>4.1666666666666664E-2</v>
      </c>
      <c r="F68" t="s">
        <v>87</v>
      </c>
      <c r="G68" t="s">
        <v>91</v>
      </c>
      <c r="H68" t="s">
        <v>87</v>
      </c>
      <c r="I68" t="s">
        <v>100</v>
      </c>
      <c r="J68" t="s">
        <v>103</v>
      </c>
      <c r="K68" t="s">
        <v>103</v>
      </c>
      <c r="L68" t="s">
        <v>103</v>
      </c>
      <c r="M68" t="s">
        <v>112</v>
      </c>
      <c r="N68" t="s">
        <v>106</v>
      </c>
    </row>
    <row r="69" spans="1:14" x14ac:dyDescent="0.45">
      <c r="A69" t="s">
        <v>87</v>
      </c>
      <c r="B69" s="1">
        <v>1.9987557870370369E-2</v>
      </c>
      <c r="C69" s="1">
        <v>7.1053240740740736E-5</v>
      </c>
      <c r="D69" s="2">
        <v>8.4722222222222213E-2</v>
      </c>
      <c r="E69" s="2">
        <v>4.1666666666666664E-2</v>
      </c>
      <c r="F69" t="s">
        <v>88</v>
      </c>
      <c r="G69" t="s">
        <v>98</v>
      </c>
      <c r="H69" t="s">
        <v>87</v>
      </c>
      <c r="I69" t="s">
        <v>100</v>
      </c>
      <c r="J69" t="s">
        <v>103</v>
      </c>
      <c r="K69" t="s">
        <v>103</v>
      </c>
      <c r="L69" t="s">
        <v>103</v>
      </c>
      <c r="M69" t="s">
        <v>112</v>
      </c>
      <c r="N69" t="s">
        <v>110</v>
      </c>
    </row>
    <row r="70" spans="1:14" x14ac:dyDescent="0.45">
      <c r="A70" t="s">
        <v>87</v>
      </c>
      <c r="B70" s="1">
        <v>2.0303067129629631E-2</v>
      </c>
      <c r="C70" s="1">
        <v>7.5682870370370365E-5</v>
      </c>
      <c r="D70" s="2">
        <v>8.4722222222222213E-2</v>
      </c>
      <c r="E70" s="2">
        <v>4.1666666666666664E-2</v>
      </c>
      <c r="F70" t="s">
        <v>88</v>
      </c>
      <c r="G70" t="s">
        <v>98</v>
      </c>
      <c r="H70" t="s">
        <v>87</v>
      </c>
      <c r="I70" t="s">
        <v>102</v>
      </c>
      <c r="J70" t="s">
        <v>103</v>
      </c>
      <c r="K70" t="s">
        <v>108</v>
      </c>
      <c r="L70" t="s">
        <v>103</v>
      </c>
      <c r="M70" t="s">
        <v>116</v>
      </c>
      <c r="N70" t="s">
        <v>104</v>
      </c>
    </row>
    <row r="71" spans="1:14" x14ac:dyDescent="0.45">
      <c r="A71" t="s">
        <v>88</v>
      </c>
      <c r="B71" s="1">
        <v>2.0555254629629632E-2</v>
      </c>
      <c r="C71" s="1">
        <v>6.5648148148148147E-5</v>
      </c>
      <c r="D71" s="2">
        <v>8.4722222222222213E-2</v>
      </c>
      <c r="E71" s="2">
        <v>4.1666666666666664E-2</v>
      </c>
      <c r="F71" t="s">
        <v>87</v>
      </c>
      <c r="G71" t="s">
        <v>98</v>
      </c>
      <c r="H71" t="s">
        <v>88</v>
      </c>
      <c r="I71" t="s">
        <v>101</v>
      </c>
      <c r="J71" t="s">
        <v>103</v>
      </c>
      <c r="K71" t="s">
        <v>109</v>
      </c>
      <c r="M71" t="s">
        <v>114</v>
      </c>
      <c r="N71" t="s">
        <v>106</v>
      </c>
    </row>
    <row r="72" spans="1:14" x14ac:dyDescent="0.45">
      <c r="A72" t="s">
        <v>88</v>
      </c>
      <c r="B72" s="1">
        <v>2.0791215277777778E-2</v>
      </c>
      <c r="C72" s="1">
        <v>5.9467592592592589E-5</v>
      </c>
      <c r="D72" s="2">
        <v>8.4722222222222213E-2</v>
      </c>
      <c r="E72" s="2">
        <v>4.1666666666666664E-2</v>
      </c>
      <c r="F72" t="s">
        <v>87</v>
      </c>
      <c r="G72" t="s">
        <v>89</v>
      </c>
      <c r="H72" t="s">
        <v>88</v>
      </c>
      <c r="I72" t="s">
        <v>101</v>
      </c>
      <c r="J72" t="s">
        <v>103</v>
      </c>
      <c r="K72" t="s">
        <v>103</v>
      </c>
      <c r="L72" t="s">
        <v>103</v>
      </c>
      <c r="M72" t="s">
        <v>112</v>
      </c>
      <c r="N72" t="s">
        <v>106</v>
      </c>
    </row>
    <row r="73" spans="1:14" x14ac:dyDescent="0.45">
      <c r="A73" t="s">
        <v>87</v>
      </c>
      <c r="B73" s="1">
        <v>2.1102476851851851E-2</v>
      </c>
      <c r="C73" s="1">
        <v>6.6423611111111108E-5</v>
      </c>
      <c r="D73" s="2">
        <v>8.4722222222222213E-2</v>
      </c>
      <c r="E73" s="2">
        <v>4.1666666666666664E-2</v>
      </c>
      <c r="F73" t="s">
        <v>88</v>
      </c>
      <c r="G73" t="s">
        <v>98</v>
      </c>
      <c r="H73" t="s">
        <v>87</v>
      </c>
      <c r="I73" t="s">
        <v>100</v>
      </c>
      <c r="J73" t="s">
        <v>103</v>
      </c>
      <c r="K73" t="s">
        <v>103</v>
      </c>
      <c r="L73" t="s">
        <v>103</v>
      </c>
      <c r="M73" t="s">
        <v>113</v>
      </c>
      <c r="N73" t="s">
        <v>108</v>
      </c>
    </row>
    <row r="74" spans="1:14" x14ac:dyDescent="0.45">
      <c r="A74" t="s">
        <v>87</v>
      </c>
      <c r="B74" s="1">
        <v>2.1448113425925924E-2</v>
      </c>
      <c r="C74" s="1">
        <v>8.9594907407407416E-5</v>
      </c>
      <c r="D74" s="2">
        <v>8.4722222222222213E-2</v>
      </c>
      <c r="E74" s="2">
        <v>4.1666666666666664E-2</v>
      </c>
      <c r="F74" t="s">
        <v>87</v>
      </c>
      <c r="G74" t="s">
        <v>94</v>
      </c>
      <c r="H74" t="s">
        <v>87</v>
      </c>
      <c r="I74" t="s">
        <v>100</v>
      </c>
      <c r="J74" t="s">
        <v>103</v>
      </c>
      <c r="K74" t="s">
        <v>106</v>
      </c>
      <c r="L74" t="s">
        <v>103</v>
      </c>
      <c r="M74" t="s">
        <v>112</v>
      </c>
      <c r="N74" t="s">
        <v>106</v>
      </c>
    </row>
    <row r="75" spans="1:14" x14ac:dyDescent="0.45">
      <c r="A75" t="s">
        <v>88</v>
      </c>
      <c r="B75" s="1">
        <v>2.2549143518518524E-2</v>
      </c>
      <c r="C75" s="1">
        <v>7.645833333333334E-5</v>
      </c>
      <c r="D75" s="2">
        <v>8.4722222222222213E-2</v>
      </c>
      <c r="E75" s="2">
        <v>4.2361111111111106E-2</v>
      </c>
      <c r="F75" t="s">
        <v>87</v>
      </c>
      <c r="G75" t="s">
        <v>98</v>
      </c>
      <c r="H75" t="s">
        <v>88</v>
      </c>
      <c r="I75" t="s">
        <v>101</v>
      </c>
      <c r="J75" t="s">
        <v>103</v>
      </c>
      <c r="K75" t="s">
        <v>107</v>
      </c>
      <c r="L75" t="s">
        <v>104</v>
      </c>
      <c r="M75" t="s">
        <v>112</v>
      </c>
      <c r="N75" t="s">
        <v>106</v>
      </c>
    </row>
    <row r="76" spans="1:14" x14ac:dyDescent="0.45">
      <c r="A76" t="s">
        <v>88</v>
      </c>
      <c r="B76" s="1">
        <v>2.277429398148148E-2</v>
      </c>
      <c r="C76" s="1">
        <v>1.1662037037037039E-4</v>
      </c>
      <c r="D76" s="2">
        <v>8.4722222222222213E-2</v>
      </c>
      <c r="E76" s="2">
        <v>4.2361111111111106E-2</v>
      </c>
      <c r="F76" t="s">
        <v>87</v>
      </c>
      <c r="G76" t="s">
        <v>99</v>
      </c>
      <c r="H76" t="s">
        <v>88</v>
      </c>
      <c r="I76" t="s">
        <v>101</v>
      </c>
      <c r="J76" t="s">
        <v>103</v>
      </c>
      <c r="K76" t="s">
        <v>107</v>
      </c>
      <c r="L76" t="s">
        <v>103</v>
      </c>
      <c r="M76" t="s">
        <v>114</v>
      </c>
      <c r="N76" t="s">
        <v>103</v>
      </c>
    </row>
    <row r="77" spans="1:14" x14ac:dyDescent="0.45">
      <c r="B77" s="1"/>
      <c r="C77" s="1"/>
      <c r="D77" s="2"/>
      <c r="E77" s="2"/>
    </row>
    <row r="78" spans="1:14" x14ac:dyDescent="0.45">
      <c r="B78" s="1"/>
      <c r="C78" s="1"/>
      <c r="D78" s="2"/>
      <c r="E78" s="2"/>
    </row>
    <row r="79" spans="1:14" x14ac:dyDescent="0.45">
      <c r="B79" s="1"/>
      <c r="C79" s="1"/>
      <c r="D79" s="2"/>
      <c r="E79" s="2"/>
    </row>
    <row r="80" spans="1:14" x14ac:dyDescent="0.45">
      <c r="B80" s="1"/>
      <c r="C80" s="1"/>
      <c r="D80" s="2"/>
      <c r="E80" s="2"/>
    </row>
    <row r="81" spans="2:5" x14ac:dyDescent="0.45">
      <c r="B81" s="1"/>
      <c r="C81" s="1"/>
      <c r="D81" s="2"/>
      <c r="E81" s="2"/>
    </row>
    <row r="82" spans="2:5" x14ac:dyDescent="0.45">
      <c r="B82" s="1"/>
      <c r="C82" s="1"/>
      <c r="D82" s="2"/>
      <c r="E82" s="2"/>
    </row>
    <row r="83" spans="2:5" x14ac:dyDescent="0.45">
      <c r="B83" s="1"/>
      <c r="C83" s="1"/>
      <c r="D83" s="2"/>
      <c r="E83" s="2"/>
    </row>
    <row r="84" spans="2:5" x14ac:dyDescent="0.45">
      <c r="B84" s="1"/>
      <c r="C84" s="1"/>
      <c r="D84" s="2"/>
      <c r="E84" s="2"/>
    </row>
    <row r="85" spans="2:5" x14ac:dyDescent="0.45">
      <c r="B85" s="1"/>
      <c r="C85" s="1"/>
      <c r="D85" s="2"/>
      <c r="E85" s="2"/>
    </row>
    <row r="86" spans="2:5" x14ac:dyDescent="0.45">
      <c r="B86" s="1"/>
      <c r="C86" s="1"/>
      <c r="D86" s="2"/>
      <c r="E86" s="2"/>
    </row>
    <row r="87" spans="2:5" x14ac:dyDescent="0.45">
      <c r="B87" s="1"/>
      <c r="C87" s="1"/>
      <c r="D87" s="2"/>
      <c r="E87" s="2"/>
    </row>
    <row r="88" spans="2:5" x14ac:dyDescent="0.45">
      <c r="B88" s="1"/>
      <c r="C88" s="1"/>
      <c r="D88" s="2"/>
      <c r="E88" s="2"/>
    </row>
    <row r="89" spans="2:5" x14ac:dyDescent="0.45">
      <c r="B89" s="1"/>
      <c r="C89" s="1"/>
      <c r="D89" s="2"/>
      <c r="E89" s="2"/>
    </row>
    <row r="90" spans="2:5" x14ac:dyDescent="0.45">
      <c r="B90" s="1"/>
      <c r="C90" s="1"/>
      <c r="D90" s="2"/>
      <c r="E90" s="2"/>
    </row>
    <row r="91" spans="2:5" x14ac:dyDescent="0.45">
      <c r="B91" s="1"/>
      <c r="C91" s="1"/>
      <c r="D91" s="2"/>
      <c r="E91" s="2"/>
    </row>
    <row r="92" spans="2:5" x14ac:dyDescent="0.45">
      <c r="B92" s="1"/>
      <c r="C92" s="1"/>
      <c r="D92" s="2"/>
      <c r="E92" s="2"/>
    </row>
    <row r="93" spans="2:5" x14ac:dyDescent="0.45">
      <c r="B93" s="1"/>
      <c r="C93" s="1"/>
      <c r="D93" s="2"/>
      <c r="E93" s="2"/>
    </row>
    <row r="94" spans="2:5" x14ac:dyDescent="0.45">
      <c r="B94" s="1"/>
      <c r="C94" s="1"/>
      <c r="D94" s="2"/>
      <c r="E94" s="2"/>
    </row>
    <row r="95" spans="2:5" x14ac:dyDescent="0.45">
      <c r="B95" s="1"/>
      <c r="C95" s="1"/>
      <c r="D95" s="2"/>
      <c r="E95" s="2"/>
    </row>
    <row r="96" spans="2:5" x14ac:dyDescent="0.45">
      <c r="B96" s="1"/>
      <c r="C96" s="1"/>
      <c r="D96" s="2"/>
      <c r="E96" s="2"/>
    </row>
    <row r="97" spans="2:5" x14ac:dyDescent="0.45">
      <c r="B97" s="1"/>
      <c r="C97" s="1"/>
      <c r="D97" s="2"/>
      <c r="E97" s="2"/>
    </row>
    <row r="98" spans="2:5" x14ac:dyDescent="0.45">
      <c r="B98" s="1"/>
      <c r="C98" s="1"/>
      <c r="D98" s="2"/>
      <c r="E98" s="2"/>
    </row>
    <row r="99" spans="2:5" x14ac:dyDescent="0.45">
      <c r="B99" s="1"/>
      <c r="C99" s="1"/>
      <c r="D99" s="2"/>
      <c r="E99" s="2"/>
    </row>
    <row r="100" spans="2:5" x14ac:dyDescent="0.45">
      <c r="B100" s="1"/>
      <c r="C100" s="1"/>
      <c r="D100" s="2"/>
      <c r="E100" s="2"/>
    </row>
    <row r="101" spans="2:5" x14ac:dyDescent="0.45">
      <c r="B101" s="1"/>
      <c r="C101" s="1"/>
      <c r="D101" s="2"/>
      <c r="E101" s="2"/>
    </row>
    <row r="102" spans="2:5" x14ac:dyDescent="0.45">
      <c r="B102" s="1"/>
      <c r="C102" s="1"/>
      <c r="D102" s="2"/>
      <c r="E102" s="2"/>
    </row>
    <row r="103" spans="2:5" x14ac:dyDescent="0.45">
      <c r="B103" s="1"/>
      <c r="C103" s="1"/>
      <c r="D103" s="2"/>
      <c r="E103" s="2"/>
    </row>
    <row r="104" spans="2:5" x14ac:dyDescent="0.45">
      <c r="B104" s="1"/>
      <c r="C104" s="1"/>
      <c r="D104" s="2"/>
      <c r="E104" s="2"/>
    </row>
    <row r="105" spans="2:5" x14ac:dyDescent="0.45">
      <c r="B105" s="1"/>
      <c r="C105" s="1"/>
      <c r="D105" s="2"/>
      <c r="E105" s="2"/>
    </row>
    <row r="106" spans="2:5" x14ac:dyDescent="0.45">
      <c r="B106" s="1"/>
      <c r="C106" s="1"/>
      <c r="D106" s="2"/>
      <c r="E106" s="2"/>
    </row>
    <row r="107" spans="2:5" x14ac:dyDescent="0.45">
      <c r="B107" s="1"/>
      <c r="C107" s="1"/>
      <c r="D107" s="2"/>
      <c r="E107" s="2"/>
    </row>
    <row r="108" spans="2:5" x14ac:dyDescent="0.45">
      <c r="B108" s="1"/>
      <c r="C108" s="1"/>
      <c r="D108" s="2"/>
      <c r="E108" s="2"/>
    </row>
    <row r="109" spans="2:5" x14ac:dyDescent="0.45">
      <c r="B109" s="1"/>
      <c r="C109" s="1"/>
      <c r="D109" s="2"/>
      <c r="E109" s="2"/>
    </row>
    <row r="110" spans="2:5" x14ac:dyDescent="0.45">
      <c r="B110" s="1"/>
      <c r="C110" s="1"/>
      <c r="D110" s="2"/>
      <c r="E110" s="2"/>
    </row>
    <row r="111" spans="2:5" x14ac:dyDescent="0.45">
      <c r="B111" s="1"/>
      <c r="C111" s="1"/>
      <c r="D111" s="2"/>
      <c r="E111" s="2"/>
    </row>
    <row r="112" spans="2:5" x14ac:dyDescent="0.45">
      <c r="B112" s="1"/>
      <c r="C112" s="1"/>
      <c r="D112" s="2"/>
      <c r="E112" s="2"/>
    </row>
    <row r="113" spans="2:5" x14ac:dyDescent="0.45">
      <c r="B113" s="1"/>
      <c r="C113" s="1"/>
      <c r="D113" s="2"/>
      <c r="E113" s="2"/>
    </row>
    <row r="114" spans="2:5" x14ac:dyDescent="0.45">
      <c r="B114" s="1"/>
      <c r="C114" s="1"/>
      <c r="D114" s="2"/>
      <c r="E114" s="2"/>
    </row>
    <row r="115" spans="2:5" x14ac:dyDescent="0.45">
      <c r="B115" s="1"/>
      <c r="C115" s="1"/>
      <c r="D115" s="2"/>
      <c r="E115" s="2"/>
    </row>
    <row r="116" spans="2:5" x14ac:dyDescent="0.45">
      <c r="B116" s="1"/>
      <c r="C116" s="1"/>
      <c r="D116" s="2"/>
      <c r="E116" s="2"/>
    </row>
    <row r="117" spans="2:5" x14ac:dyDescent="0.45">
      <c r="B117" s="1"/>
      <c r="C117" s="1"/>
      <c r="D117" s="2"/>
      <c r="E117" s="2"/>
    </row>
    <row r="118" spans="2:5" x14ac:dyDescent="0.45">
      <c r="B118" s="1"/>
      <c r="C118" s="1"/>
      <c r="D118" s="2"/>
      <c r="E118" s="2"/>
    </row>
    <row r="119" spans="2:5" x14ac:dyDescent="0.45">
      <c r="B119" s="1"/>
      <c r="C119" s="1"/>
      <c r="D119" s="2"/>
      <c r="E119" s="2"/>
    </row>
    <row r="120" spans="2:5" x14ac:dyDescent="0.45">
      <c r="B120" s="1"/>
      <c r="C120" s="1"/>
      <c r="D120" s="2"/>
      <c r="E120" s="2"/>
    </row>
    <row r="121" spans="2:5" x14ac:dyDescent="0.45">
      <c r="B121" s="1"/>
      <c r="C121" s="1"/>
      <c r="D121" s="2"/>
      <c r="E121" s="2"/>
    </row>
    <row r="122" spans="2:5" x14ac:dyDescent="0.45">
      <c r="B122" s="1"/>
      <c r="C122" s="1"/>
      <c r="D122" s="2"/>
      <c r="E122" s="2"/>
    </row>
    <row r="123" spans="2:5" x14ac:dyDescent="0.45">
      <c r="B123" s="1"/>
      <c r="C123" s="1"/>
      <c r="D123" s="2"/>
      <c r="E123" s="2"/>
    </row>
    <row r="124" spans="2:5" x14ac:dyDescent="0.45">
      <c r="B124" s="1"/>
      <c r="C124" s="1"/>
      <c r="D124" s="2"/>
      <c r="E124" s="2"/>
    </row>
    <row r="125" spans="2:5" x14ac:dyDescent="0.45">
      <c r="B125" s="1"/>
      <c r="C125" s="1"/>
      <c r="D125" s="2"/>
      <c r="E125" s="2"/>
    </row>
  </sheetData>
  <phoneticPr fontId="18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P212"/>
  <sheetViews>
    <sheetView topLeftCell="GR47" zoomScale="120" zoomScaleNormal="120" workbookViewId="0">
      <selection activeCell="HI63" sqref="HI63"/>
    </sheetView>
  </sheetViews>
  <sheetFormatPr defaultRowHeight="18" x14ac:dyDescent="0.45"/>
  <cols>
    <col min="16" max="16" width="11.796875" bestFit="1" customWidth="1"/>
    <col min="18" max="19" width="11.19921875" bestFit="1" customWidth="1"/>
    <col min="20" max="20" width="11.19921875" customWidth="1"/>
    <col min="21" max="21" width="11.19921875" bestFit="1" customWidth="1"/>
    <col min="22" max="22" width="11.19921875" customWidth="1"/>
    <col min="23" max="23" width="28" bestFit="1" customWidth="1"/>
    <col min="24" max="24" width="17.796875" bestFit="1" customWidth="1"/>
    <col min="25" max="25" width="18" bestFit="1" customWidth="1"/>
    <col min="29" max="29" width="33.8984375" customWidth="1"/>
    <col min="30" max="30" width="29.19921875" bestFit="1" customWidth="1"/>
    <col min="31" max="31" width="29.296875" bestFit="1" customWidth="1"/>
    <col min="32" max="32" width="30.19921875" bestFit="1" customWidth="1"/>
    <col min="33" max="33" width="29.8984375" bestFit="1" customWidth="1"/>
    <col min="34" max="34" width="29.09765625" bestFit="1" customWidth="1"/>
    <col min="35" max="35" width="30.19921875" bestFit="1" customWidth="1"/>
    <col min="36" max="36" width="29.296875" bestFit="1" customWidth="1"/>
    <col min="37" max="37" width="32.5" bestFit="1" customWidth="1"/>
    <col min="38" max="38" width="31.59765625" bestFit="1" customWidth="1"/>
    <col min="40" max="47" width="7.19921875" customWidth="1"/>
    <col min="48" max="48" width="8.296875" customWidth="1"/>
    <col min="56" max="56" width="8.69921875" customWidth="1"/>
    <col min="64" max="70" width="8.09765625" customWidth="1"/>
    <col min="73" max="73" width="15.69921875" customWidth="1"/>
    <col min="96" max="96" width="8.69921875" customWidth="1"/>
    <col min="99" max="99" width="8.69921875" customWidth="1"/>
    <col min="105" max="105" width="8.19921875" customWidth="1"/>
    <col min="112" max="134" width="3.69921875" customWidth="1"/>
    <col min="135" max="135" width="3.09765625" customWidth="1"/>
    <col min="136" max="136" width="3.69921875" customWidth="1"/>
    <col min="137" max="137" width="3.19921875" customWidth="1"/>
    <col min="138" max="138" width="3" customWidth="1"/>
    <col min="139" max="139" width="2.8984375" customWidth="1"/>
    <col min="140" max="168" width="3.69921875" customWidth="1"/>
    <col min="169" max="169" width="3.5" customWidth="1"/>
    <col min="170" max="188" width="3.69921875" customWidth="1"/>
    <col min="199" max="202" width="3.3984375" customWidth="1"/>
    <col min="204" max="207" width="3.296875" customWidth="1"/>
    <col min="215" max="215" width="11" customWidth="1"/>
    <col min="216" max="216" width="13.5" bestFit="1" customWidth="1"/>
    <col min="217" max="217" width="4.19921875" customWidth="1"/>
    <col min="218" max="218" width="11" bestFit="1" customWidth="1"/>
    <col min="219" max="219" width="13.19921875" bestFit="1" customWidth="1"/>
    <col min="220" max="220" width="5.59765625" customWidth="1"/>
    <col min="221" max="224" width="3.69921875" customWidth="1"/>
  </cols>
  <sheetData>
    <row r="1" spans="1:224" x14ac:dyDescent="0.45">
      <c r="AC1" t="s">
        <v>23</v>
      </c>
      <c r="AD1" t="s">
        <v>24</v>
      </c>
      <c r="AE1" s="3"/>
      <c r="DP1" t="str">
        <f>IF(graph!C1&lt;&gt;"L","B","F")</f>
        <v>B</v>
      </c>
      <c r="DQ1" t="str">
        <f>IF(graph!C1&lt;&gt;"L","F","B")</f>
        <v>F</v>
      </c>
      <c r="DS1" t="str">
        <f>IF(graph!D1&lt;&gt;"L","B","F")</f>
        <v>B</v>
      </c>
      <c r="DT1" t="str">
        <f>IF(graph!D1&lt;&gt;"L","F","B")</f>
        <v>F</v>
      </c>
      <c r="DV1" s="40" t="str">
        <f>IF(graph!C1&lt;&gt;"L","F","B")</f>
        <v>F</v>
      </c>
      <c r="DW1" s="40" t="str">
        <f>IF(graph!C1&lt;&gt;"L","FM","BM")</f>
        <v>FM</v>
      </c>
      <c r="DX1" s="40" t="str">
        <f>IF(graph!C1&lt;&gt;"L","BM","FM")</f>
        <v>BM</v>
      </c>
      <c r="DY1" s="40" t="str">
        <f>IF(graph!C1&lt;&gt;"L","B","F")</f>
        <v>B</v>
      </c>
      <c r="DZ1" s="40" t="str">
        <f>IF(graph!C1&lt;&gt;"L","FS","BS")</f>
        <v>FS</v>
      </c>
      <c r="EA1" s="40" t="str">
        <f>IF(graph!C1&lt;&gt;"L","FMS","BMS")</f>
        <v>FMS</v>
      </c>
      <c r="EB1" s="40" t="str">
        <f>IF(graph!C1&lt;&gt;"L","BMS","FMS")</f>
        <v>BMS</v>
      </c>
      <c r="EC1" s="40" t="str">
        <f>IF(graph!C1&lt;&gt;"L","BS","FS")</f>
        <v>BS</v>
      </c>
      <c r="EE1" s="40" t="str">
        <f>IF(graph!D1&lt;&gt;"L","F","B")</f>
        <v>F</v>
      </c>
      <c r="EF1" s="40" t="str">
        <f>IF(graph!D1&lt;&gt;"L","FM","BM")</f>
        <v>FM</v>
      </c>
      <c r="EG1" s="40" t="str">
        <f>IF(graph!D1&lt;&gt;"L","BM","FM")</f>
        <v>BM</v>
      </c>
      <c r="EH1" s="40" t="str">
        <f>IF(graph!D1&lt;&gt;"L","B","F")</f>
        <v>B</v>
      </c>
      <c r="EI1" s="40" t="str">
        <f>IF(graph!D1&lt;&gt;"L","FS","BS")</f>
        <v>FS</v>
      </c>
      <c r="EJ1" s="40" t="str">
        <f>IF(graph!D1&lt;&gt;"L","FMS","BMS")</f>
        <v>FMS</v>
      </c>
      <c r="EK1" s="40" t="str">
        <f>IF(graph!D1&lt;&gt;"L","BMS","FMS")</f>
        <v>BMS</v>
      </c>
      <c r="EL1" s="40" t="str">
        <f>IF(graph!D1&lt;&gt;"L","BS","FS")</f>
        <v>BS</v>
      </c>
      <c r="FL1" s="40" t="str">
        <f>IF(graph!C1&lt;&gt;"L","B","F")</f>
        <v>B</v>
      </c>
      <c r="FM1" s="40" t="str">
        <f>IF(graph!C1&lt;&gt;"L","BM","FM")</f>
        <v>BM</v>
      </c>
      <c r="FN1" s="40" t="str">
        <f>IF(graph!C1&lt;&gt;"L","FM","BM")</f>
        <v>FM</v>
      </c>
      <c r="FO1" s="40" t="str">
        <f>IF(graph!C1&lt;&gt;"L","F","B")</f>
        <v>F</v>
      </c>
      <c r="FP1" s="40" t="str">
        <f>IF(graph!C1&lt;&gt;"L","BS","FS")</f>
        <v>BS</v>
      </c>
      <c r="FQ1" s="40" t="str">
        <f>IF(graph!C1&lt;&gt;"L","BMS","FMS")</f>
        <v>BMS</v>
      </c>
      <c r="FR1" s="40" t="str">
        <f>IF(graph!C1&lt;&gt;"L","FMS","BMS")</f>
        <v>FMS</v>
      </c>
      <c r="FS1" s="40" t="str">
        <f>IF(graph!C1&lt;&gt;"L","FS","BS")</f>
        <v>FS</v>
      </c>
      <c r="FW1" s="40" t="str">
        <f>IF(graph!D1&lt;&gt;"L","B","F")</f>
        <v>B</v>
      </c>
      <c r="FX1" s="40" t="str">
        <f>IF(graph!D1&lt;&gt;"L","BM","FM")</f>
        <v>BM</v>
      </c>
      <c r="FY1" s="40" t="str">
        <f>IF(graph!D1&lt;&gt;"L","FM","BM")</f>
        <v>FM</v>
      </c>
      <c r="FZ1" s="40" t="str">
        <f>IF(graph!D1&lt;&gt;"L","F","B")</f>
        <v>F</v>
      </c>
      <c r="GA1" s="40" t="str">
        <f>IF(graph!D1&lt;&gt;"L","BS","FS")</f>
        <v>BS</v>
      </c>
      <c r="GB1" s="40" t="str">
        <f>IF(graph!D1&lt;&gt;"L","BMS","FMS")</f>
        <v>BMS</v>
      </c>
      <c r="GC1" s="40" t="str">
        <f>IF(graph!D1&lt;&gt;"L","FMS","BMS")</f>
        <v>FMS</v>
      </c>
      <c r="GD1" s="40" t="str">
        <f>IF(graph!D1&lt;&gt;"L","FS","BS")</f>
        <v>FS</v>
      </c>
      <c r="HE1" t="str">
        <f>$AC$3</f>
        <v>FENG Tianwei</v>
      </c>
      <c r="HG1" t="s">
        <v>67</v>
      </c>
      <c r="HH1" t="s">
        <v>83</v>
      </c>
      <c r="HI1" t="s">
        <v>84</v>
      </c>
    </row>
    <row r="2" spans="1:224" x14ac:dyDescent="0.45">
      <c r="AC2" s="4">
        <f>Z10-5</f>
        <v>3</v>
      </c>
      <c r="AD2" s="5">
        <f>Z9-4</f>
        <v>16</v>
      </c>
      <c r="AE2" s="6"/>
      <c r="AV2" t="str">
        <f>E3</f>
        <v>Point</v>
      </c>
      <c r="BD2" t="str">
        <f>H3</f>
        <v>SV</v>
      </c>
      <c r="BL2" t="str">
        <f>I3</f>
        <v>SV Type</v>
      </c>
      <c r="BT2" t="str">
        <f>J3</f>
        <v>SV第1バウンド</v>
      </c>
      <c r="CB2" t="str">
        <f>K3</f>
        <v>第2バウンド(SVコース)</v>
      </c>
      <c r="CJ2" t="str">
        <f>L3</f>
        <v>RV_ラケット面</v>
      </c>
      <c r="CR2" t="str">
        <f>M3</f>
        <v>RV Type</v>
      </c>
      <c r="CZ2" t="str">
        <f>N3</f>
        <v>RVコース</v>
      </c>
      <c r="DH2" t="str">
        <f>BL2</f>
        <v>SV Type</v>
      </c>
      <c r="DP2" t="str">
        <f>J3</f>
        <v>SV第1バウンド</v>
      </c>
      <c r="DV2" t="str">
        <f>K3</f>
        <v>第2バウンド(SVコース)</v>
      </c>
      <c r="EN2" t="str">
        <f>L3</f>
        <v>RV_ラケット面</v>
      </c>
      <c r="ET2" t="str">
        <f>M3</f>
        <v>RV Type</v>
      </c>
      <c r="FL2" t="str">
        <f>N3</f>
        <v>RVコース</v>
      </c>
      <c r="GJ2" t="s">
        <v>8</v>
      </c>
      <c r="GK2" t="s">
        <v>27</v>
      </c>
      <c r="HE2" t="s">
        <v>54</v>
      </c>
      <c r="HF2">
        <f>INDEX($ET$5:$ET$40,$AD$2)</f>
        <v>1</v>
      </c>
      <c r="HG2">
        <f>INDEX($ET$4:$ET$40,$AD$2+1)-INDEX($ET$4:$ET$40,$AD$2)</f>
        <v>0</v>
      </c>
      <c r="HH2" s="59">
        <f>INDEX($ET$55:$ET$90,$AD$2)</f>
        <v>0</v>
      </c>
      <c r="HI2" s="59">
        <f t="shared" ref="HI2:HI9" si="0">HF2-HH2</f>
        <v>1</v>
      </c>
    </row>
    <row r="3" spans="1:224" x14ac:dyDescent="0.45">
      <c r="A3" t="str">
        <f>データの貼付!A1</f>
        <v>名前</v>
      </c>
      <c r="B3" t="str">
        <f>データの貼付!B1</f>
        <v>ポジション</v>
      </c>
      <c r="C3" t="str">
        <f>データの貼付!C1</f>
        <v>デュレーション</v>
      </c>
      <c r="D3" t="str">
        <f>データの貼付!D1</f>
        <v>GameCount</v>
      </c>
      <c r="E3" t="str">
        <f>データの貼付!F1</f>
        <v>Point</v>
      </c>
      <c r="F3" t="str">
        <f>データの貼付!E1</f>
        <v>TimeOut</v>
      </c>
      <c r="G3" t="str">
        <f>データの貼付!G1</f>
        <v>打球回数</v>
      </c>
      <c r="H3" t="str">
        <f>データの貼付!H1</f>
        <v>SV</v>
      </c>
      <c r="I3" t="str">
        <f>データの貼付!I1</f>
        <v>SV Type</v>
      </c>
      <c r="J3" t="str">
        <f>データの貼付!J1</f>
        <v>SV第1バウンド</v>
      </c>
      <c r="K3" t="str">
        <f>データの貼付!K1</f>
        <v>第2バウンド(SVコース)</v>
      </c>
      <c r="L3" t="str">
        <f>データの貼付!L1</f>
        <v>RV_ラケット面</v>
      </c>
      <c r="M3" t="str">
        <f>データの貼付!M1</f>
        <v>RV Type</v>
      </c>
      <c r="N3" t="str">
        <f>データの貼付!N1</f>
        <v>RVコース</v>
      </c>
      <c r="P3" s="11"/>
      <c r="R3" t="str">
        <f>D3</f>
        <v>GameCount</v>
      </c>
      <c r="S3" t="str">
        <f>R3</f>
        <v>GameCount</v>
      </c>
      <c r="T3" t="str">
        <f>LEFT(S3,4)</f>
        <v>Game</v>
      </c>
      <c r="U3" t="str">
        <f>S3</f>
        <v>GameCount</v>
      </c>
      <c r="W3" t="str">
        <f>E3&amp;"_"&amp;H3</f>
        <v>Point_SV</v>
      </c>
      <c r="X3" t="str">
        <f>E3&amp;"_"&amp;G3</f>
        <v>Point_打球回数</v>
      </c>
      <c r="AC3" s="5" t="str">
        <f>A4</f>
        <v>FENG Tianwei</v>
      </c>
      <c r="AD3" s="5" t="str">
        <f>A6</f>
        <v>KIHARA Miyuu</v>
      </c>
      <c r="AE3" s="3"/>
      <c r="AN3" t="s">
        <v>26</v>
      </c>
      <c r="AO3" t="s">
        <v>26</v>
      </c>
      <c r="AP3" t="s">
        <v>26</v>
      </c>
      <c r="AQ3" t="s">
        <v>26</v>
      </c>
      <c r="AR3" t="s">
        <v>26</v>
      </c>
      <c r="AS3" t="s">
        <v>26</v>
      </c>
      <c r="AT3" t="s">
        <v>26</v>
      </c>
      <c r="AV3" t="str">
        <f t="shared" ref="AV3" si="1">AN3</f>
        <v>Game</v>
      </c>
      <c r="AW3" t="str">
        <f t="shared" ref="AW3:AW4" si="2">AO3</f>
        <v>Game</v>
      </c>
      <c r="AX3" t="str">
        <f t="shared" ref="AX3:AX4" si="3">AP3</f>
        <v>Game</v>
      </c>
      <c r="AY3" t="str">
        <f t="shared" ref="AY3:AY4" si="4">AQ3</f>
        <v>Game</v>
      </c>
      <c r="AZ3" t="str">
        <f t="shared" ref="AZ3:AZ4" si="5">AR3</f>
        <v>Game</v>
      </c>
      <c r="BA3" t="str">
        <f t="shared" ref="BA3:BA4" si="6">AS3</f>
        <v>Game</v>
      </c>
      <c r="BB3" t="str">
        <f t="shared" ref="BB3:BB4" si="7">AT3</f>
        <v>Game</v>
      </c>
      <c r="BC3" s="3"/>
      <c r="BD3" t="str">
        <f t="shared" ref="BD3:BD4" si="8">AV3</f>
        <v>Game</v>
      </c>
      <c r="BE3" t="str">
        <f t="shared" ref="BE3:BE4" si="9">AW3</f>
        <v>Game</v>
      </c>
      <c r="BF3" t="str">
        <f t="shared" ref="BF3:BF4" si="10">AX3</f>
        <v>Game</v>
      </c>
      <c r="BG3" t="str">
        <f t="shared" ref="BG3:BG4" si="11">AY3</f>
        <v>Game</v>
      </c>
      <c r="BH3" t="str">
        <f t="shared" ref="BH3:BH4" si="12">AZ3</f>
        <v>Game</v>
      </c>
      <c r="BI3" t="str">
        <f t="shared" ref="BI3:BI4" si="13">BA3</f>
        <v>Game</v>
      </c>
      <c r="BJ3" t="str">
        <f t="shared" ref="BJ3:BJ4" si="14">BB3</f>
        <v>Game</v>
      </c>
      <c r="BL3" t="str">
        <f t="shared" ref="BL3:BL4" si="15">BD3</f>
        <v>Game</v>
      </c>
      <c r="BM3" t="str">
        <f t="shared" ref="BM3:BM4" si="16">BE3</f>
        <v>Game</v>
      </c>
      <c r="BN3" t="str">
        <f t="shared" ref="BN3:BN4" si="17">BF3</f>
        <v>Game</v>
      </c>
      <c r="BO3" t="str">
        <f t="shared" ref="BO3:BO4" si="18">BG3</f>
        <v>Game</v>
      </c>
      <c r="BP3" t="str">
        <f t="shared" ref="BP3:BP4" si="19">BH3</f>
        <v>Game</v>
      </c>
      <c r="BQ3" t="str">
        <f t="shared" ref="BQ3:BQ4" si="20">BI3</f>
        <v>Game</v>
      </c>
      <c r="BR3" t="str">
        <f t="shared" ref="BR3:BR4" si="21">BJ3</f>
        <v>Game</v>
      </c>
      <c r="BT3" t="str">
        <f t="shared" ref="BT3:BT4" si="22">BL3</f>
        <v>Game</v>
      </c>
      <c r="BU3" t="str">
        <f t="shared" ref="BU3:BU4" si="23">BM3</f>
        <v>Game</v>
      </c>
      <c r="BV3" t="str">
        <f t="shared" ref="BV3:BV4" si="24">BN3</f>
        <v>Game</v>
      </c>
      <c r="BW3" t="str">
        <f t="shared" ref="BW3:BW4" si="25">BO3</f>
        <v>Game</v>
      </c>
      <c r="BX3" t="str">
        <f t="shared" ref="BX3:BX4" si="26">BP3</f>
        <v>Game</v>
      </c>
      <c r="BY3" t="str">
        <f t="shared" ref="BY3:BY4" si="27">BQ3</f>
        <v>Game</v>
      </c>
      <c r="BZ3" t="str">
        <f t="shared" ref="BZ3:BZ4" si="28">BR3</f>
        <v>Game</v>
      </c>
      <c r="CB3" t="str">
        <f t="shared" ref="CB3:CB4" si="29">BT3</f>
        <v>Game</v>
      </c>
      <c r="CC3" t="str">
        <f t="shared" ref="CC3:CC4" si="30">BU3</f>
        <v>Game</v>
      </c>
      <c r="CD3" t="str">
        <f t="shared" ref="CD3:CD4" si="31">BV3</f>
        <v>Game</v>
      </c>
      <c r="CE3" t="str">
        <f t="shared" ref="CE3:CE4" si="32">BW3</f>
        <v>Game</v>
      </c>
      <c r="CF3" t="str">
        <f t="shared" ref="CF3:CF4" si="33">BX3</f>
        <v>Game</v>
      </c>
      <c r="CG3" t="str">
        <f t="shared" ref="CG3:CG4" si="34">BY3</f>
        <v>Game</v>
      </c>
      <c r="CH3" t="str">
        <f t="shared" ref="CH3:CH4" si="35">BZ3</f>
        <v>Game</v>
      </c>
      <c r="CJ3" t="str">
        <f t="shared" ref="CJ3:CJ4" si="36">CB3</f>
        <v>Game</v>
      </c>
      <c r="CK3" t="str">
        <f t="shared" ref="CK3:CK4" si="37">CC3</f>
        <v>Game</v>
      </c>
      <c r="CL3" t="str">
        <f t="shared" ref="CL3:CL4" si="38">CD3</f>
        <v>Game</v>
      </c>
      <c r="CM3" t="str">
        <f t="shared" ref="CM3:CM4" si="39">CE3</f>
        <v>Game</v>
      </c>
      <c r="CN3" t="str">
        <f t="shared" ref="CN3:CN4" si="40">CF3</f>
        <v>Game</v>
      </c>
      <c r="CO3" t="str">
        <f t="shared" ref="CO3:CO4" si="41">CG3</f>
        <v>Game</v>
      </c>
      <c r="CP3" t="str">
        <f t="shared" ref="CP3:CP4" si="42">CH3</f>
        <v>Game</v>
      </c>
      <c r="CR3" t="str">
        <f t="shared" ref="CR3:CR4" si="43">CJ3</f>
        <v>Game</v>
      </c>
      <c r="CS3" t="str">
        <f t="shared" ref="CS3:CS4" si="44">CK3</f>
        <v>Game</v>
      </c>
      <c r="CT3" t="str">
        <f t="shared" ref="CT3:CT4" si="45">CL3</f>
        <v>Game</v>
      </c>
      <c r="CU3" t="str">
        <f t="shared" ref="CU3:CU4" si="46">CM3</f>
        <v>Game</v>
      </c>
      <c r="CV3" t="str">
        <f t="shared" ref="CV3:CV4" si="47">CN3</f>
        <v>Game</v>
      </c>
      <c r="CW3" t="str">
        <f t="shared" ref="CW3:CW4" si="48">CO3</f>
        <v>Game</v>
      </c>
      <c r="CX3" t="str">
        <f t="shared" ref="CX3:CX4" si="49">CP3</f>
        <v>Game</v>
      </c>
      <c r="CZ3" t="str">
        <f t="shared" ref="CZ3:CZ4" si="50">CR3</f>
        <v>Game</v>
      </c>
      <c r="DA3" t="str">
        <f t="shared" ref="DA3:DA4" si="51">CS3</f>
        <v>Game</v>
      </c>
      <c r="DB3" t="str">
        <f t="shared" ref="DB3:DB4" si="52">CT3</f>
        <v>Game</v>
      </c>
      <c r="DC3" t="str">
        <f t="shared" ref="DC3:DC4" si="53">CU3</f>
        <v>Game</v>
      </c>
      <c r="DD3" t="str">
        <f t="shared" ref="DD3:DD4" si="54">CV3</f>
        <v>Game</v>
      </c>
      <c r="DE3" t="str">
        <f t="shared" ref="DE3:DE4" si="55">CW3</f>
        <v>Game</v>
      </c>
      <c r="DF3" t="str">
        <f t="shared" ref="DF3:DF4" si="56">CX3</f>
        <v>Game</v>
      </c>
      <c r="DH3" t="str">
        <f>AC3&amp;"_Back"</f>
        <v>FENG Tianwei_Back</v>
      </c>
      <c r="DI3" t="str">
        <f>AC3&amp;"_Side"</f>
        <v>FENG Tianwei_Side</v>
      </c>
      <c r="DJ3" t="str">
        <f>AC3&amp;"_(Side)"</f>
        <v>FENG Tianwei_(Side)</v>
      </c>
      <c r="DL3" t="str">
        <f>AD3&amp;"_Back"</f>
        <v>KIHARA Miyuu_Back</v>
      </c>
      <c r="DM3" t="str">
        <f>AD3&amp;"_Side"</f>
        <v>KIHARA Miyuu_Side</v>
      </c>
      <c r="DN3" t="str">
        <f>AD3&amp;"_(Side)"</f>
        <v>KIHARA Miyuu_(Side)</v>
      </c>
      <c r="DP3" t="str">
        <f>AC3&amp;"_"&amp;DP1</f>
        <v>FENG Tianwei_B</v>
      </c>
      <c r="DQ3" t="str">
        <f>AC3&amp;"_"&amp;DQ1</f>
        <v>FENG Tianwei_F</v>
      </c>
      <c r="DS3" t="str">
        <f>AD3&amp;"_B"</f>
        <v>KIHARA Miyuu_B</v>
      </c>
      <c r="DT3" t="str">
        <f>AD3&amp;"_F"</f>
        <v>KIHARA Miyuu_F</v>
      </c>
      <c r="DV3" t="str">
        <f>AC3&amp;"_"&amp;DV1</f>
        <v>FENG Tianwei_F</v>
      </c>
      <c r="DW3" t="str">
        <f>AC3&amp;"_"&amp;DW1</f>
        <v>FENG Tianwei_FM</v>
      </c>
      <c r="DX3" t="str">
        <f>AC3&amp;"_"&amp;DX1</f>
        <v>FENG Tianwei_BM</v>
      </c>
      <c r="DY3" t="str">
        <f>AC3&amp;"_"&amp;DY1</f>
        <v>FENG Tianwei_B</v>
      </c>
      <c r="DZ3" t="str">
        <f>AC3&amp;"_"&amp;DZ1</f>
        <v>FENG Tianwei_FS</v>
      </c>
      <c r="EA3" t="str">
        <f>AC3&amp;"_"&amp;EA1</f>
        <v>FENG Tianwei_FMS</v>
      </c>
      <c r="EB3" t="str">
        <f>AC3&amp;"_"&amp;EB1</f>
        <v>FENG Tianwei_BMS</v>
      </c>
      <c r="EC3" t="str">
        <f>AC3&amp;"_"&amp;EC1</f>
        <v>FENG Tianwei_BS</v>
      </c>
      <c r="EE3" t="str">
        <f>AD3&amp;"_"&amp;EE1</f>
        <v>KIHARA Miyuu_F</v>
      </c>
      <c r="EF3" t="str">
        <f>AD3&amp;"_"&amp;EF1</f>
        <v>KIHARA Miyuu_FM</v>
      </c>
      <c r="EG3" t="str">
        <f>AD3&amp;"_"&amp;EG1</f>
        <v>KIHARA Miyuu_BM</v>
      </c>
      <c r="EH3" t="str">
        <f>AD3&amp;"_"&amp;EH1</f>
        <v>KIHARA Miyuu_B</v>
      </c>
      <c r="EI3" t="str">
        <f>AD3&amp;"_"&amp;EI1</f>
        <v>KIHARA Miyuu_FS</v>
      </c>
      <c r="EJ3" t="str">
        <f>AD3&amp;"_"&amp;EJ1</f>
        <v>KIHARA Miyuu_FMS</v>
      </c>
      <c r="EK3" t="str">
        <f>AD3&amp;"_"&amp;EK1</f>
        <v>KIHARA Miyuu_BMS</v>
      </c>
      <c r="EL3" t="str">
        <f>AD3&amp;"_"&amp;EL1</f>
        <v>KIHARA Miyuu_BS</v>
      </c>
      <c r="EN3" t="str">
        <f>AC3&amp;"_B"</f>
        <v>FENG Tianwei_B</v>
      </c>
      <c r="EO3" t="str">
        <f>AC3&amp;"_F"</f>
        <v>FENG Tianwei_F</v>
      </c>
      <c r="EQ3" t="str">
        <f>AD3&amp;"_B"</f>
        <v>KIHARA Miyuu_B</v>
      </c>
      <c r="ER3" t="str">
        <f>AD3&amp;"_F"</f>
        <v>KIHARA Miyuu_F</v>
      </c>
      <c r="ET3" t="str">
        <f>AC3&amp;"_Chiquita"</f>
        <v>FENG Tianwei_Chiquita</v>
      </c>
      <c r="EU3" t="str">
        <f>AC3&amp;"_Flick"</f>
        <v>FENG Tianwei_Flick</v>
      </c>
      <c r="EV3" t="str">
        <f>AC3&amp;"_Push"</f>
        <v>FENG Tianwei_Push</v>
      </c>
      <c r="EW3" t="str">
        <f>AC3&amp;"_Stop"</f>
        <v>FENG Tianwei_Stop</v>
      </c>
      <c r="EX3" t="str">
        <f>AC3&amp;"_その他"</f>
        <v>FENG Tianwei_その他</v>
      </c>
      <c r="EY3" t="str">
        <f>AC3&amp;"_ドライブ"</f>
        <v>FENG Tianwei_ドライブ</v>
      </c>
      <c r="EZ3" t="str">
        <f>AC3&amp;"_ミユータ"</f>
        <v>FENG Tianwei_ミユータ</v>
      </c>
      <c r="FA3" t="str">
        <f>AC3&amp;"_空振り"</f>
        <v>FENG Tianwei_空振り</v>
      </c>
      <c r="FC3" t="str">
        <f>AD3&amp;"_Chiquita"</f>
        <v>KIHARA Miyuu_Chiquita</v>
      </c>
      <c r="FD3" t="str">
        <f>AD3&amp;"_Flick"</f>
        <v>KIHARA Miyuu_Flick</v>
      </c>
      <c r="FE3" t="str">
        <f>AD3&amp;"_Push"</f>
        <v>KIHARA Miyuu_Push</v>
      </c>
      <c r="FF3" t="str">
        <f>AD3&amp;"_Stop"</f>
        <v>KIHARA Miyuu_Stop</v>
      </c>
      <c r="FG3" t="str">
        <f>AD3&amp;"_その他"</f>
        <v>KIHARA Miyuu_その他</v>
      </c>
      <c r="FH3" t="str">
        <f>AD3&amp;"_ドライブ"</f>
        <v>KIHARA Miyuu_ドライブ</v>
      </c>
      <c r="FI3" t="str">
        <f>AD3&amp;"_ミユータ"</f>
        <v>KIHARA Miyuu_ミユータ</v>
      </c>
      <c r="FJ3" t="str">
        <f>AD3&amp;"_空振り"</f>
        <v>KIHARA Miyuu_空振り</v>
      </c>
      <c r="FL3" t="str">
        <f>AC3&amp;"_"&amp;FL1</f>
        <v>FENG Tianwei_B</v>
      </c>
      <c r="FM3" t="str">
        <f>AC3&amp;"_"&amp;FM1</f>
        <v>FENG Tianwei_BM</v>
      </c>
      <c r="FN3" t="str">
        <f>AC3&amp;"_"&amp;FN1</f>
        <v>FENG Tianwei_FM</v>
      </c>
      <c r="FO3" t="str">
        <f>AC3&amp;"_"&amp;FO1</f>
        <v>FENG Tianwei_F</v>
      </c>
      <c r="FP3" t="str">
        <f>AC3&amp;"_"&amp;FP1</f>
        <v>FENG Tianwei_BS</v>
      </c>
      <c r="FQ3" t="str">
        <f>AC3&amp;"_"&amp;FQ1</f>
        <v>FENG Tianwei_BMS</v>
      </c>
      <c r="FR3" t="str">
        <f>AC3&amp;"_"&amp;FR1</f>
        <v>FENG Tianwei_FMS</v>
      </c>
      <c r="FS3" t="str">
        <f>AC3&amp;"_"&amp;FS1</f>
        <v>FENG Tianwei_FS</v>
      </c>
      <c r="FT3" t="str">
        <f>AC3&amp;"_オーバーミス"</f>
        <v>FENG Tianwei_オーバーミス</v>
      </c>
      <c r="FU3" t="str">
        <f>AC3&amp;"_ネット"</f>
        <v>FENG Tianwei_ネット</v>
      </c>
      <c r="FW3" t="str">
        <f>AD3&amp;"_"&amp;FW1</f>
        <v>KIHARA Miyuu_B</v>
      </c>
      <c r="FX3" t="str">
        <f>AD3&amp;"_"&amp;FX1</f>
        <v>KIHARA Miyuu_BM</v>
      </c>
      <c r="FY3" t="str">
        <f>AD3&amp;"_"&amp;FY1</f>
        <v>KIHARA Miyuu_FM</v>
      </c>
      <c r="FZ3" t="str">
        <f>AD3&amp;"_"&amp;FZ1</f>
        <v>KIHARA Miyuu_F</v>
      </c>
      <c r="GA3" t="str">
        <f>AD3&amp;"_"&amp;GA1</f>
        <v>KIHARA Miyuu_BS</v>
      </c>
      <c r="GB3" t="str">
        <f>AD3&amp;"_"&amp;GB1</f>
        <v>KIHARA Miyuu_BMS</v>
      </c>
      <c r="GC3" t="str">
        <f>AD3&amp;"_"&amp;GC1</f>
        <v>KIHARA Miyuu_FMS</v>
      </c>
      <c r="GD3" t="str">
        <f>AD3&amp;"_"&amp;GD1</f>
        <v>KIHARA Miyuu_FS</v>
      </c>
      <c r="GE3" t="str">
        <f>AD3&amp;"_オーバーミス"</f>
        <v>KIHARA Miyuu_オーバーミス</v>
      </c>
      <c r="GF3" t="str">
        <f>AD3&amp;"_ネット"</f>
        <v>KIHARA Miyuu_ネット</v>
      </c>
      <c r="GK3" t="s">
        <v>28</v>
      </c>
      <c r="HE3" t="s">
        <v>55</v>
      </c>
      <c r="HF3">
        <f>INDEX($EU$5:$EU$40,$AD$2)</f>
        <v>0</v>
      </c>
      <c r="HG3">
        <f>INDEX($EU$4:$EU$40,$AD$2+1)-INDEX($EU$4:$EU$40,$AD$2)</f>
        <v>0</v>
      </c>
      <c r="HH3" s="59">
        <f>INDEX($EU$55:$EU$90,$AD$2)</f>
        <v>0</v>
      </c>
      <c r="HI3" s="59">
        <f t="shared" si="0"/>
        <v>0</v>
      </c>
    </row>
    <row r="4" spans="1:224" x14ac:dyDescent="0.45">
      <c r="A4" t="str">
        <f>データの貼付!A2</f>
        <v>FENG Tianwei</v>
      </c>
      <c r="B4">
        <f>データの貼付!B2</f>
        <v>6.5612268518518526E-4</v>
      </c>
      <c r="C4">
        <f>データの貼付!C2</f>
        <v>6.5648148148148147E-5</v>
      </c>
      <c r="D4">
        <f>データの貼付!D2</f>
        <v>0</v>
      </c>
      <c r="E4" t="str">
        <f>データの貼付!F2</f>
        <v>KIHARA Miyuu</v>
      </c>
      <c r="F4">
        <f>データの貼付!E2</f>
        <v>0</v>
      </c>
      <c r="G4" t="str">
        <f>データの貼付!G2</f>
        <v>#02</v>
      </c>
      <c r="H4" t="str">
        <f>データの貼付!H2</f>
        <v>FENG Tianwei</v>
      </c>
      <c r="I4" t="str">
        <f>データの貼付!I2</f>
        <v>Side</v>
      </c>
      <c r="J4" t="str">
        <f>データの貼付!J2</f>
        <v>B</v>
      </c>
      <c r="K4" t="str">
        <f>データの貼付!K2</f>
        <v>BS</v>
      </c>
      <c r="L4" t="str">
        <f>データの貼付!L2</f>
        <v>B</v>
      </c>
      <c r="M4" t="str">
        <f>データの貼付!M2</f>
        <v>Push</v>
      </c>
      <c r="N4" t="str">
        <f>データの貼付!N2</f>
        <v>F</v>
      </c>
      <c r="P4" s="11"/>
      <c r="R4">
        <f>(D4&lt;&gt;D3)*1</f>
        <v>1</v>
      </c>
      <c r="S4">
        <f>SUM(R$4:R4)</f>
        <v>1</v>
      </c>
      <c r="T4" t="str">
        <f>IF(S4&lt;&gt;S5,E4,"")</f>
        <v/>
      </c>
      <c r="U4">
        <v>1</v>
      </c>
      <c r="V4" t="str">
        <f>INDEX(T$4:T$200,U5-1)</f>
        <v>KIHARA Miyuu</v>
      </c>
      <c r="W4" t="str">
        <f t="shared" ref="W4:W67" si="57">E4&amp;"_"&amp;H4</f>
        <v>KIHARA Miyuu_FENG Tianwei</v>
      </c>
      <c r="X4" t="str">
        <f t="shared" ref="X4:X67" si="58">E4&amp;"_"&amp;G4</f>
        <v>KIHARA Miyuu_#02</v>
      </c>
      <c r="Z4" t="s">
        <v>23</v>
      </c>
      <c r="AA4" t="s">
        <v>24</v>
      </c>
      <c r="AB4" t="s">
        <v>69</v>
      </c>
      <c r="AC4" s="5" t="str">
        <f>"SV得点率"&amp;"_"&amp;$AC3</f>
        <v>SV得点率_FENG Tianwei</v>
      </c>
      <c r="AD4" s="5" t="str">
        <f>"SV得点率"&amp;"_"&amp;$AD3</f>
        <v>SV得点率_KIHARA Miyuu</v>
      </c>
      <c r="AE4" s="5" t="str">
        <f>"RV得点率"&amp;"_"&amp;$AC3</f>
        <v>RV得点率_FENG Tianwei</v>
      </c>
      <c r="AF4" s="5" t="str">
        <f>"RV得点率"&amp;"_"&amp;$AD3</f>
        <v>RV得点率_KIHARA Miyuu</v>
      </c>
      <c r="AG4" s="5" t="str">
        <f>"#3得点率"&amp;"_"&amp;$AC3</f>
        <v>#3得点率_FENG Tianwei</v>
      </c>
      <c r="AH4" s="5" t="str">
        <f>"#3得点率"&amp;"_"&amp;$AD3</f>
        <v>#3得点率_KIHARA Miyuu</v>
      </c>
      <c r="AI4" s="5" t="str">
        <f>"#3効果率"&amp;"_"&amp;$AC3</f>
        <v>#3効果率_FENG Tianwei</v>
      </c>
      <c r="AJ4" s="5" t="str">
        <f>"#3効果率"&amp;"_"&amp;$AD3</f>
        <v>#3効果率_KIHARA Miyuu</v>
      </c>
      <c r="AK4" s="5" t="str">
        <f>"SV#3得点率"&amp;"_"&amp;$AC3</f>
        <v>SV#3得点率_FENG Tianwei</v>
      </c>
      <c r="AL4" s="5" t="str">
        <f>"SV#3得点率"&amp;"_"&amp;$AD3</f>
        <v>SV#3得点率_KIHARA Miyuu</v>
      </c>
      <c r="AN4">
        <v>1</v>
      </c>
      <c r="AO4">
        <v>2</v>
      </c>
      <c r="AP4">
        <v>3</v>
      </c>
      <c r="AQ4">
        <v>4</v>
      </c>
      <c r="AR4">
        <v>5</v>
      </c>
      <c r="AS4">
        <v>6</v>
      </c>
      <c r="AT4">
        <v>7</v>
      </c>
      <c r="AV4">
        <f>AN4</f>
        <v>1</v>
      </c>
      <c r="AW4">
        <f t="shared" si="2"/>
        <v>2</v>
      </c>
      <c r="AX4">
        <f t="shared" si="3"/>
        <v>3</v>
      </c>
      <c r="AY4">
        <f t="shared" si="4"/>
        <v>4</v>
      </c>
      <c r="AZ4">
        <f t="shared" si="5"/>
        <v>5</v>
      </c>
      <c r="BA4">
        <f t="shared" si="6"/>
        <v>6</v>
      </c>
      <c r="BB4">
        <f t="shared" si="7"/>
        <v>7</v>
      </c>
      <c r="BC4" s="3"/>
      <c r="BD4">
        <f t="shared" si="8"/>
        <v>1</v>
      </c>
      <c r="BE4">
        <f t="shared" si="9"/>
        <v>2</v>
      </c>
      <c r="BF4">
        <f t="shared" si="10"/>
        <v>3</v>
      </c>
      <c r="BG4">
        <f t="shared" si="11"/>
        <v>4</v>
      </c>
      <c r="BH4">
        <f t="shared" si="12"/>
        <v>5</v>
      </c>
      <c r="BI4">
        <f t="shared" si="13"/>
        <v>6</v>
      </c>
      <c r="BJ4">
        <f t="shared" si="14"/>
        <v>7</v>
      </c>
      <c r="BL4">
        <f t="shared" si="15"/>
        <v>1</v>
      </c>
      <c r="BM4">
        <f t="shared" si="16"/>
        <v>2</v>
      </c>
      <c r="BN4">
        <f t="shared" si="17"/>
        <v>3</v>
      </c>
      <c r="BO4">
        <f t="shared" si="18"/>
        <v>4</v>
      </c>
      <c r="BP4">
        <f t="shared" si="19"/>
        <v>5</v>
      </c>
      <c r="BQ4">
        <f t="shared" si="20"/>
        <v>6</v>
      </c>
      <c r="BR4">
        <f t="shared" si="21"/>
        <v>7</v>
      </c>
      <c r="BT4">
        <f t="shared" si="22"/>
        <v>1</v>
      </c>
      <c r="BU4">
        <f t="shared" si="23"/>
        <v>2</v>
      </c>
      <c r="BV4">
        <f t="shared" si="24"/>
        <v>3</v>
      </c>
      <c r="BW4">
        <f t="shared" si="25"/>
        <v>4</v>
      </c>
      <c r="BX4">
        <f t="shared" si="26"/>
        <v>5</v>
      </c>
      <c r="BY4">
        <f t="shared" si="27"/>
        <v>6</v>
      </c>
      <c r="BZ4">
        <f t="shared" si="28"/>
        <v>7</v>
      </c>
      <c r="CB4">
        <f t="shared" si="29"/>
        <v>1</v>
      </c>
      <c r="CC4">
        <f t="shared" si="30"/>
        <v>2</v>
      </c>
      <c r="CD4">
        <f t="shared" si="31"/>
        <v>3</v>
      </c>
      <c r="CE4">
        <f t="shared" si="32"/>
        <v>4</v>
      </c>
      <c r="CF4">
        <f t="shared" si="33"/>
        <v>5</v>
      </c>
      <c r="CG4">
        <f t="shared" si="34"/>
        <v>6</v>
      </c>
      <c r="CH4">
        <f t="shared" si="35"/>
        <v>7</v>
      </c>
      <c r="CJ4">
        <f t="shared" si="36"/>
        <v>1</v>
      </c>
      <c r="CK4">
        <f t="shared" si="37"/>
        <v>2</v>
      </c>
      <c r="CL4">
        <f t="shared" si="38"/>
        <v>3</v>
      </c>
      <c r="CM4">
        <f t="shared" si="39"/>
        <v>4</v>
      </c>
      <c r="CN4">
        <f t="shared" si="40"/>
        <v>5</v>
      </c>
      <c r="CO4">
        <f t="shared" si="41"/>
        <v>6</v>
      </c>
      <c r="CP4">
        <f t="shared" si="42"/>
        <v>7</v>
      </c>
      <c r="CR4">
        <f t="shared" si="43"/>
        <v>1</v>
      </c>
      <c r="CS4">
        <f t="shared" si="44"/>
        <v>2</v>
      </c>
      <c r="CT4">
        <f t="shared" si="45"/>
        <v>3</v>
      </c>
      <c r="CU4">
        <f t="shared" si="46"/>
        <v>4</v>
      </c>
      <c r="CV4">
        <f t="shared" si="47"/>
        <v>5</v>
      </c>
      <c r="CW4">
        <f t="shared" si="48"/>
        <v>6</v>
      </c>
      <c r="CX4">
        <f t="shared" si="49"/>
        <v>7</v>
      </c>
      <c r="CZ4">
        <f t="shared" si="50"/>
        <v>1</v>
      </c>
      <c r="DA4">
        <f t="shared" si="51"/>
        <v>2</v>
      </c>
      <c r="DB4">
        <f t="shared" si="52"/>
        <v>3</v>
      </c>
      <c r="DC4">
        <f t="shared" si="53"/>
        <v>4</v>
      </c>
      <c r="DD4">
        <f t="shared" si="54"/>
        <v>5</v>
      </c>
      <c r="DE4">
        <f t="shared" si="55"/>
        <v>6</v>
      </c>
      <c r="DF4">
        <f t="shared" si="56"/>
        <v>7</v>
      </c>
      <c r="GK4" t="s">
        <v>29</v>
      </c>
      <c r="HE4" t="s">
        <v>56</v>
      </c>
      <c r="HF4">
        <f>INDEX($EV$5:$EV$40,$AD$2)</f>
        <v>3</v>
      </c>
      <c r="HG4">
        <f>INDEX($EV$4:$EV$40,$AD$2+1)-INDEX($EV$4:$EV$40,$AD$2)</f>
        <v>0</v>
      </c>
      <c r="HH4" s="59">
        <f>INDEX($EV$55:$EV$90,$AD$2)</f>
        <v>1</v>
      </c>
      <c r="HI4" s="59">
        <f t="shared" si="0"/>
        <v>2</v>
      </c>
    </row>
    <row r="5" spans="1:224" x14ac:dyDescent="0.45">
      <c r="A5" t="str">
        <f>データの貼付!A3</f>
        <v>FENG Tianwei</v>
      </c>
      <c r="B5">
        <f>データの貼付!B3</f>
        <v>8.5849537037037025E-4</v>
      </c>
      <c r="C5">
        <f>データの貼付!C3</f>
        <v>7.1053240740740736E-5</v>
      </c>
      <c r="D5">
        <f>データの貼付!D3</f>
        <v>0</v>
      </c>
      <c r="E5" t="str">
        <f>データの貼付!F3</f>
        <v>FENG Tianwei</v>
      </c>
      <c r="F5">
        <f>データの貼付!E3</f>
        <v>0</v>
      </c>
      <c r="G5" t="str">
        <f>データの貼付!G3</f>
        <v>#05</v>
      </c>
      <c r="H5" t="str">
        <f>データの貼付!H3</f>
        <v>FENG Tianwei</v>
      </c>
      <c r="I5" t="str">
        <f>データの貼付!I3</f>
        <v>Side</v>
      </c>
      <c r="J5" t="str">
        <f>データの貼付!J3</f>
        <v>B</v>
      </c>
      <c r="K5" t="str">
        <f>データの貼付!K3</f>
        <v>B</v>
      </c>
      <c r="L5" t="str">
        <f>データの貼付!L3</f>
        <v>B</v>
      </c>
      <c r="M5" t="str">
        <f>データの貼付!M3</f>
        <v>ドライブ</v>
      </c>
      <c r="N5" t="str">
        <f>データの貼付!N3</f>
        <v>BMS</v>
      </c>
      <c r="R5">
        <f t="shared" ref="R5:R68" si="59">(D5&lt;&gt;D4)*1</f>
        <v>0</v>
      </c>
      <c r="S5">
        <f>SUM(R$4:R5)</f>
        <v>1</v>
      </c>
      <c r="T5" t="str">
        <f t="shared" ref="T5:T68" si="60">IF(S5&lt;&gt;S6,E5,"")</f>
        <v/>
      </c>
      <c r="U5">
        <f>IF(TYPE(U4+MATCH(1,INDEX(R$4:R$200,U4+1):INDEX(R$4:R$200,197),0))=16,"",U4+MATCH(1,INDEX(R$4:R$200,U4+1):INDEX(R$4:R$200,197),0))</f>
        <v>18</v>
      </c>
      <c r="V5" t="str">
        <f t="shared" ref="V5:V11" si="61">INDEX(T$4:T$200,U6-1)</f>
        <v>KIHARA Miyuu</v>
      </c>
      <c r="W5" t="str">
        <f t="shared" si="57"/>
        <v>FENG Tianwei_FENG Tianwei</v>
      </c>
      <c r="X5" t="str">
        <f t="shared" si="58"/>
        <v>FENG Tianwei_#05</v>
      </c>
      <c r="Y5" t="str">
        <f>A4</f>
        <v>FENG Tianwei</v>
      </c>
      <c r="Z5">
        <f>COUNTIF(INDEX(V$3:V$11,1):INDEX(V$3:V$11,AC$2),Y5)</f>
        <v>0</v>
      </c>
      <c r="AA5">
        <f>COUNTIF(INDEX(E$4:E$200,INDEX(U$4:U$11,AC$2)):INDEX(E$4:E$200,INDEX(U$4:U$11,AC$2)+AD$2-1),Y5)</f>
        <v>11</v>
      </c>
      <c r="AB5">
        <f>COUNTIF(INDEX(E$4:E$200,INDEX(U$4:U$11,AC$2)):INDEX(E$4:E$200,INDEX(U$4:U$11,AC$2)+AD$2-1),Y5)-COUNTIF(INDEX(E$4:E$200,INDEX(U$4:U$11,AC$2)):INDEX(E$4:E$200,INDEX(U$4:U$11,AC$2)+AD$2-2),Y5)</f>
        <v>1</v>
      </c>
      <c r="AC5" s="8">
        <f>IF(OR(ROW()-4&gt;INDEX($U$4:$U$11,AC$2+1)-INDEX($U$4:$U$11,AC$2),ROW()-4&gt;AD$2),NA(),COUNTIF(INDEX($W$4:$W$200,INDEX($U$4:$U$11,AC$2)):INDEX($W$4:$W$200,INDEX($U$4:$U$11,AC$2)+ROW()-5),AC$3&amp;"_"&amp;AC$3)/(COUNTIF(INDEX($W$4:$W$200,INDEX($U$4:$U$11,AC$2)):INDEX($W$4:$W$200,INDEX($U$4:$U$11,AC$2)+ROW()-5),AC$3&amp;"_"&amp;AC$3)+COUNTIF(INDEX($W$4:$W$200,INDEX($U$4:$U$11,AC$2)):INDEX($W$4:$W$200,INDEX($U$4:$U$11,AC$2)+ROW()-5),AD$3&amp;"_"&amp;AC$3)))</f>
        <v>0</v>
      </c>
      <c r="AD5" s="8" t="e">
        <f>IF(OR(ROW()-4&gt;INDEX($U$4:$U$11,AC$2+1)-INDEX($U$4:$U$11,AC$2),ROW()-4&gt;AD$2),NA(),COUNTIF(INDEX($W$4:$W$200,INDEX($U$4:$U$11,AC$2)):INDEX($W$4:$W$200,INDEX($U$4:$U$11,AC$2)+ROW()-5),AD$3&amp;"_"&amp;AD$3)/(COUNTIF(INDEX($W$4:$W$200,INDEX($U$4:$U$11,AC$2)):INDEX($W$4:$W$200,INDEX($U$4:$U$11,AC$2)+ROW()-5),AD$3&amp;"_"&amp;AD$3)+COUNTIF(INDEX($W$4:$W$200,INDEX($U$4:$U$11,AC$2)):INDEX($W$4:$W$200,INDEX($U$4:$U$11,AC$2)+ROW()-5),AC$3&amp;"_"&amp;AD$3)))</f>
        <v>#DIV/0!</v>
      </c>
      <c r="AE5" s="10" t="e">
        <f>IF(OR(ROW()-4&gt;INDEX($U$4:$U$11,AC$2+1)-INDEX($U$4:$U$11,AC$2),ROW()-4&gt;AD$2),NA(),COUNTIF(INDEX($W$4:$W$200,INDEX($U$4:$U$11,AC$2)):INDEX($W$4:$W$200,INDEX($U$4:$U$11,AC$2)+ROW()-5),AC$3&amp;"_"&amp;AD$3)/(COUNTIF(INDEX($W$4:$W$200,INDEX($U$4:$U$11,AC$2)):INDEX($W$4:$W$200,INDEX($U$4:$U$11,AC$2)+ROW()-5),AC$3&amp;"_"&amp;AD$3)+COUNTIF(INDEX($W$4:$W$200,INDEX($U$4:$U$11,AC$2)):INDEX($W$4:$W$200,INDEX($U$4:$U$11,AC$2)+ROW()-5),AD$3&amp;"_"&amp;AD$3)))</f>
        <v>#DIV/0!</v>
      </c>
      <c r="AF5" s="10">
        <f>IF(OR(ROW()-4&gt;INDEX($U$4:$U$11,AC$2+1)-INDEX($U$4:$U$11,AC$2),ROW()-4&gt;AD$2),NA(),COUNTIF(INDEX($W$4:$W$200,INDEX($U$4:$U$11,AC$2)):INDEX($W$4:$W$200,INDEX($U$4:$U$11,AC$2)+ROW()-5),AD$3&amp;"_"&amp;AC$3)/(COUNTIF(INDEX($W$4:$W$200,INDEX($U$4:$U$11,AC$2)):INDEX($W$4:$W$200,INDEX($U$4:$U$11,AC$2)+ROW()-5),AD$3&amp;"_"&amp;AC$3)+COUNTIF(INDEX($W$4:$W$200,INDEX($U$4:$U$11,AC$2)):INDEX($W$4:$W$200,INDEX($U$4:$U$11,AC$2)+ROW()-5),AC$3&amp;"_"&amp;AC$3)))</f>
        <v>1</v>
      </c>
      <c r="AG5" s="10">
        <f>IF(OR(ROW()-4&gt;INDEX($U$4:$U$11,AC$2+1)-INDEX($U$4:$U$11,AC$2),ROW()-4&gt;AD$2),NA(),COUNTIF(INDEX($X$4:$X$200,INDEX($U$4:$U$11,AC$2)):INDEX($X$4:$X$200,INDEX($U$4:$U$11,AC$2)+ROW()-5),AC$3&amp;"_#03")/(COUNTIF(INDEX($W$4:$W$200,INDEX($U$4:$U$11,AC$2)):INDEX($W$4:$W$200,INDEX($U$4:$U$11,AC$2)+ROW()-5),AC$3&amp;"_"&amp;AC$3)+COUNTIF(INDEX($W$4:$W$200,INDEX($U$4:$U$11,AC$2)):INDEX($W$4:$W$200,INDEX($U$4:$U$11,AC$2)+ROW()-5),AD$3&amp;"_"&amp;AC$3)))</f>
        <v>0</v>
      </c>
      <c r="AH5" s="10" t="e">
        <f>IF(OR(ROW()-4&gt;INDEX($U$4:$U$11,AC$2+1)-INDEX($U$4:$U$11,AC$2),ROW()-4&gt;AD$2),NA(),COUNTIF(INDEX($X$4:$X$200,INDEX($U$4:$U$11,AC$2)):INDEX($X$4:$X$200,INDEX($U$4:$U$11,AC$2)+ROW()-5),AD$3&amp;"_#03")/(COUNTIF(INDEX($W$4:$W$200,INDEX($U$4:$U$11,AC$2)):INDEX($W$4:$W$200,INDEX($U$4:$U$11,AC$2)+ROW()-5),AD$3&amp;"_"&amp;AD$3)+COUNTIF(INDEX($W$4:$W$200,INDEX($U$4:$U$11,AC$2)):INDEX($W$4:$W$200,INDEX($U$4:$U$11,AC$2)+ROW()-5),AC$3&amp;"_"&amp;AD$3)))</f>
        <v>#DIV/0!</v>
      </c>
      <c r="AI5" s="10">
        <f>IF(OR(ROW()-4&gt;INDEX($U$4:$U$11,AC$2+1)-INDEX($U$4:$U$11,AC$2),ROW()-4&gt;AD$2),NA(),(COUNTIF(INDEX($X$4:$X$200,INDEX($U$4:$U$11,AC$2)):INDEX($X$4:$X$200,INDEX($U$4:$U$11,AC$2)+ROW()-5),AC$3&amp;"_#03")-COUNTIF(INDEX($X$4:$X$200,INDEX($U$4:$U$11,AC$2)):INDEX($X$4:$X$200,INDEX($U$4:$U$11,AC$2)+ROW()-5),AD$3&amp;"_#02"))/(COUNTIF(INDEX($W$4:$W$200,INDEX($U$4:$U$11,AC$2)):INDEX($W$4:$W$200,INDEX($U$4:$U$11,AC$2)+ROW()-5),AC$3&amp;"_"&amp;AC$3)+COUNTIF(INDEX($W$4:$W$200,INDEX($U$4:$U$11,AC$2)):INDEX($W$4:$W$200,INDEX($U$4:$U$11,AC$2)+ROW()-5),AD$3&amp;"_"&amp;AC$3)))</f>
        <v>0</v>
      </c>
      <c r="AJ5" s="10" t="e">
        <f>IF(OR(ROW()-4&gt;INDEX($U$4:$U$11,AC$2+1)-INDEX($U$4:$U$11,AC$2),ROW()-4&gt;AD$2),NA(),(COUNTIF(INDEX($X$4:$X$200,INDEX($U$4:$U$11,AC$2)):INDEX($X$4:$X$200,INDEX($U$4:$U$11,AC$2)+ROW()-5),AD$3&amp;"_#03")-COUNTIF(INDEX($X$4:$X$200,INDEX($U$4:$U$11,AC$2)):INDEX($X$4:$X$200,INDEX($U$4:$U$11,AC$2)+ROW()-5),AC$3&amp;"_#02"))/(COUNTIF(INDEX($W$4:$W$200,INDEX($U$4:$U$11,AC$2)):INDEX($W$4:$W$200,INDEX($U$4:$U$11,AC$2)+ROW()-5),AD$3&amp;"_"&amp;AD$3)+COUNTIF(INDEX($W$4:$W$200,INDEX($U$4:$U$11,AC$2)):INDEX($W$4:$W$200,INDEX($U$4:$U$11,AC$2)+ROW()-5),AC$3&amp;"_"&amp;AD$3)))</f>
        <v>#DIV/0!</v>
      </c>
      <c r="AK5" s="10">
        <f>IF(OR(ROW()-4&gt;INDEX($U$4:$U$11,AC$2+1)-INDEX($U$4:$U$11,AC$2),ROW()-4&gt;AD$2),NA(),(COUNTIF(INDEX($X$4:$X$200,INDEX($U$4:$U$11,AC$2)):INDEX($X$4:$X$200,INDEX($U$4:$U$11,AC$2)+ROW()-5),AC$3&amp;"_#01")+COUNTIF(INDEX($X$4:$X$200,INDEX($U$4:$U$11,AC$2)):INDEX($X$4:$X$200,INDEX($U$4:$U$11,AC$2)+ROW()-5),AC$3&amp;"_#03"))/(COUNTIF(INDEX($W$4:$W$200,INDEX($U$4:$U$11,AC$2)):INDEX($W$4:$W$200,INDEX($U$4:$U$11,AC$2)+ROW()-5),AC$3&amp;"_"&amp;AC$3)+COUNTIF(INDEX($W$4:$W$200,INDEX($U$4:$U$11,AC$2)):INDEX($W$4:$W$200,INDEX($U$4:$U$11,AC$2)+ROW()-5),AD$3&amp;"_"&amp;AC$3)))</f>
        <v>0</v>
      </c>
      <c r="AL5" s="10" t="e">
        <f>IF(OR(ROW()-4&gt;INDEX($U$4:$U$11,AC$2+1)-INDEX($U$4:$U$11,AC$2),ROW()-4&gt;AD$2),NA(),(COUNTIF(INDEX($X$4:$X$200,INDEX($U$4:$U$11,AC$2)):INDEX($X$4:$X$200,INDEX($U$4:$U$11,AC$2)+ROW()-5),AD$3&amp;"_#01")+COUNTIF(INDEX($X$4:$X$200,INDEX($U$4:$U$11,AC$2)):INDEX($X$4:$X$200,INDEX($U$4:$U$11,AC$2)+ROW()-5),AD$3&amp;"_#03"))/(COUNTIF(INDEX($W$4:$W$200,INDEX($U$4:$U$11,AC$2)):INDEX($W$4:$W$200,INDEX($U$4:$U$11,AC$2)+ROW()-5),AD$3&amp;"_"&amp;AD$3)+COUNTIF(INDEX($W$4:$W$200,INDEX($U$4:$U$11,AC$2)):INDEX($W$4:$W$200,INDEX($U$4:$U$11,AC$2)+ROW()-5),AC$3&amp;"_"&amp;AD$3)))</f>
        <v>#DIV/0!</v>
      </c>
      <c r="AN5">
        <f>INDEX($U$4:$U$11,AN4)</f>
        <v>1</v>
      </c>
      <c r="AO5">
        <f>INDEX($U$4:$U$11,AO4)</f>
        <v>18</v>
      </c>
      <c r="AP5">
        <f t="shared" ref="AP5:AT5" si="62">INDEX($U$4:$U$11,AP4)</f>
        <v>33</v>
      </c>
      <c r="AQ5">
        <f t="shared" si="62"/>
        <v>49</v>
      </c>
      <c r="AR5">
        <f t="shared" si="62"/>
        <v>68</v>
      </c>
      <c r="AS5">
        <f t="shared" si="62"/>
        <v>76</v>
      </c>
      <c r="AT5" t="str">
        <f t="shared" si="62"/>
        <v/>
      </c>
      <c r="AV5" t="str">
        <f>IF(INDEX($E$4:$E$200,AN5)=0,"SL",INDEX($E$4:$E$200,AN5))</f>
        <v>KIHARA Miyuu</v>
      </c>
      <c r="AW5" t="str">
        <f t="shared" ref="AW5:AW40" si="63">IF(INDEX($E$4:$E$200,AO5)=0,"SL",INDEX($E$4:$E$200,AO5))</f>
        <v>KIHARA Miyuu</v>
      </c>
      <c r="AX5" t="str">
        <f t="shared" ref="AX5:AX40" si="64">IF(INDEX($E$4:$E$200,AP5)=0,"SL",INDEX($E$4:$E$200,AP5))</f>
        <v>KIHARA Miyuu</v>
      </c>
      <c r="AY5" t="str">
        <f t="shared" ref="AY5:AY40" si="65">IF(INDEX($E$4:$E$200,AQ5)=0,"SL",INDEX($E$4:$E$200,AQ5))</f>
        <v>KIHARA Miyuu</v>
      </c>
      <c r="AZ5" t="str">
        <f t="shared" ref="AZ5:AZ40" si="66">IF(INDEX($E$4:$E$200,AR5)=0,"SL",INDEX($E$4:$E$200,AR5))</f>
        <v>KIHARA Miyuu</v>
      </c>
      <c r="BA5" t="str">
        <f t="shared" ref="BA5:BA40" si="67">IF(INDEX($E$4:$E$200,AS5)=0,"SL",INDEX($E$4:$E$200,AS5))</f>
        <v>SL</v>
      </c>
      <c r="BB5" t="e">
        <f t="shared" ref="BB5:BB40" si="68">IF(INDEX($E$4:$E$200,AT5)=0,"SL",INDEX($E$4:$E$200,AT5))</f>
        <v>#VALUE!</v>
      </c>
      <c r="BC5" s="8"/>
      <c r="BD5" t="str">
        <f>INDEX($H$4:$H$200,AN5)</f>
        <v>FENG Tianwei</v>
      </c>
      <c r="BE5" t="str">
        <f t="shared" ref="BE5:BE40" si="69">INDEX($H$4:$H$200,AO5)</f>
        <v>KIHARA Miyuu</v>
      </c>
      <c r="BF5" t="str">
        <f t="shared" ref="BF5:BF40" si="70">INDEX($H$4:$H$200,AP5)</f>
        <v>FENG Tianwei</v>
      </c>
      <c r="BG5" t="str">
        <f t="shared" ref="BG5:BG40" si="71">INDEX($H$4:$H$200,AQ5)</f>
        <v>KIHARA Miyuu</v>
      </c>
      <c r="BH5" t="str">
        <f t="shared" ref="BH5:BH40" si="72">INDEX($H$4:$H$200,AR5)</f>
        <v>FENG Tianwei</v>
      </c>
      <c r="BI5">
        <f t="shared" ref="BI5:BI40" si="73">INDEX($H$4:$H$200,AS5)</f>
        <v>0</v>
      </c>
      <c r="BJ5" t="e">
        <f t="shared" ref="BJ5:BJ40" si="74">INDEX($H$4:$H$200,AT5)</f>
        <v>#VALUE!</v>
      </c>
      <c r="BK5" s="8"/>
      <c r="BL5" t="str">
        <f>BD5&amp;"_"&amp;IF(INDEX($E$4:$E$200,AN5)=0,"SL",INDEX($I$4:$I$200,AN5))</f>
        <v>FENG Tianwei_Side</v>
      </c>
      <c r="BM5" t="str">
        <f t="shared" ref="BM5:BM40" si="75">BE5&amp;"_"&amp;IF(INDEX($E$4:$E$200,AO5)=0,"SL",INDEX($I$4:$I$200,AO5))</f>
        <v>KIHARA Miyuu_(Side)</v>
      </c>
      <c r="BN5" t="str">
        <f t="shared" ref="BN5:BN40" si="76">BF5&amp;"_"&amp;IF(INDEX($E$4:$E$200,AP5)=0,"SL",INDEX($I$4:$I$200,AP5))</f>
        <v>FENG Tianwei_Side</v>
      </c>
      <c r="BO5" t="str">
        <f t="shared" ref="BO5:BO40" si="77">BG5&amp;"_"&amp;IF(INDEX($E$4:$E$200,AQ5)=0,"SL",INDEX($I$4:$I$200,AQ5))</f>
        <v>KIHARA Miyuu_(Side)</v>
      </c>
      <c r="BP5" t="str">
        <f t="shared" ref="BP5:BP40" si="78">BH5&amp;"_"&amp;IF(INDEX($E$4:$E$200,AR5)=0,"SL",INDEX($I$4:$I$200,AR5))</f>
        <v>FENG Tianwei_Side</v>
      </c>
      <c r="BQ5" t="str">
        <f t="shared" ref="BQ5:BQ40" si="79">BI5&amp;"_"&amp;IF(INDEX($E$4:$E$200,AS5)=0,"SL",INDEX($I$4:$I$200,AS5))</f>
        <v>0_SL</v>
      </c>
      <c r="BR5" t="e">
        <f t="shared" ref="BR5:BR40" si="80">BJ5&amp;"_"&amp;IF(INDEX($E$4:$E$200,AT5)=0,"SL",INDEX($I$4:$I$200,AT5))</f>
        <v>#VALUE!</v>
      </c>
      <c r="BT5" t="str">
        <f>BD5&amp;"_"&amp;IF(INDEX($E$4:$E$200,AN5)=0,"SL",INDEX($J$4:$J$200,AN5))</f>
        <v>FENG Tianwei_B</v>
      </c>
      <c r="BU5" t="str">
        <f t="shared" ref="BU5:BU40" si="81">BE5&amp;"_"&amp;IF(INDEX($E$4:$E$200,AO5)=0,"SL",INDEX($J$4:$J$200,AO5))</f>
        <v>KIHARA Miyuu_B</v>
      </c>
      <c r="BV5" t="str">
        <f t="shared" ref="BV5:BV40" si="82">BF5&amp;"_"&amp;IF(INDEX($E$4:$E$200,AP5)=0,"SL",INDEX($J$4:$J$200,AP5))</f>
        <v>FENG Tianwei_B</v>
      </c>
      <c r="BW5" t="str">
        <f t="shared" ref="BW5:BW40" si="83">BG5&amp;"_"&amp;IF(INDEX($E$4:$E$200,AQ5)=0,"SL",INDEX($J$4:$J$200,AQ5))</f>
        <v>KIHARA Miyuu_B</v>
      </c>
      <c r="BX5" t="str">
        <f t="shared" ref="BX5:BX40" si="84">BH5&amp;"_"&amp;IF(INDEX($E$4:$E$200,AR5)=0,"SL",INDEX($J$4:$J$200,AR5))</f>
        <v>FENG Tianwei_B</v>
      </c>
      <c r="BY5" t="str">
        <f t="shared" ref="BY5:BY40" si="85">BI5&amp;"_"&amp;IF(INDEX($E$4:$E$200,AS5)=0,"SL",INDEX($J$4:$J$200,AS5))</f>
        <v>0_SL</v>
      </c>
      <c r="BZ5" t="e">
        <f t="shared" ref="BZ5:BZ40" si="86">BJ5&amp;"_"&amp;IF(INDEX($E$4:$E$200,AT5)=0,"SL",INDEX($J$4:$J$200,AT5))</f>
        <v>#VALUE!</v>
      </c>
      <c r="CB5" t="str">
        <f>BD5&amp;"_"&amp;IF(INDEX($E$4:$E$200,AN5)=0,"SL",INDEX($K$4:$K$200,AN5))</f>
        <v>FENG Tianwei_BS</v>
      </c>
      <c r="CC5" t="str">
        <f t="shared" ref="CC5:CC40" si="87">BE5&amp;"_"&amp;IF(INDEX($E$4:$E$200,AO5)=0,"SL",INDEX($K$4:$K$200,AO5))</f>
        <v>KIHARA Miyuu_B</v>
      </c>
      <c r="CD5" t="str">
        <f t="shared" ref="CD5:CD40" si="88">BF5&amp;"_"&amp;IF(INDEX($E$4:$E$200,AP5)=0,"SL",INDEX($K$4:$K$200,AP5))</f>
        <v>FENG Tianwei_BM</v>
      </c>
      <c r="CE5" t="str">
        <f t="shared" ref="CE5:CE40" si="89">BG5&amp;"_"&amp;IF(INDEX($E$4:$E$200,AQ5)=0,"SL",INDEX($K$4:$K$200,AQ5))</f>
        <v>KIHARA Miyuu_FMS</v>
      </c>
      <c r="CF5" t="str">
        <f t="shared" ref="CF5:CF40" si="90">BH5&amp;"_"&amp;IF(INDEX($E$4:$E$200,AR5)=0,"SL",INDEX($K$4:$K$200,AR5))</f>
        <v>FENG Tianwei_B</v>
      </c>
      <c r="CG5" t="str">
        <f t="shared" ref="CG5:CG40" si="91">BI5&amp;"_"&amp;IF(INDEX($E$4:$E$200,AS5)=0,"SL",INDEX($K$4:$K$200,AS5))</f>
        <v>0_SL</v>
      </c>
      <c r="CH5" t="e">
        <f t="shared" ref="CH5:CH40" si="92">BJ5&amp;"_"&amp;IF(INDEX($E$4:$E$200,AT5)=0,"SL",INDEX($K$4:$K$200,AT5))</f>
        <v>#VALUE!</v>
      </c>
      <c r="CJ5" t="str">
        <f>IF(BD5=$AC$3,$AD$3,$AC$3)&amp;"_"&amp;IF(INDEX($E$4:$E$200,AN5)=0,"SL",INDEX($L$4:$L$200,AN5))</f>
        <v>KIHARA Miyuu_B</v>
      </c>
      <c r="CK5" t="str">
        <f t="shared" ref="CK5:CK40" si="93">IF(BE5=$AC$3,$AD$3,$AC$3)&amp;"_"&amp;IF(INDEX($E$4:$E$200,AO5)=0,"SL",INDEX($L$4:$L$200,AO5))</f>
        <v>FENG Tianwei_B</v>
      </c>
      <c r="CL5" t="str">
        <f t="shared" ref="CL5:CL40" si="94">IF(BF5=$AC$3,$AD$3,$AC$3)&amp;"_"&amp;IF(INDEX($E$4:$E$200,AP5)=0,"SL",INDEX($L$4:$L$200,AP5))</f>
        <v>KIHARA Miyuu_B</v>
      </c>
      <c r="CM5" t="str">
        <f t="shared" ref="CM5:CM40" si="95">IF(BG5=$AC$3,$AD$3,$AC$3)&amp;"_"&amp;IF(INDEX($E$4:$E$200,AQ5)=0,"SL",INDEX($L$4:$L$200,AQ5))</f>
        <v>FENG Tianwei_B</v>
      </c>
      <c r="CN5" t="str">
        <f t="shared" ref="CN5:CN40" si="96">IF(BH5=$AC$3,$AD$3,$AC$3)&amp;"_"&amp;IF(INDEX($E$4:$E$200,AR5)=0,"SL",INDEX($L$4:$L$200,AR5))</f>
        <v>KIHARA Miyuu_B</v>
      </c>
      <c r="CO5" t="str">
        <f t="shared" ref="CO5:CO40" si="97">IF(BI5=$AC$3,$AD$3,$AC$3)&amp;"_"&amp;IF(INDEX($E$4:$E$200,AS5)=0,"SL",INDEX($L$4:$L$200,AS5))</f>
        <v>FENG Tianwei_SL</v>
      </c>
      <c r="CP5" t="e">
        <f t="shared" ref="CP5:CP40" si="98">IF(BJ5=$AC$3,$AD$3,$AC$3)&amp;"_"&amp;IF(INDEX($E$4:$E$200,AT5)=0,"SL",INDEX($L$4:$L$200,AT5))</f>
        <v>#VALUE!</v>
      </c>
      <c r="CR5" t="str">
        <f>IF(BD5=$AC$3,$AD$3,$AC$3)&amp;"_"&amp;IF(INDEX($E$4:$E$200,AN5)=0,"SL",INDEX($M$4:$M$200,AN5))</f>
        <v>KIHARA Miyuu_Push</v>
      </c>
      <c r="CS5" t="str">
        <f t="shared" ref="CS5:CS40" si="99">IF(BE5=$AC$3,$AD$3,$AC$3)&amp;"_"&amp;IF(INDEX($E$4:$E$200,AO5)=0,"SL",INDEX($M$4:$M$200,AO5))</f>
        <v>FENG Tianwei_ドライブ</v>
      </c>
      <c r="CT5" t="str">
        <f t="shared" ref="CT5:CT40" si="100">IF(BF5=$AC$3,$AD$3,$AC$3)&amp;"_"&amp;IF(INDEX($E$4:$E$200,AP5)=0,"SL",INDEX($M$4:$M$200,AP5))</f>
        <v>KIHARA Miyuu_ドライブ</v>
      </c>
      <c r="CU5" t="str">
        <f t="shared" ref="CU5:CU40" si="101">IF(BG5=$AC$3,$AD$3,$AC$3)&amp;"_"&amp;IF(INDEX($E$4:$E$200,AQ5)=0,"SL",INDEX($M$4:$M$200,AQ5))</f>
        <v>FENG Tianwei_Push</v>
      </c>
      <c r="CV5" t="str">
        <f t="shared" ref="CV5:CV40" si="102">IF(BH5=$AC$3,$AD$3,$AC$3)&amp;"_"&amp;IF(INDEX($E$4:$E$200,AR5)=0,"SL",INDEX($M$4:$M$200,AR5))</f>
        <v>KIHARA Miyuu_ドライブ</v>
      </c>
      <c r="CW5" t="str">
        <f t="shared" ref="CW5:CW40" si="103">IF(BI5=$AC$3,$AD$3,$AC$3)&amp;"_"&amp;IF(INDEX($E$4:$E$200,AS5)=0,"SL",INDEX($M$4:$M$200,AS5))</f>
        <v>FENG Tianwei_SL</v>
      </c>
      <c r="CX5" t="e">
        <f t="shared" ref="CX5:CX40" si="104">IF(BJ5=$AC$3,$AD$3,$AC$3)&amp;"_"&amp;IF(INDEX($E$4:$E$200,AT5)=0,"SL",INDEX($M$4:$M$200,AT5))</f>
        <v>#VALUE!</v>
      </c>
      <c r="CZ5" t="str">
        <f>IF(BD5=$AC$3,$AD$3,$AC$3)&amp;"_"&amp;IF(INDEX($E$4:$E$200,AN5)=0,"SL",INDEX($N$4:$N$200,AN5))</f>
        <v>KIHARA Miyuu_F</v>
      </c>
      <c r="DA5" t="str">
        <f t="shared" ref="DA5:DA40" si="105">IF(BE5=$AC$3,$AD$3,$AC$3)&amp;"_"&amp;IF(INDEX($E$4:$E$200,AO5)=0,"SL",INDEX($N$4:$N$200,AO5))</f>
        <v>FENG Tianwei_BM</v>
      </c>
      <c r="DB5" t="str">
        <f t="shared" ref="DB5:DB40" si="106">IF(BF5=$AC$3,$AD$3,$AC$3)&amp;"_"&amp;IF(INDEX($E$4:$E$200,AP5)=0,"SL",INDEX($N$4:$N$200,AP5))</f>
        <v>KIHARA Miyuu_BM</v>
      </c>
      <c r="DC5" t="str">
        <f t="shared" ref="DC5:DC40" si="107">IF(BG5=$AC$3,$AD$3,$AC$3)&amp;"_"&amp;IF(INDEX($E$4:$E$200,AQ5)=0,"SL",INDEX($N$4:$N$200,AQ5))</f>
        <v>FENG Tianwei_B</v>
      </c>
      <c r="DD5" t="str">
        <f t="shared" ref="DD5:DD40" si="108">IF(BH5=$AC$3,$AD$3,$AC$3)&amp;"_"&amp;IF(INDEX($E$4:$E$200,AR5)=0,"SL",INDEX($N$4:$N$200,AR5))</f>
        <v>KIHARA Miyuu_FM</v>
      </c>
      <c r="DE5" t="str">
        <f t="shared" ref="DE5:DE40" si="109">IF(BI5=$AC$3,$AD$3,$AC$3)&amp;"_"&amp;IF(INDEX($E$4:$E$200,AS5)=0,"SL",INDEX($N$4:$N$200,AS5))</f>
        <v>FENG Tianwei_SL</v>
      </c>
      <c r="DF5" t="e">
        <f t="shared" ref="DF5:DF40" si="110">IF(BJ5=$AC$3,$AD$3,$AC$3)&amp;"_"&amp;IF(INDEX($E$4:$E$200,AT5)=0,"SL",INDEX($N$4:$N$200,AT5))</f>
        <v>#VALUE!</v>
      </c>
      <c r="DH5">
        <f>IF(OR(ROW()-4&gt;INDEX($U$4:$U$11,$AC$2+1,1)-INDEX($U$4:$U$11,$AC$2,1),ROW()-4&gt;$AD$2),NA(),COUNTIF(INDEX($BL$5:$BR$50,INDEX($U$4:$U$11,1,1),$AC$2):INDEX($BL$5:$BR$50,INDEX($U$4:$U$11,1,1)+ROW()-5,$AC$2),DH$3))</f>
        <v>0</v>
      </c>
      <c r="DI5">
        <f>IF(OR(ROW()-4&gt;INDEX($U$4:$U$11,$AC$2+1,1)-INDEX($U$4:$U$11,$AC$2,1),ROW()-4&gt;$AD$2),NA(),COUNTIF(INDEX($BL$5:$BR$50,INDEX($U$4:$U$11,1,1),$AC$2):INDEX($BL$5:$BR$50,INDEX($U$4:$U$11,1,1)+ROW()-5,$AC$2),DI$3))</f>
        <v>1</v>
      </c>
      <c r="DJ5">
        <f>IF(OR(ROW()-4&gt;INDEX($U$4:$U$11,$AC$2+1,1)-INDEX($U$4:$U$11,$AC$2,1),ROW()-4&gt;$AD$2),NA(),COUNTIF(INDEX($BL$5:$BR$50,INDEX($U$4:$U$11,1,1),$AC$2):INDEX($BL$5:$BR$50,INDEX($U$4:$U$11,1,1)+ROW()-5,$AC$2),DJ$3))</f>
        <v>0</v>
      </c>
      <c r="DL5">
        <f>IF(OR(ROW()-4&gt;INDEX($U$4:$U$11,$AC$2+1,1)-INDEX($U$4:$U$11,$AC$2,1),ROW()-4&gt;$AD$2),NA(),COUNTIF(INDEX($BL$5:$BR$50,INDEX($U$4:$U$11,1,1),$AC$2):INDEX($BL$5:$BR$50,INDEX($U$4:$U$11,1,1)+ROW()-5,$AC$2),DL$3))</f>
        <v>0</v>
      </c>
      <c r="DM5">
        <f>IF(OR(ROW()-4&gt;INDEX($U$4:$U$11,$AC$2+1,1)-INDEX($U$4:$U$11,$AC$2,1),ROW()-4&gt;$AD$2),NA(),COUNTIF(INDEX($BL$5:$BR$50,INDEX($U$4:$U$11,1,1),$AC$2):INDEX($BL$5:$BR$50,INDEX($U$4:$U$11,1,1)+ROW()-5,$AC$2),DM$3))</f>
        <v>0</v>
      </c>
      <c r="DN5">
        <f>IF(OR(ROW()-4&gt;INDEX($U$4:$U$11,$AC$2+1,1)-INDEX($U$4:$U$11,$AC$2,1),ROW()-4&gt;$AD$2),NA(),COUNTIF(INDEX($BL$5:$BR$50,INDEX($U$4:$U$11,1,1),$AC$2):INDEX($BL$5:$BR$50,INDEX($U$4:$U$11,1,1)+ROW()-5,$AC$2),DN$3))</f>
        <v>0</v>
      </c>
      <c r="DP5">
        <f>IF(OR(ROW()-4&gt;INDEX($U$4:$U$11,$AC$2+1,1)-INDEX($U$4:$U$11,$AC$2,1),ROW()-4&gt;$AD$2),NA(),COUNTIF(INDEX($BT$5:$BZ$201,INDEX($U$4:$U$11,1,1),$AC$2):INDEX($BT$5:$BZ$201,INDEX($U$4:$U$11,1,1)+ROW()-5,$AC$2),DP$3))</f>
        <v>1</v>
      </c>
      <c r="DQ5">
        <f>IF(OR(ROW()-4&gt;INDEX($U$4:$U$11,$AC$2+1,1)-INDEX($U$4:$U$11,$AC$2,1),ROW()-4&gt;$AD$2),NA(),COUNTIF(INDEX($BT$5:$BZ$201,INDEX($U$4:$U$11,1,1),$AC$2):INDEX($BT$5:$BZ$201,INDEX($U$4:$U$11,1,1)+ROW()-5,$AC$2),DQ$3))</f>
        <v>0</v>
      </c>
      <c r="DS5">
        <f>IF(OR(ROW()-4&gt;INDEX($U$4:$U$11,$AC$2+1,1)-INDEX($U$4:$U$11,$AC$2,1),ROW()-4&gt;$AD$2),NA(),COUNTIF(INDEX($BT$5:$BZ$201,INDEX($U$4:$U$11,1,1),$AC$2):INDEX($BT$5:$BZ$201,INDEX($U$4:$U$11,1,1)+ROW()-5,$AC$2),DS$3))</f>
        <v>0</v>
      </c>
      <c r="DT5">
        <f>IF(OR(ROW()-4&gt;INDEX($U$4:$U$11,$AC$2+1,1)-INDEX($U$4:$U$11,$AC$2,1),ROW()-4&gt;$AD$2),NA(),COUNTIF(INDEX($BT$5:$BZ$201,INDEX($U$4:$U$11,1,1),$AC$2):INDEX($BT$5:$BZ$201,INDEX($U$4:$U$11,1,1)+ROW()-5,$AC$2),DT$3))</f>
        <v>0</v>
      </c>
      <c r="DV5">
        <f>IF(OR(ROW()-4&gt;INDEX($U$4:$U$11,$AC$2+1,1)-INDEX($U$4:$U$11,$AC$2,1),ROW()-4&gt;$AD$2),NA(),COUNTIF(INDEX($CB$5:$CH$201,INDEX($U$4:$U$11,1,1),$AC$2):INDEX($CB$5:$CH$201,INDEX($U$4:$U$11,1,1)+ROW()-5,$AC$2),DV$3))</f>
        <v>0</v>
      </c>
      <c r="DW5">
        <f>IF(OR(ROW()-4&gt;INDEX($U$4:$U$11,$AC$2+1,1)-INDEX($U$4:$U$11,$AC$2,1),ROW()-4&gt;$AD$2),NA(),COUNTIF(INDEX($CB$5:$CH$201,INDEX($U$4:$U$11,1,1),$AC$2):INDEX($CB$5:$CH$201,INDEX($U$4:$U$11,1,1)+ROW()-5,$AC$2),DW$3))</f>
        <v>0</v>
      </c>
      <c r="DX5">
        <f>IF(OR(ROW()-4&gt;INDEX($U$4:$U$11,$AC$2+1,1)-INDEX($U$4:$U$11,$AC$2,1),ROW()-4&gt;$AD$2),NA(),COUNTIF(INDEX($CB$5:$CH$201,INDEX($U$4:$U$11,1,1),$AC$2):INDEX($CB$5:$CH$201,INDEX($U$4:$U$11,1,1)+ROW()-5,$AC$2),DX$3))</f>
        <v>1</v>
      </c>
      <c r="DY5">
        <f>IF(OR(ROW()-4&gt;INDEX($U$4:$U$11,$AC$2+1,1)-INDEX($U$4:$U$11,$AC$2,1),ROW()-4&gt;$AD$2),NA(),COUNTIF(INDEX($CB$5:$CH$201,INDEX($U$4:$U$11,1,1),$AC$2):INDEX($CB$5:$CH$201,INDEX($U$4:$U$11,1,1)+ROW()-5,$AC$2),DY$3))</f>
        <v>0</v>
      </c>
      <c r="DZ5">
        <f>IF(OR(ROW()-4&gt;INDEX($U$4:$U$11,$AC$2+1,1)-INDEX($U$4:$U$11,$AC$2,1),ROW()-4&gt;$AD$2),NA(),COUNTIF(INDEX($CB$5:$CH$201,INDEX($U$4:$U$11,1,1),$AC$2):INDEX($CB$5:$CH$201,INDEX($U$4:$U$11,1,1)+ROW()-5,$AC$2),DZ$3))</f>
        <v>0</v>
      </c>
      <c r="EA5">
        <f>IF(OR(ROW()-4&gt;INDEX($U$4:$U$11,$AC$2+1,1)-INDEX($U$4:$U$11,$AC$2,1),ROW()-4&gt;$AD$2),NA(),COUNTIF(INDEX($CB$5:$CH$201,INDEX($U$4:$U$11,1,1),$AC$2):INDEX($CB$5:$CH$201,INDEX($U$4:$U$11,1,1)+ROW()-5,$AC$2),EA$3))</f>
        <v>0</v>
      </c>
      <c r="EB5">
        <f>IF(OR(ROW()-4&gt;INDEX($U$4:$U$11,$AC$2+1,1)-INDEX($U$4:$U$11,$AC$2,1),ROW()-4&gt;$AD$2),NA(),COUNTIF(INDEX($CB$5:$CH$201,INDEX($U$4:$U$11,1,1),$AC$2):INDEX($CB$5:$CH$201,INDEX($U$4:$U$11,1,1)+ROW()-5,$AC$2),EB$3))</f>
        <v>0</v>
      </c>
      <c r="EC5">
        <f>IF(OR(ROW()-4&gt;INDEX($U$4:$U$11,$AC$2+1,1)-INDEX($U$4:$U$11,$AC$2,1),ROW()-4&gt;$AD$2),NA(),COUNTIF(INDEX($CB$5:$CH$201,INDEX($U$4:$U$11,1,1),$AC$2):INDEX($CB$5:$CH$201,INDEX($U$4:$U$11,1,1)+ROW()-5,$AC$2),EC$3))</f>
        <v>0</v>
      </c>
      <c r="EE5">
        <f>IF(OR(ROW()-4&gt;INDEX($U$4:$U$11,$AC$2+1,1)-INDEX($U$4:$U$11,$AC$2,1),ROW()-4&gt;$AD$2),NA(),COUNTIF(INDEX($CB$5:$CH$201,INDEX($U$4:$U$11,1,1),$AC$2):INDEX($CB$5:$CH$201,INDEX($U$4:$U$11,1,1)+ROW()-5,$AC$2),EE$3))</f>
        <v>0</v>
      </c>
      <c r="EF5">
        <f>IF(OR(ROW()-4&gt;INDEX($U$4:$U$11,$AC$2+1,1)-INDEX($U$4:$U$11,$AC$2,1),ROW()-4&gt;$AD$2),NA(),COUNTIF(INDEX($CB$5:$CH$201,INDEX($U$4:$U$11,1,1),$AC$2):INDEX($CB$5:$CH$201,INDEX($U$4:$U$11,1,1)+ROW()-5,$AC$2),EF$3))</f>
        <v>0</v>
      </c>
      <c r="EG5">
        <f>IF(OR(ROW()-4&gt;INDEX($U$4:$U$11,$AC$2+1,1)-INDEX($U$4:$U$11,$AC$2,1),ROW()-4&gt;$AD$2),NA(),COUNTIF(INDEX($CB$5:$CH$201,INDEX($U$4:$U$11,1,1),$AC$2):INDEX($CB$5:$CH$201,INDEX($U$4:$U$11,1,1)+ROW()-5,$AC$2),EG$3))</f>
        <v>0</v>
      </c>
      <c r="EH5">
        <f>IF(OR(ROW()-4&gt;INDEX($U$4:$U$11,$AC$2+1,1)-INDEX($U$4:$U$11,$AC$2,1),ROW()-4&gt;$AD$2),NA(),COUNTIF(INDEX($CB$5:$CH$201,INDEX($U$4:$U$11,1,1),$AC$2):INDEX($CB$5:$CH$201,INDEX($U$4:$U$11,1,1)+ROW()-5,$AC$2),EH$3))</f>
        <v>0</v>
      </c>
      <c r="EI5">
        <f>IF(OR(ROW()-4&gt;INDEX($U$4:$U$11,$AC$2+1,1)-INDEX($U$4:$U$11,$AC$2,1),ROW()-4&gt;$AD$2),NA(),COUNTIF(INDEX($CB$5:$CH$201,INDEX($U$4:$U$11,1,1),$AC$2):INDEX($CB$5:$CH$201,INDEX($U$4:$U$11,1,1)+ROW()-5,$AC$2),EI$3))</f>
        <v>0</v>
      </c>
      <c r="EJ5">
        <f>IF(OR(ROW()-4&gt;INDEX($U$4:$U$11,$AC$2+1,1)-INDEX($U$4:$U$11,$AC$2,1),ROW()-4&gt;$AD$2),NA(),COUNTIF(INDEX($CB$5:$CH$201,INDEX($U$4:$U$11,1,1),$AC$2):INDEX($CB$5:$CH$201,INDEX($U$4:$U$11,1,1)+ROW()-5,$AC$2),EJ$3))</f>
        <v>0</v>
      </c>
      <c r="EK5">
        <f>IF(OR(ROW()-4&gt;INDEX($U$4:$U$11,$AC$2+1,1)-INDEX($U$4:$U$11,$AC$2,1),ROW()-4&gt;$AD$2),NA(),COUNTIF(INDEX($CB$5:$CH$201,INDEX($U$4:$U$11,1,1),$AC$2):INDEX($CB$5:$CH$201,INDEX($U$4:$U$11,1,1)+ROW()-5,$AC$2),EK$3))</f>
        <v>0</v>
      </c>
      <c r="EL5">
        <f>IF(OR(ROW()-4&gt;INDEX($U$4:$U$11,$AC$2+1,1)-INDEX($U$4:$U$11,$AC$2,1),ROW()-4&gt;$AD$2),NA(),COUNTIF(INDEX($CB$5:$CH$201,INDEX($U$4:$U$11,1,1),$AC$2):INDEX($CB$5:$CH$201,INDEX($U$4:$U$11,1,1)+ROW()-5,$AC$2),EL$3))</f>
        <v>0</v>
      </c>
      <c r="EN5">
        <f>IF(OR(ROW()-4&gt;INDEX($U$4:$U$11,$AC$2+1,1)-INDEX($U$4:$U$11,$AC$2,1),ROW()-4&gt;$AD$2),NA(),COUNTIF(INDEX($CJ$5:$CP$201,INDEX($U$4:$U$11,1,1),$AC$2):INDEX($CJ$5:$CP$201,INDEX($U$4:$U$11,1,1)+ROW()-5,$AC$2),EN$3))</f>
        <v>0</v>
      </c>
      <c r="EO5">
        <f>IF(OR(ROW()-4&gt;INDEX($U$4:$U$11,$AC$2+1,1)-INDEX($U$4:$U$11,$AC$2,1),ROW()-4&gt;$AD$2),NA(),COUNTIF(INDEX($CJ$5:$CP$201,INDEX($U$4:$U$11,1,1),$AC$2):INDEX($CJ$5:$CP$201,INDEX($U$4:$U$11,1,1)+ROW()-5,$AC$2),EO$3))</f>
        <v>0</v>
      </c>
      <c r="EQ5">
        <f>IF(OR(ROW()-4&gt;INDEX($U$4:$U$11,$AC$2+1,1)-INDEX($U$4:$U$11,$AC$2,1),ROW()-4&gt;$AD$2),NA(),COUNTIF(INDEX($CJ$5:$CP$201,INDEX($U$4:$U$11,1,1),$AC$2):INDEX($CJ$5:$CP$201,INDEX($U$4:$U$11,1,1)+ROW()-5,$AC$2),EQ$3))</f>
        <v>1</v>
      </c>
      <c r="ER5">
        <f>IF(OR(ROW()-4&gt;INDEX($U$4:$U$11,$AC$2+1,1)-INDEX($U$4:$U$11,$AC$2,1),ROW()-4&gt;$AD$2),NA(),COUNTIF(INDEX($CJ$5:$CP$201,INDEX($U$4:$U$11,1,1),$AC$2):INDEX($CJ$5:$CP$201,INDEX($U$4:$U$11,1,1)+ROW()-5,$AC$2),ER$3))</f>
        <v>0</v>
      </c>
      <c r="ET5">
        <f>IF(OR(ROW()-4&gt;INDEX($U$4:$U$11,$AC$2+1,1)-INDEX($U$4:$U$11,$AC$2,1),ROW()-4&gt;$AD$2),NA(),COUNTIF(INDEX($CR$5:$CX$201,INDEX($U$4:$U$11,1,1),$AC$2):INDEX($CR$5:$CX$201,INDEX($U$4:$U$11,1,1)+ROW()-5,$AC$2),ET$3))</f>
        <v>0</v>
      </c>
      <c r="EU5">
        <f>IF(OR(ROW()-4&gt;INDEX($U$4:$U$11,$AC$2+1,1)-INDEX($U$4:$U$11,$AC$2,1),ROW()-4&gt;$AD$2),NA(),COUNTIF(INDEX($CR$5:$CX$201,INDEX($U$4:$U$11,1,1),$AC$2):INDEX($CR$5:$CX$201,INDEX($U$4:$U$11,1,1)+ROW()-5,$AC$2),EU$3))</f>
        <v>0</v>
      </c>
      <c r="EV5">
        <f>IF(OR(ROW()-4&gt;INDEX($U$4:$U$11,$AC$2+1,1)-INDEX($U$4:$U$11,$AC$2,1),ROW()-4&gt;$AD$2),NA(),COUNTIF(INDEX($CR$5:$CX$201,INDEX($U$4:$U$11,1,1),$AC$2):INDEX($CR$5:$CX$201,INDEX($U$4:$U$11,1,1)+ROW()-5,$AC$2),EV$3))</f>
        <v>0</v>
      </c>
      <c r="EW5">
        <f>IF(OR(ROW()-4&gt;INDEX($U$4:$U$11,$AC$2+1,1)-INDEX($U$4:$U$11,$AC$2,1),ROW()-4&gt;$AD$2),NA(),COUNTIF(INDEX($CR$5:$CX$201,INDEX($U$4:$U$11,1,1),$AC$2):INDEX($CR$5:$CX$201,INDEX($U$4:$U$11,1,1)+ROW()-5,$AC$2),EW$3))</f>
        <v>0</v>
      </c>
      <c r="EX5">
        <f>IF(OR(ROW()-4&gt;INDEX($U$4:$U$11,$AC$2+1,1)-INDEX($U$4:$U$11,$AC$2,1),ROW()-4&gt;$AD$2),NA(),COUNTIF(INDEX($CR$5:$CX$201,INDEX($U$4:$U$11,1,1),$AC$2):INDEX($CR$5:$CX$201,INDEX($U$4:$U$11,1,1)+ROW()-5,$AC$2),EX$3))</f>
        <v>0</v>
      </c>
      <c r="EY5">
        <f>IF(OR(ROW()-4&gt;INDEX($U$4:$U$11,$AC$2+1,1)-INDEX($U$4:$U$11,$AC$2,1),ROW()-4&gt;$AD$2),NA(),COUNTIF(INDEX($CR$5:$CX$201,INDEX($U$4:$U$11,1,1),$AC$2):INDEX($CR$5:$CX$201,INDEX($U$4:$U$11,1,1)+ROW()-5,$AC$2),EY$3))</f>
        <v>0</v>
      </c>
      <c r="EZ5">
        <f>IF(OR(ROW()-4&gt;INDEX($U$4:$U$11,$AC$2+1,1)-INDEX($U$4:$U$11,$AC$2,1),ROW()-4&gt;$AD$2),NA(),COUNTIF(INDEX($CR$5:$CX$201,INDEX($U$4:$U$11,1,1),$AC$2):INDEX($CR$5:$CX$201,INDEX($U$4:$U$11,1,1)+ROW()-5,$AC$2),EZ$3))</f>
        <v>0</v>
      </c>
      <c r="FA5">
        <f>IF(OR(ROW()-4&gt;INDEX($U$4:$U$11,$AC$2+1,1)-INDEX($U$4:$U$11,$AC$2,1),ROW()-4&gt;$AD$2),NA(),COUNTIF(INDEX($CR$5:$CX$201,INDEX($U$4:$U$11,1,1),$AC$2):INDEX($CR$5:$CX$201,INDEX($U$4:$U$11,1,1)+ROW()-5,$AC$2),FA$3))</f>
        <v>0</v>
      </c>
      <c r="FC5">
        <f>IF(OR(ROW()-4&gt;INDEX($U$4:$U$11,$AC$2+1,1)-INDEX($U$4:$U$11,$AC$2,1),ROW()-4&gt;$AD$2),NA(),COUNTIF(INDEX($CR$5:$CX$201,INDEX($U$4:$U$11,1,1),$AC$2):INDEX($CR$5:$CX$201,INDEX($U$4:$U$11,1,1)+ROW()-5,$AC$2),FC$3))</f>
        <v>0</v>
      </c>
      <c r="FD5">
        <f>IF(OR(ROW()-4&gt;INDEX($U$4:$U$11,$AC$2+1,1)-INDEX($U$4:$U$11,$AC$2,1),ROW()-4&gt;$AD$2),NA(),COUNTIF(INDEX($CR$5:$CX$201,INDEX($U$4:$U$11,1,1),$AC$2):INDEX($CR$5:$CX$201,INDEX($U$4:$U$11,1,1)+ROW()-5,$AC$2),FD$3))</f>
        <v>0</v>
      </c>
      <c r="FE5">
        <f>IF(OR(ROW()-4&gt;INDEX($U$4:$U$11,$AC$2+1,1)-INDEX($U$4:$U$11,$AC$2,1),ROW()-4&gt;$AD$2),NA(),COUNTIF(INDEX($CR$5:$CX$201,INDEX($U$4:$U$11,1,1),$AC$2):INDEX($CR$5:$CX$201,INDEX($U$4:$U$11,1,1)+ROW()-5,$AC$2),FE$3))</f>
        <v>0</v>
      </c>
      <c r="FF5">
        <f>IF(OR(ROW()-4&gt;INDEX($U$4:$U$11,$AC$2+1,1)-INDEX($U$4:$U$11,$AC$2,1),ROW()-4&gt;$AD$2),NA(),COUNTIF(INDEX($CR$5:$CX$201,INDEX($U$4:$U$11,1,1),$AC$2):INDEX($CR$5:$CX$201,INDEX($U$4:$U$11,1,1)+ROW()-5,$AC$2),FF$3))</f>
        <v>0</v>
      </c>
      <c r="FG5">
        <f>IF(OR(ROW()-4&gt;INDEX($U$4:$U$11,$AC$2+1,1)-INDEX($U$4:$U$11,$AC$2,1),ROW()-4&gt;$AD$2),NA(),COUNTIF(INDEX($CR$5:$CX$201,INDEX($U$4:$U$11,1,1),$AC$2):INDEX($CR$5:$CX$201,INDEX($U$4:$U$11,1,1)+ROW()-5,$AC$2),FG$3))</f>
        <v>0</v>
      </c>
      <c r="FH5">
        <f>IF(OR(ROW()-4&gt;INDEX($U$4:$U$11,$AC$2+1,1)-INDEX($U$4:$U$11,$AC$2,1),ROW()-4&gt;$AD$2),NA(),COUNTIF(INDEX($CR$5:$CX$201,INDEX($U$4:$U$11,1,1),$AC$2):INDEX($CR$5:$CX$201,INDEX($U$4:$U$11,1,1)+ROW()-5,$AC$2),FH$3))</f>
        <v>1</v>
      </c>
      <c r="FI5">
        <f>IF(OR(ROW()-4&gt;INDEX($U$4:$U$11,$AC$2+1,1)-INDEX($U$4:$U$11,$AC$2,1),ROW()-4&gt;$AD$2),NA(),COUNTIF(INDEX($CR$5:$CX$201,INDEX($U$4:$U$11,1,1),$AC$2):INDEX($CR$5:$CX$201,INDEX($U$4:$U$11,1,1)+ROW()-5,$AC$2),FI$3))</f>
        <v>0</v>
      </c>
      <c r="FJ5">
        <f>IF(OR(ROW()-4&gt;INDEX($U$4:$U$11,$AC$2+1,1)-INDEX($U$4:$U$11,$AC$2,1),ROW()-4&gt;$AD$2),NA(),COUNTIF(INDEX($CR$5:$CX$201,INDEX($U$4:$U$11,1,1),$AC$2):INDEX($CR$5:$CX$201,INDEX($U$4:$U$11,1,1)+ROW()-5,$AC$2),FJ$3))</f>
        <v>0</v>
      </c>
      <c r="FL5">
        <f>IF(OR(ROW()-4&gt;INDEX($U$4:$U$11,$AC$2+1,1)-INDEX($U$4:$U$11,$AC$2,1),ROW()-4&gt;$AD$2),NA(),COUNTIF(INDEX($CZ$5:$DF$201,INDEX($U$4:$U$11,1,1),$AC$2):INDEX($CZ$5:$DF$201,INDEX($U$4:$U$11,1,1)+ROW()-5,$AC$2),FL$3))</f>
        <v>0</v>
      </c>
      <c r="FM5">
        <f>IF(OR(ROW()-4&gt;INDEX($U$4:$U$11,$AC$2+1,1)-INDEX($U$4:$U$11,$AC$2,1),ROW()-4&gt;$AD$2),NA(),COUNTIF(INDEX($CZ$5:$DF$201,INDEX($U$4:$U$11,1,1),$AC$2):INDEX($CZ$5:$DF$201,INDEX($U$4:$U$11,1,1)+ROW()-5,$AC$2),FM$3))</f>
        <v>0</v>
      </c>
      <c r="FN5">
        <f>IF(OR(ROW()-4&gt;INDEX($U$4:$U$11,$AC$2+1,1)-INDEX($U$4:$U$11,$AC$2,1),ROW()-4&gt;$AD$2),NA(),COUNTIF(INDEX($CZ$5:$DF$201,INDEX($U$4:$U$11,1,1),$AC$2):INDEX($CZ$5:$DF$201,INDEX($U$4:$U$11,1,1)+ROW()-5,$AC$2),FN$3))</f>
        <v>0</v>
      </c>
      <c r="FO5">
        <f>IF(OR(ROW()-4&gt;INDEX($U$4:$U$11,$AC$2+1,1)-INDEX($U$4:$U$11,$AC$2,1),ROW()-4&gt;$AD$2),NA(),COUNTIF(INDEX($CZ$5:$DF$201,INDEX($U$4:$U$11,1,1),$AC$2):INDEX($CZ$5:$DF$201,INDEX($U$4:$U$11,1,1)+ROW()-5,$AC$2),FO$3))</f>
        <v>0</v>
      </c>
      <c r="FP5">
        <f>IF(OR(ROW()-4&gt;INDEX($U$4:$U$11,$AC$2+1,1)-INDEX($U$4:$U$11,$AC$2,1),ROW()-4&gt;$AD$2),NA(),COUNTIF(INDEX($CZ$5:$DF$201,INDEX($U$4:$U$11,1,1),$AC$2):INDEX($CZ$5:$DF$201,INDEX($U$4:$U$11,1,1)+ROW()-5,$AC$2),FP$3))</f>
        <v>0</v>
      </c>
      <c r="FQ5">
        <f>IF(OR(ROW()-4&gt;INDEX($U$4:$U$11,$AC$2+1,1)-INDEX($U$4:$U$11,$AC$2,1),ROW()-4&gt;$AD$2),NA(),COUNTIF(INDEX($CZ$5:$DF$201,INDEX($U$4:$U$11,1,1),$AC$2):INDEX($CZ$5:$DF$201,INDEX($U$4:$U$11,1,1)+ROW()-5,$AC$2),FQ$3))</f>
        <v>0</v>
      </c>
      <c r="FR5">
        <f>IF(OR(ROW()-4&gt;INDEX($U$4:$U$11,$AC$2+1,1)-INDEX($U$4:$U$11,$AC$2,1),ROW()-4&gt;$AD$2),NA(),COUNTIF(INDEX($CZ$5:$DF$201,INDEX($U$4:$U$11,1,1),$AC$2):INDEX($CZ$5:$DF$201,INDEX($U$4:$U$11,1,1)+ROW()-5,$AC$2),FR$3))</f>
        <v>0</v>
      </c>
      <c r="FS5">
        <f>IF(OR(ROW()-4&gt;INDEX($U$4:$U$11,$AC$2+1,1)-INDEX($U$4:$U$11,$AC$2,1),ROW()-4&gt;$AD$2),NA(),COUNTIF(INDEX($CZ$5:$DF$201,INDEX($U$4:$U$11,1,1),$AC$2):INDEX($CZ$5:$DF$201,INDEX($U$4:$U$11,1,1)+ROW()-5,$AC$2),FS$3))</f>
        <v>0</v>
      </c>
      <c r="FT5">
        <f>IF(OR(ROW()-4&gt;INDEX($U$4:$U$11,$AC$2+1,1)-INDEX($U$4:$U$11,$AC$2,1),ROW()-4&gt;$AD$2),NA(),COUNTIF(INDEX($CZ$5:$DF$201,INDEX($U$4:$U$11,1,1),$AC$2):INDEX($CZ$5:$DF$201,INDEX($U$4:$U$11,1,1)+ROW()-5,$AC$2),FT$3))</f>
        <v>0</v>
      </c>
      <c r="FU5">
        <f>IF(OR(ROW()-4&gt;INDEX($U$4:$U$11,$AC$2+1,1)-INDEX($U$4:$U$11,$AC$2,1),ROW()-4&gt;$AD$2),NA(),COUNTIF(INDEX($CZ$5:$DF$201,INDEX($U$4:$U$11,1,1),$AC$2):INDEX($CZ$5:$DF$201,INDEX($U$4:$U$11,1,1)+ROW()-5,$AC$2),FU$3))</f>
        <v>0</v>
      </c>
      <c r="FW5">
        <f>IF(OR(ROW()-4&gt;INDEX($U$4:$U$11,$AC$2+1,1)-INDEX($U$4:$U$11,$AC$2,1),ROW()-4&gt;$AD$2),NA(),COUNTIF(INDEX($CZ$5:$DF$201,INDEX($U$4:$U$11,1,1),$AC$2):INDEX($CZ$5:$DF$201,INDEX($U$4:$U$11,1,1)+ROW()-5,$AC$2),FW$3))</f>
        <v>0</v>
      </c>
      <c r="FX5">
        <f>IF(OR(ROW()-4&gt;INDEX($U$4:$U$11,$AC$2+1,1)-INDEX($U$4:$U$11,$AC$2,1),ROW()-4&gt;$AD$2),NA(),COUNTIF(INDEX($CZ$5:$DF$201,INDEX($U$4:$U$11,1,1),$AC$2):INDEX($CZ$5:$DF$201,INDEX($U$4:$U$11,1,1)+ROW()-5,$AC$2),FX$3))</f>
        <v>1</v>
      </c>
      <c r="FY5">
        <f>IF(OR(ROW()-4&gt;INDEX($U$4:$U$11,$AC$2+1,1)-INDEX($U$4:$U$11,$AC$2,1),ROW()-4&gt;$AD$2),NA(),COUNTIF(INDEX($CZ$5:$DF$201,INDEX($U$4:$U$11,1,1),$AC$2):INDEX($CZ$5:$DF$201,INDEX($U$4:$U$11,1,1)+ROW()-5,$AC$2),FY$3))</f>
        <v>0</v>
      </c>
      <c r="FZ5">
        <f>IF(OR(ROW()-4&gt;INDEX($U$4:$U$11,$AC$2+1,1)-INDEX($U$4:$U$11,$AC$2,1),ROW()-4&gt;$AD$2),NA(),COUNTIF(INDEX($CZ$5:$DF$201,INDEX($U$4:$U$11,1,1),$AC$2):INDEX($CZ$5:$DF$201,INDEX($U$4:$U$11,1,1)+ROW()-5,$AC$2),FZ$3))</f>
        <v>0</v>
      </c>
      <c r="GA5">
        <f>IF(OR(ROW()-4&gt;INDEX($U$4:$U$11,$AC$2+1,1)-INDEX($U$4:$U$11,$AC$2,1),ROW()-4&gt;$AD$2),NA(),COUNTIF(INDEX($CZ$5:$DF$201,INDEX($U$4:$U$11,1,1),$AC$2):INDEX($CZ$5:$DF$201,INDEX($U$4:$U$11,1,1)+ROW()-5,$AC$2),GA$3))</f>
        <v>0</v>
      </c>
      <c r="GB5">
        <f>IF(OR(ROW()-4&gt;INDEX($U$4:$U$11,$AC$2+1,1)-INDEX($U$4:$U$11,$AC$2,1),ROW()-4&gt;$AD$2),NA(),COUNTIF(INDEX($CZ$5:$DF$201,INDEX($U$4:$U$11,1,1),$AC$2):INDEX($CZ$5:$DF$201,INDEX($U$4:$U$11,1,1)+ROW()-5,$AC$2),GB$3))</f>
        <v>0</v>
      </c>
      <c r="GC5">
        <f>IF(OR(ROW()-4&gt;INDEX($U$4:$U$11,$AC$2+1,1)-INDEX($U$4:$U$11,$AC$2,1),ROW()-4&gt;$AD$2),NA(),COUNTIF(INDEX($CZ$5:$DF$201,INDEX($U$4:$U$11,1,1),$AC$2):INDEX($CZ$5:$DF$201,INDEX($U$4:$U$11,1,1)+ROW()-5,$AC$2),GC$3))</f>
        <v>0</v>
      </c>
      <c r="GD5">
        <f>IF(OR(ROW()-4&gt;INDEX($U$4:$U$11,$AC$2+1,1)-INDEX($U$4:$U$11,$AC$2,1),ROW()-4&gt;$AD$2),NA(),COUNTIF(INDEX($CZ$5:$DF$201,INDEX($U$4:$U$11,1,1),$AC$2):INDEX($CZ$5:$DF$201,INDEX($U$4:$U$11,1,1)+ROW()-5,$AC$2),GD$3))</f>
        <v>0</v>
      </c>
      <c r="GE5">
        <f>IF(OR(ROW()-4&gt;INDEX($U$4:$U$11,$AC$2+1,1)-INDEX($U$4:$U$11,$AC$2,1),ROW()-4&gt;$AD$2),NA(),COUNTIF(INDEX($CZ$5:$DF$201,INDEX($U$4:$U$11,1,1),$AC$2):INDEX($CZ$5:$DF$201,INDEX($U$4:$U$11,1,1)+ROW()-5,$AC$2),GE$3))</f>
        <v>0</v>
      </c>
      <c r="GF5">
        <f>IF(OR(ROW()-4&gt;INDEX($U$4:$U$11,$AC$2+1,1)-INDEX($U$4:$U$11,$AC$2,1),ROW()-4&gt;$AD$2),NA(),COUNTIF(INDEX($CZ$5:$DF$201,INDEX($U$4:$U$11,1,1),$AC$2):INDEX($CZ$5:$DF$201,INDEX($U$4:$U$11,1,1)+ROW()-5,$AC$2),GF$3))</f>
        <v>0</v>
      </c>
      <c r="HE5" t="s">
        <v>57</v>
      </c>
      <c r="HF5">
        <f>INDEX($EW$5:$EW$40,$AD$2)</f>
        <v>1</v>
      </c>
      <c r="HG5">
        <f>INDEX($EW$4:$EW$40,$AD$2+1)-INDEX($EW$4:$EW$40,$AD$2)</f>
        <v>0</v>
      </c>
      <c r="HH5" s="59">
        <f>INDEX($EW$55:$EW$90,$AD$2)</f>
        <v>1</v>
      </c>
      <c r="HI5" s="59">
        <f t="shared" si="0"/>
        <v>0</v>
      </c>
    </row>
    <row r="6" spans="1:224" x14ac:dyDescent="0.45">
      <c r="A6" t="str">
        <f>データの貼付!A4</f>
        <v>KIHARA Miyuu</v>
      </c>
      <c r="B6">
        <f>データの貼付!B4</f>
        <v>1.0793865740740742E-3</v>
      </c>
      <c r="C6">
        <f>データの貼付!C4</f>
        <v>6.9513888888888897E-5</v>
      </c>
      <c r="D6">
        <f>データの貼付!D4</f>
        <v>0</v>
      </c>
      <c r="E6" t="str">
        <f>データの貼付!F4</f>
        <v>KIHARA Miyuu</v>
      </c>
      <c r="F6">
        <f>データの貼付!E4</f>
        <v>0</v>
      </c>
      <c r="G6" t="str">
        <f>データの貼付!G4</f>
        <v>#03</v>
      </c>
      <c r="H6" t="str">
        <f>データの貼付!H4</f>
        <v>KIHARA Miyuu</v>
      </c>
      <c r="I6" t="str">
        <f>データの貼付!I4</f>
        <v>(Side)</v>
      </c>
      <c r="J6" t="str">
        <f>データの貼付!J4</f>
        <v>B</v>
      </c>
      <c r="K6" t="str">
        <f>データの貼付!K4</f>
        <v>BM</v>
      </c>
      <c r="L6">
        <f>データの貼付!L4</f>
        <v>0</v>
      </c>
      <c r="M6" t="str">
        <f>データの貼付!M4</f>
        <v>ドライブ</v>
      </c>
      <c r="N6" t="str">
        <f>データの貼付!N4</f>
        <v>B</v>
      </c>
      <c r="R6">
        <f t="shared" si="59"/>
        <v>0</v>
      </c>
      <c r="S6">
        <f>SUM(R$4:R6)</f>
        <v>1</v>
      </c>
      <c r="T6" t="str">
        <f t="shared" si="60"/>
        <v/>
      </c>
      <c r="U6">
        <f>IF(TYPE(U5+MATCH(1,INDEX(R$4:R$200,U5+1):INDEX(R$4:R$200,197),0))=16,"",U5+MATCH(1,INDEX(R$4:R$200,U5+1):INDEX(R$4:R$200,197),0))</f>
        <v>33</v>
      </c>
      <c r="V6" t="str">
        <f t="shared" si="61"/>
        <v>FENG Tianwei</v>
      </c>
      <c r="W6" t="str">
        <f t="shared" si="57"/>
        <v>KIHARA Miyuu_KIHARA Miyuu</v>
      </c>
      <c r="X6" t="str">
        <f t="shared" si="58"/>
        <v>KIHARA Miyuu_#03</v>
      </c>
      <c r="Y6" t="str">
        <f>A6</f>
        <v>KIHARA Miyuu</v>
      </c>
      <c r="Z6">
        <f>COUNTIF(INDEX(V$3:V$11,1):INDEX(V$3:V$11,AC$2),Y6)</f>
        <v>2</v>
      </c>
      <c r="AA6">
        <f>COUNTIF(INDEX(E$4:E$200,INDEX(U$4:U$11,AC$2)):INDEX(E$4:E$200,INDEX(U$4:U$11,AC$2)+AD$2-1),Y6)</f>
        <v>5</v>
      </c>
      <c r="AB6">
        <f>COUNTIF(INDEX(E$4:E$200,INDEX(U$4:U$11,AC$2)):INDEX(E$4:E$200,INDEX(U$4:U$11,AC$2)+AD$2-1),Y6)-COUNTIF(INDEX(E$4:E$200,INDEX(U$4:U$11,AC$2)):INDEX(E$4:E$200,INDEX(U$4:U$11,AC$2)+AD$2-2),Y6)</f>
        <v>0</v>
      </c>
      <c r="AC6" s="8">
        <f>IF(OR(ROW()-4&gt;INDEX($U$4:$U$11,AC$2+1)-INDEX($U$4:$U$11,AC$2),ROW()-4&gt;AD$2),NA(),COUNTIF(INDEX($W$4:$W$200,INDEX($U$4:$U$11,AC$2)):INDEX($W$4:$W$200,INDEX($U$4:$U$11,AC$2)+ROW()-5),AC$3&amp;"_"&amp;AC$3)/(COUNTIF(INDEX($W$4:$W$200,INDEX($U$4:$U$11,AC$2)):INDEX($W$4:$W$200,INDEX($U$4:$U$11,AC$2)+ROW()-5),AC$3&amp;"_"&amp;AC$3)+COUNTIF(INDEX($W$4:$W$200,INDEX($U$4:$U$11,AC$2)):INDEX($W$4:$W$200,INDEX($U$4:$U$11,AC$2)+ROW()-5),AD$3&amp;"_"&amp;AC$3)))</f>
        <v>0</v>
      </c>
      <c r="AD6" s="8" t="e">
        <f>IF(OR(ROW()-4&gt;INDEX($U$4:$U$11,AC$2+1)-INDEX($U$4:$U$11,AC$2),ROW()-4&gt;AD$2),NA(),COUNTIF(INDEX($W$4:$W$200,INDEX($U$4:$U$11,AC$2)):INDEX($W$4:$W$200,INDEX($U$4:$U$11,AC$2)+ROW()-5),AD$3&amp;"_"&amp;AD$3)/(COUNTIF(INDEX($W$4:$W$200,INDEX($U$4:$U$11,AC$2)):INDEX($W$4:$W$200,INDEX($U$4:$U$11,AC$2)+ROW()-5),AD$3&amp;"_"&amp;AD$3)+COUNTIF(INDEX($W$4:$W$200,INDEX($U$4:$U$11,AC$2)):INDEX($W$4:$W$200,INDEX($U$4:$U$11,AC$2)+ROW()-5),AC$3&amp;"_"&amp;AD$3)))</f>
        <v>#DIV/0!</v>
      </c>
      <c r="AE6" s="10" t="e">
        <f>IF(OR(ROW()-4&gt;INDEX($U$4:$U$11,AC$2+1)-INDEX($U$4:$U$11,AC$2),ROW()-4&gt;AD$2),NA(),COUNTIF(INDEX($W$4:$W$200,INDEX($U$4:$U$11,AC$2)):INDEX($W$4:$W$200,INDEX($U$4:$U$11,AC$2)+ROW()-5),AC$3&amp;"_"&amp;AD$3)/(COUNTIF(INDEX($W$4:$W$200,INDEX($U$4:$U$11,AC$2)):INDEX($W$4:$W$200,INDEX($U$4:$U$11,AC$2)+ROW()-5),AC$3&amp;"_"&amp;AD$3)+COUNTIF(INDEX($W$4:$W$200,INDEX($U$4:$U$11,AC$2)):INDEX($W$4:$W$200,INDEX($U$4:$U$11,AC$2)+ROW()-5),AD$3&amp;"_"&amp;AD$3)))</f>
        <v>#DIV/0!</v>
      </c>
      <c r="AF6" s="10">
        <f>IF(OR(ROW()-4&gt;INDEX($U$4:$U$11,AC$2+1)-INDEX($U$4:$U$11,AC$2),ROW()-4&gt;AD$2),NA(),COUNTIF(INDEX($W$4:$W$200,INDEX($U$4:$U$11,AC$2)):INDEX($W$4:$W$200,INDEX($U$4:$U$11,AC$2)+ROW()-5),AD$3&amp;"_"&amp;AC$3)/(COUNTIF(INDEX($W$4:$W$200,INDEX($U$4:$U$11,AC$2)):INDEX($W$4:$W$200,INDEX($U$4:$U$11,AC$2)+ROW()-5),AD$3&amp;"_"&amp;AC$3)+COUNTIF(INDEX($W$4:$W$200,INDEX($U$4:$U$11,AC$2)):INDEX($W$4:$W$200,INDEX($U$4:$U$11,AC$2)+ROW()-5),AC$3&amp;"_"&amp;AC$3)))</f>
        <v>1</v>
      </c>
      <c r="AG6" s="10">
        <f>IF(OR(ROW()-4&gt;INDEX($U$4:$U$11,AC$2+1)-INDEX($U$4:$U$11,AC$2),ROW()-4&gt;AD$2),NA(),COUNTIF(INDEX($X$4:$X$200,INDEX($U$4:$U$11,AC$2)):INDEX($X$4:$X$200,INDEX($U$4:$U$11,AC$2)+ROW()-5),AC$3&amp;"_#03")/(COUNTIF(INDEX($W$4:$W$200,INDEX($U$4:$U$11,AC$2)):INDEX($W$4:$W$200,INDEX($U$4:$U$11,AC$2)+ROW()-5),AC$3&amp;"_"&amp;AC$3)+COUNTIF(INDEX($W$4:$W$200,INDEX($U$4:$U$11,AC$2)):INDEX($W$4:$W$200,INDEX($U$4:$U$11,AC$2)+ROW()-5),AD$3&amp;"_"&amp;AC$3)))</f>
        <v>0</v>
      </c>
      <c r="AH6" s="10" t="e">
        <f>IF(OR(ROW()-4&gt;INDEX($U$4:$U$11,AC$2+1)-INDEX($U$4:$U$11,AC$2),ROW()-4&gt;AD$2),NA(),COUNTIF(INDEX($X$4:$X$200,INDEX($U$4:$U$11,AC$2)):INDEX($X$4:$X$200,INDEX($U$4:$U$11,AC$2)+ROW()-5),AD$3&amp;"_#03")/(COUNTIF(INDEX($W$4:$W$200,INDEX($U$4:$U$11,AC$2)):INDEX($W$4:$W$200,INDEX($U$4:$U$11,AC$2)+ROW()-5),AD$3&amp;"_"&amp;AD$3)+COUNTIF(INDEX($W$4:$W$200,INDEX($U$4:$U$11,AC$2)):INDEX($W$4:$W$200,INDEX($U$4:$U$11,AC$2)+ROW()-5),AC$3&amp;"_"&amp;AD$3)))</f>
        <v>#DIV/0!</v>
      </c>
      <c r="AI6" s="10">
        <f>IF(OR(ROW()-4&gt;INDEX($U$4:$U$11,AC$2+1)-INDEX($U$4:$U$11,AC$2),ROW()-4&gt;AD$2),NA(),(COUNTIF(INDEX($X$4:$X$200,INDEX($U$4:$U$11,AC$2)):INDEX($X$4:$X$200,INDEX($U$4:$U$11,AC$2)+ROW()-5),AC$3&amp;"_#03")-COUNTIF(INDEX($X$4:$X$200,INDEX($U$4:$U$11,AC$2)):INDEX($X$4:$X$200,INDEX($U$4:$U$11,AC$2)+ROW()-5),AD$3&amp;"_#02"))/(COUNTIF(INDEX($W$4:$W$200,INDEX($U$4:$U$11,AC$2)):INDEX($W$4:$W$200,INDEX($U$4:$U$11,AC$2)+ROW()-5),AC$3&amp;"_"&amp;AC$3)+COUNTIF(INDEX($W$4:$W$200,INDEX($U$4:$U$11,AC$2)):INDEX($W$4:$W$200,INDEX($U$4:$U$11,AC$2)+ROW()-5),AD$3&amp;"_"&amp;AC$3)))</f>
        <v>-0.5</v>
      </c>
      <c r="AJ6" s="10" t="e">
        <f>IF(OR(ROW()-4&gt;INDEX($U$4:$U$11,AC$2+1)-INDEX($U$4:$U$11,AC$2),ROW()-4&gt;AD$2),NA(),(COUNTIF(INDEX($X$4:$X$200,INDEX($U$4:$U$11,AC$2)):INDEX($X$4:$X$200,INDEX($U$4:$U$11,AC$2)+ROW()-5),AD$3&amp;"_#03")-COUNTIF(INDEX($X$4:$X$200,INDEX($U$4:$U$11,AC$2)):INDEX($X$4:$X$200,INDEX($U$4:$U$11,AC$2)+ROW()-5),AC$3&amp;"_#02"))/(COUNTIF(INDEX($W$4:$W$200,INDEX($U$4:$U$11,AC$2)):INDEX($W$4:$W$200,INDEX($U$4:$U$11,AC$2)+ROW()-5),AD$3&amp;"_"&amp;AD$3)+COUNTIF(INDEX($W$4:$W$200,INDEX($U$4:$U$11,AC$2)):INDEX($W$4:$W$200,INDEX($U$4:$U$11,AC$2)+ROW()-5),AC$3&amp;"_"&amp;AD$3)))</f>
        <v>#DIV/0!</v>
      </c>
      <c r="AK6" s="10">
        <f>IF(OR(ROW()-4&gt;INDEX($U$4:$U$11,AC$2+1)-INDEX($U$4:$U$11,AC$2),ROW()-4&gt;AD$2),NA(),(COUNTIF(INDEX($X$4:$X$200,INDEX($U$4:$U$11,AC$2)):INDEX($X$4:$X$200,INDEX($U$4:$U$11,AC$2)+ROW()-5),AC$3&amp;"_#01")+COUNTIF(INDEX($X$4:$X$200,INDEX($U$4:$U$11,AC$2)):INDEX($X$4:$X$200,INDEX($U$4:$U$11,AC$2)+ROW()-5),AC$3&amp;"_#03"))/(COUNTIF(INDEX($W$4:$W$200,INDEX($U$4:$U$11,AC$2)):INDEX($W$4:$W$200,INDEX($U$4:$U$11,AC$2)+ROW()-5),AC$3&amp;"_"&amp;AC$3)+COUNTIF(INDEX($W$4:$W$200,INDEX($U$4:$U$11,AC$2)):INDEX($W$4:$W$200,INDEX($U$4:$U$11,AC$2)+ROW()-5),AD$3&amp;"_"&amp;AC$3)))</f>
        <v>0</v>
      </c>
      <c r="AL6" s="10" t="e">
        <f>IF(OR(ROW()-4&gt;INDEX($U$4:$U$11,AC$2+1)-INDEX($U$4:$U$11,AC$2),ROW()-4&gt;AD$2),NA(),(COUNTIF(INDEX($X$4:$X$200,INDEX($U$4:$U$11,AC$2)):INDEX($X$4:$X$200,INDEX($U$4:$U$11,AC$2)+ROW()-5),AD$3&amp;"_#01")+COUNTIF(INDEX($X$4:$X$200,INDEX($U$4:$U$11,AC$2)):INDEX($X$4:$X$200,INDEX($U$4:$U$11,AC$2)+ROW()-5),AD$3&amp;"_#03"))/(COUNTIF(INDEX($W$4:$W$200,INDEX($U$4:$U$11,AC$2)):INDEX($W$4:$W$200,INDEX($U$4:$U$11,AC$2)+ROW()-5),AD$3&amp;"_"&amp;AD$3)+COUNTIF(INDEX($W$4:$W$200,INDEX($U$4:$U$11,AC$2)):INDEX($W$4:$W$200,INDEX($U$4:$U$11,AC$2)+ROW()-5),AC$3&amp;"_"&amp;AD$3)))</f>
        <v>#DIV/0!</v>
      </c>
      <c r="AN6">
        <f>IF(ROW()-4&lt;=INDEX($U$4:$U$11,AN$4+1)-INDEX($U$4:$U$11,AN$4),AN5+1,"")</f>
        <v>2</v>
      </c>
      <c r="AO6">
        <f t="shared" ref="AO6:AO40" si="111">IF(ROW()-4&lt;=INDEX($U$4:$U$11,AO$4+1)-INDEX($U$4:$U$11,AO$4),AO5+1,"")</f>
        <v>19</v>
      </c>
      <c r="AP6">
        <f t="shared" ref="AP6:AP40" si="112">IF(ROW()-4&lt;=INDEX($U$4:$U$11,AP$4+1)-INDEX($U$4:$U$11,AP$4),AP5+1,"")</f>
        <v>34</v>
      </c>
      <c r="AQ6">
        <f t="shared" ref="AQ6:AQ40" si="113">IF(ROW()-4&lt;=INDEX($U$4:$U$11,AQ$4+1)-INDEX($U$4:$U$11,AQ$4),AQ5+1,"")</f>
        <v>50</v>
      </c>
      <c r="AR6">
        <f t="shared" ref="AR6:AR40" si="114">IF(ROW()-4&lt;=INDEX($U$4:$U$11,AR$4+1)-INDEX($U$4:$U$11,AR$4),AR5+1,"")</f>
        <v>69</v>
      </c>
      <c r="AS6" t="e">
        <f t="shared" ref="AS6:AS40" si="115">IF(ROW()-4&lt;=INDEX($U$4:$U$11,AS$4+1)-INDEX($U$4:$U$11,AS$4),AS5+1,"")</f>
        <v>#VALUE!</v>
      </c>
      <c r="AT6" t="e">
        <f t="shared" ref="AT6:AT40" si="116">IF(ROW()-4&lt;=INDEX($U$4:$U$11,AT$4+1)-INDEX($U$4:$U$11,AT$4),AT5+1,"")</f>
        <v>#VALUE!</v>
      </c>
      <c r="AV6" t="str">
        <f t="shared" ref="AV6:AV40" si="117">IF(INDEX($E$4:$E$200,AN6)=0,"SL",INDEX($E$4:$E$200,AN6))</f>
        <v>FENG Tianwei</v>
      </c>
      <c r="AW6" t="str">
        <f t="shared" si="63"/>
        <v>KIHARA Miyuu</v>
      </c>
      <c r="AX6" t="str">
        <f t="shared" si="64"/>
        <v>KIHARA Miyuu</v>
      </c>
      <c r="AY6" t="str">
        <f t="shared" si="65"/>
        <v>FENG Tianwei</v>
      </c>
      <c r="AZ6" t="str">
        <f t="shared" si="66"/>
        <v>KIHARA Miyuu</v>
      </c>
      <c r="BA6" t="e">
        <f t="shared" si="67"/>
        <v>#VALUE!</v>
      </c>
      <c r="BB6" t="e">
        <f t="shared" si="68"/>
        <v>#VALUE!</v>
      </c>
      <c r="BD6" t="str">
        <f t="shared" ref="BD6:BD40" si="118">INDEX($H$4:$H$200,AN6)</f>
        <v>FENG Tianwei</v>
      </c>
      <c r="BE6" t="str">
        <f t="shared" si="69"/>
        <v>KIHARA Miyuu</v>
      </c>
      <c r="BF6" t="str">
        <f t="shared" si="70"/>
        <v>FENG Tianwei</v>
      </c>
      <c r="BG6" t="str">
        <f t="shared" si="71"/>
        <v>KIHARA Miyuu</v>
      </c>
      <c r="BH6" t="str">
        <f t="shared" si="72"/>
        <v>FENG Tianwei</v>
      </c>
      <c r="BI6" t="e">
        <f t="shared" si="73"/>
        <v>#VALUE!</v>
      </c>
      <c r="BJ6" t="e">
        <f t="shared" si="74"/>
        <v>#VALUE!</v>
      </c>
      <c r="BL6" t="str">
        <f t="shared" ref="BL6:BL40" si="119">BD6&amp;"_"&amp;IF(INDEX($E$4:$E$200,AN6)=0,"SL",INDEX($I$4:$I$200,AN6))</f>
        <v>FENG Tianwei_Side</v>
      </c>
      <c r="BM6" t="str">
        <f t="shared" si="75"/>
        <v>KIHARA Miyuu_(Side)</v>
      </c>
      <c r="BN6" t="str">
        <f t="shared" si="76"/>
        <v>FENG Tianwei_Back</v>
      </c>
      <c r="BO6" t="str">
        <f t="shared" si="77"/>
        <v>KIHARA Miyuu_(Side)</v>
      </c>
      <c r="BP6" t="str">
        <f t="shared" si="78"/>
        <v>FENG Tianwei_Back</v>
      </c>
      <c r="BQ6" t="e">
        <f t="shared" si="79"/>
        <v>#VALUE!</v>
      </c>
      <c r="BR6" t="e">
        <f t="shared" si="80"/>
        <v>#VALUE!</v>
      </c>
      <c r="BT6" t="str">
        <f t="shared" ref="BT6:BT40" si="120">BD6&amp;"_"&amp;IF(INDEX($E$4:$E$200,AN6)=0,"SL",INDEX($J$4:$J$200,AN6))</f>
        <v>FENG Tianwei_B</v>
      </c>
      <c r="BU6" t="str">
        <f t="shared" si="81"/>
        <v>KIHARA Miyuu_B</v>
      </c>
      <c r="BV6" t="str">
        <f t="shared" si="82"/>
        <v>FENG Tianwei_B</v>
      </c>
      <c r="BW6" t="str">
        <f t="shared" si="83"/>
        <v>KIHARA Miyuu_B</v>
      </c>
      <c r="BX6" t="str">
        <f t="shared" si="84"/>
        <v>FENG Tianwei_B</v>
      </c>
      <c r="BY6" t="e">
        <f t="shared" si="85"/>
        <v>#VALUE!</v>
      </c>
      <c r="BZ6" t="e">
        <f t="shared" si="86"/>
        <v>#VALUE!</v>
      </c>
      <c r="CB6" t="str">
        <f t="shared" ref="CB6:CB40" si="121">BD6&amp;"_"&amp;IF(INDEX($E$4:$E$200,AN6)=0,"SL",INDEX($K$4:$K$200,AN6))</f>
        <v>FENG Tianwei_B</v>
      </c>
      <c r="CC6" t="str">
        <f t="shared" si="87"/>
        <v>KIHARA Miyuu_FM</v>
      </c>
      <c r="CD6" t="str">
        <f t="shared" si="88"/>
        <v>FENG Tianwei_FMS</v>
      </c>
      <c r="CE6" t="str">
        <f t="shared" si="89"/>
        <v>KIHARA Miyuu_FS</v>
      </c>
      <c r="CF6" t="str">
        <f t="shared" si="90"/>
        <v>FENG Tianwei_FMS</v>
      </c>
      <c r="CG6" t="e">
        <f t="shared" si="91"/>
        <v>#VALUE!</v>
      </c>
      <c r="CH6" t="e">
        <f t="shared" si="92"/>
        <v>#VALUE!</v>
      </c>
      <c r="CJ6" t="str">
        <f t="shared" ref="CJ6:CJ40" si="122">IF(BD6=$AC$3,$AD$3,$AC$3)&amp;"_"&amp;IF(INDEX($E$4:$E$200,AN6)=0,"SL",INDEX($L$4:$L$200,AN6))</f>
        <v>KIHARA Miyuu_B</v>
      </c>
      <c r="CK6" t="str">
        <f t="shared" si="93"/>
        <v>FENG Tianwei_F</v>
      </c>
      <c r="CL6" t="str">
        <f t="shared" si="94"/>
        <v>KIHARA Miyuu_B</v>
      </c>
      <c r="CM6" t="str">
        <f t="shared" si="95"/>
        <v>FENG Tianwei_F</v>
      </c>
      <c r="CN6" t="str">
        <f t="shared" si="96"/>
        <v>KIHARA Miyuu_B</v>
      </c>
      <c r="CO6" t="e">
        <f t="shared" si="97"/>
        <v>#VALUE!</v>
      </c>
      <c r="CP6" t="e">
        <f t="shared" si="98"/>
        <v>#VALUE!</v>
      </c>
      <c r="CR6" t="str">
        <f t="shared" ref="CR6:CR40" si="123">IF(BD6=$AC$3,$AD$3,$AC$3)&amp;"_"&amp;IF(INDEX($E$4:$E$200,AN6)=0,"SL",INDEX($M$4:$M$200,AN6))</f>
        <v>KIHARA Miyuu_ドライブ</v>
      </c>
      <c r="CS6" t="str">
        <f t="shared" si="99"/>
        <v>FENG Tianwei_ドライブ</v>
      </c>
      <c r="CT6" t="str">
        <f t="shared" si="100"/>
        <v>KIHARA Miyuu_Stop</v>
      </c>
      <c r="CU6" t="str">
        <f t="shared" si="101"/>
        <v>FENG Tianwei_ドライブ</v>
      </c>
      <c r="CV6" t="str">
        <f t="shared" si="102"/>
        <v>KIHARA Miyuu_Flick</v>
      </c>
      <c r="CW6" t="e">
        <f t="shared" si="103"/>
        <v>#VALUE!</v>
      </c>
      <c r="CX6" t="e">
        <f t="shared" si="104"/>
        <v>#VALUE!</v>
      </c>
      <c r="CZ6" t="str">
        <f t="shared" ref="CZ6:CZ40" si="124">IF(BD6=$AC$3,$AD$3,$AC$3)&amp;"_"&amp;IF(INDEX($E$4:$E$200,AN6)=0,"SL",INDEX($N$4:$N$200,AN6))</f>
        <v>KIHARA Miyuu_BMS</v>
      </c>
      <c r="DA6" t="str">
        <f t="shared" si="105"/>
        <v>FENG Tianwei_FM</v>
      </c>
      <c r="DB6" t="str">
        <f t="shared" si="106"/>
        <v>KIHARA Miyuu_FMS</v>
      </c>
      <c r="DC6" t="str">
        <f t="shared" si="107"/>
        <v>FENG Tianwei_BM</v>
      </c>
      <c r="DD6" t="str">
        <f t="shared" si="108"/>
        <v>KIHARA Miyuu_F</v>
      </c>
      <c r="DE6" t="e">
        <f t="shared" si="109"/>
        <v>#VALUE!</v>
      </c>
      <c r="DF6" t="e">
        <f t="shared" si="110"/>
        <v>#VALUE!</v>
      </c>
      <c r="DH6">
        <f>IF(OR(ROW()-4&gt;INDEX($U$4:$U$11,$AC$2+1,1)-INDEX($U$4:$U$11,$AC$2,1),ROW()-4&gt;$AD$2),NA(),COUNTIF(INDEX($BL$5:$BR$50,INDEX($U$4:$U$11,1,1),$AC$2):INDEX($BL$5:$BR$50,INDEX($U$4:$U$11,1,1)+ROW()-5,$AC$2),DH$3))</f>
        <v>1</v>
      </c>
      <c r="DI6">
        <f>IF(OR(ROW()-4&gt;INDEX($U$4:$U$11,$AC$2+1,1)-INDEX($U$4:$U$11,$AC$2,1),ROW()-4&gt;$AD$2),NA(),COUNTIF(INDEX($BL$5:$BR$50,INDEX($U$4:$U$11,1,1),$AC$2):INDEX($BL$5:$BR$50,INDEX($U$4:$U$11,1,1)+ROW()-5,$AC$2),DI$3))</f>
        <v>1</v>
      </c>
      <c r="DJ6">
        <f>IF(OR(ROW()-4&gt;INDEX($U$4:$U$11,$AC$2+1,1)-INDEX($U$4:$U$11,$AC$2,1),ROW()-4&gt;$AD$2),NA(),COUNTIF(INDEX($BL$5:$BR$50,INDEX($U$4:$U$11,1,1),$AC$2):INDEX($BL$5:$BR$50,INDEX($U$4:$U$11,1,1)+ROW()-5,$AC$2),DJ$3))</f>
        <v>0</v>
      </c>
      <c r="DL6">
        <f>IF(OR(ROW()-4&gt;INDEX($U$4:$U$11,$AC$2+1,1)-INDEX($U$4:$U$11,$AC$2,1),ROW()-4&gt;$AD$2),NA(),COUNTIF(INDEX($BL$5:$BR$50,INDEX($U$4:$U$11,1,1),$AC$2):INDEX($BL$5:$BR$50,INDEX($U$4:$U$11,1,1)+ROW()-5,$AC$2),DL$3))</f>
        <v>0</v>
      </c>
      <c r="DM6">
        <f>IF(OR(ROW()-4&gt;INDEX($U$4:$U$11,$AC$2+1,1)-INDEX($U$4:$U$11,$AC$2,1),ROW()-4&gt;$AD$2),NA(),COUNTIF(INDEX($BL$5:$BR$50,INDEX($U$4:$U$11,1,1),$AC$2):INDEX($BL$5:$BR$50,INDEX($U$4:$U$11,1,1)+ROW()-5,$AC$2),DM$3))</f>
        <v>0</v>
      </c>
      <c r="DN6">
        <f>IF(OR(ROW()-4&gt;INDEX($U$4:$U$11,$AC$2+1,1)-INDEX($U$4:$U$11,$AC$2,1),ROW()-4&gt;$AD$2),NA(),COUNTIF(INDEX($BL$5:$BR$50,INDEX($U$4:$U$11,1,1),$AC$2):INDEX($BL$5:$BR$50,INDEX($U$4:$U$11,1,1)+ROW()-5,$AC$2),DN$3))</f>
        <v>0</v>
      </c>
      <c r="DP6">
        <f>IF(OR(ROW()-4&gt;INDEX($U$4:$U$11,$AC$2+1,1)-INDEX($U$4:$U$11,$AC$2,1),ROW()-4&gt;$AD$2),NA(),COUNTIF(INDEX($BT$5:$BZ$201,INDEX($U$4:$U$11,1,1),$AC$2):INDEX($BT$5:$BZ$201,INDEX($U$4:$U$11,1,1)+ROW()-5,$AC$2),DP$3))</f>
        <v>2</v>
      </c>
      <c r="DQ6">
        <f>IF(OR(ROW()-4&gt;INDEX($U$4:$U$11,$AC$2+1,1)-INDEX($U$4:$U$11,$AC$2,1),ROW()-4&gt;$AD$2),NA(),COUNTIF(INDEX($BT$5:$BZ$201,INDEX($U$4:$U$11,1,1),$AC$2):INDEX($BT$5:$BZ$201,INDEX($U$4:$U$11,1,1)+ROW()-5,$AC$2),DQ$3))</f>
        <v>0</v>
      </c>
      <c r="DS6">
        <f>IF(OR(ROW()-4&gt;INDEX($U$4:$U$11,$AC$2+1,1)-INDEX($U$4:$U$11,$AC$2,1),ROW()-4&gt;$AD$2),NA(),COUNTIF(INDEX($BT$5:$BZ$201,INDEX($U$4:$U$11,1,1),$AC$2):INDEX($BT$5:$BZ$201,INDEX($U$4:$U$11,1,1)+ROW()-5,$AC$2),DS$3))</f>
        <v>0</v>
      </c>
      <c r="DT6">
        <f>IF(OR(ROW()-4&gt;INDEX($U$4:$U$11,$AC$2+1,1)-INDEX($U$4:$U$11,$AC$2,1),ROW()-4&gt;$AD$2),NA(),COUNTIF(INDEX($BT$5:$BZ$201,INDEX($U$4:$U$11,1,1),$AC$2):INDEX($BT$5:$BZ$201,INDEX($U$4:$U$11,1,1)+ROW()-5,$AC$2),DT$3))</f>
        <v>0</v>
      </c>
      <c r="DV6">
        <f>IF(OR(ROW()-4&gt;INDEX($U$4:$U$11,$AC$2+1,1)-INDEX($U$4:$U$11,$AC$2,1),ROW()-4&gt;$AD$2),NA(),COUNTIF(INDEX($CB$5:$CH$201,INDEX($U$4:$U$11,1,1),$AC$2):INDEX($CB$5:$CH$201,INDEX($U$4:$U$11,1,1)+ROW()-5,$AC$2),DV$3))</f>
        <v>0</v>
      </c>
      <c r="DW6">
        <f>IF(OR(ROW()-4&gt;INDEX($U$4:$U$11,$AC$2+1,1)-INDEX($U$4:$U$11,$AC$2,1),ROW()-4&gt;$AD$2),NA(),COUNTIF(INDEX($CB$5:$CH$201,INDEX($U$4:$U$11,1,1),$AC$2):INDEX($CB$5:$CH$201,INDEX($U$4:$U$11,1,1)+ROW()-5,$AC$2),DW$3))</f>
        <v>0</v>
      </c>
      <c r="DX6">
        <f>IF(OR(ROW()-4&gt;INDEX($U$4:$U$11,$AC$2+1,1)-INDEX($U$4:$U$11,$AC$2,1),ROW()-4&gt;$AD$2),NA(),COUNTIF(INDEX($CB$5:$CH$201,INDEX($U$4:$U$11,1,1),$AC$2):INDEX($CB$5:$CH$201,INDEX($U$4:$U$11,1,1)+ROW()-5,$AC$2),DX$3))</f>
        <v>1</v>
      </c>
      <c r="DY6">
        <f>IF(OR(ROW()-4&gt;INDEX($U$4:$U$11,$AC$2+1,1)-INDEX($U$4:$U$11,$AC$2,1),ROW()-4&gt;$AD$2),NA(),COUNTIF(INDEX($CB$5:$CH$201,INDEX($U$4:$U$11,1,1),$AC$2):INDEX($CB$5:$CH$201,INDEX($U$4:$U$11,1,1)+ROW()-5,$AC$2),DY$3))</f>
        <v>0</v>
      </c>
      <c r="DZ6">
        <f>IF(OR(ROW()-4&gt;INDEX($U$4:$U$11,$AC$2+1,1)-INDEX($U$4:$U$11,$AC$2,1),ROW()-4&gt;$AD$2),NA(),COUNTIF(INDEX($CB$5:$CH$201,INDEX($U$4:$U$11,1,1),$AC$2):INDEX($CB$5:$CH$201,INDEX($U$4:$U$11,1,1)+ROW()-5,$AC$2),DZ$3))</f>
        <v>0</v>
      </c>
      <c r="EA6">
        <f>IF(OR(ROW()-4&gt;INDEX($U$4:$U$11,$AC$2+1,1)-INDEX($U$4:$U$11,$AC$2,1),ROW()-4&gt;$AD$2),NA(),COUNTIF(INDEX($CB$5:$CH$201,INDEX($U$4:$U$11,1,1),$AC$2):INDEX($CB$5:$CH$201,INDEX($U$4:$U$11,1,1)+ROW()-5,$AC$2),EA$3))</f>
        <v>1</v>
      </c>
      <c r="EB6">
        <f>IF(OR(ROW()-4&gt;INDEX($U$4:$U$11,$AC$2+1,1)-INDEX($U$4:$U$11,$AC$2,1),ROW()-4&gt;$AD$2),NA(),COUNTIF(INDEX($CB$5:$CH$201,INDEX($U$4:$U$11,1,1),$AC$2):INDEX($CB$5:$CH$201,INDEX($U$4:$U$11,1,1)+ROW()-5,$AC$2),EB$3))</f>
        <v>0</v>
      </c>
      <c r="EC6">
        <f>IF(OR(ROW()-4&gt;INDEX($U$4:$U$11,$AC$2+1,1)-INDEX($U$4:$U$11,$AC$2,1),ROW()-4&gt;$AD$2),NA(),COUNTIF(INDEX($CB$5:$CH$201,INDEX($U$4:$U$11,1,1),$AC$2):INDEX($CB$5:$CH$201,INDEX($U$4:$U$11,1,1)+ROW()-5,$AC$2),EC$3))</f>
        <v>0</v>
      </c>
      <c r="EE6">
        <f>IF(OR(ROW()-4&gt;INDEX($U$4:$U$11,$AC$2+1,1)-INDEX($U$4:$U$11,$AC$2,1),ROW()-4&gt;$AD$2),NA(),COUNTIF(INDEX($CB$5:$CH$201,INDEX($U$4:$U$11,1,1),$AC$2):INDEX($CB$5:$CH$201,INDEX($U$4:$U$11,1,1)+ROW()-5,$AC$2),EE$3))</f>
        <v>0</v>
      </c>
      <c r="EF6">
        <f>IF(OR(ROW()-4&gt;INDEX($U$4:$U$11,$AC$2+1,1)-INDEX($U$4:$U$11,$AC$2,1),ROW()-4&gt;$AD$2),NA(),COUNTIF(INDEX($CB$5:$CH$201,INDEX($U$4:$U$11,1,1),$AC$2):INDEX($CB$5:$CH$201,INDEX($U$4:$U$11,1,1)+ROW()-5,$AC$2),EF$3))</f>
        <v>0</v>
      </c>
      <c r="EG6">
        <f>IF(OR(ROW()-4&gt;INDEX($U$4:$U$11,$AC$2+1,1)-INDEX($U$4:$U$11,$AC$2,1),ROW()-4&gt;$AD$2),NA(),COUNTIF(INDEX($CB$5:$CH$201,INDEX($U$4:$U$11,1,1),$AC$2):INDEX($CB$5:$CH$201,INDEX($U$4:$U$11,1,1)+ROW()-5,$AC$2),EG$3))</f>
        <v>0</v>
      </c>
      <c r="EH6">
        <f>IF(OR(ROW()-4&gt;INDEX($U$4:$U$11,$AC$2+1,1)-INDEX($U$4:$U$11,$AC$2,1),ROW()-4&gt;$AD$2),NA(),COUNTIF(INDEX($CB$5:$CH$201,INDEX($U$4:$U$11,1,1),$AC$2):INDEX($CB$5:$CH$201,INDEX($U$4:$U$11,1,1)+ROW()-5,$AC$2),EH$3))</f>
        <v>0</v>
      </c>
      <c r="EI6">
        <f>IF(OR(ROW()-4&gt;INDEX($U$4:$U$11,$AC$2+1,1)-INDEX($U$4:$U$11,$AC$2,1),ROW()-4&gt;$AD$2),NA(),COUNTIF(INDEX($CB$5:$CH$201,INDEX($U$4:$U$11,1,1),$AC$2):INDEX($CB$5:$CH$201,INDEX($U$4:$U$11,1,1)+ROW()-5,$AC$2),EI$3))</f>
        <v>0</v>
      </c>
      <c r="EJ6">
        <f>IF(OR(ROW()-4&gt;INDEX($U$4:$U$11,$AC$2+1,1)-INDEX($U$4:$U$11,$AC$2,1),ROW()-4&gt;$AD$2),NA(),COUNTIF(INDEX($CB$5:$CH$201,INDEX($U$4:$U$11,1,1),$AC$2):INDEX($CB$5:$CH$201,INDEX($U$4:$U$11,1,1)+ROW()-5,$AC$2),EJ$3))</f>
        <v>0</v>
      </c>
      <c r="EK6">
        <f>IF(OR(ROW()-4&gt;INDEX($U$4:$U$11,$AC$2+1,1)-INDEX($U$4:$U$11,$AC$2,1),ROW()-4&gt;$AD$2),NA(),COUNTIF(INDEX($CB$5:$CH$201,INDEX($U$4:$U$11,1,1),$AC$2):INDEX($CB$5:$CH$201,INDEX($U$4:$U$11,1,1)+ROW()-5,$AC$2),EK$3))</f>
        <v>0</v>
      </c>
      <c r="EL6">
        <f>IF(OR(ROW()-4&gt;INDEX($U$4:$U$11,$AC$2+1,1)-INDEX($U$4:$U$11,$AC$2,1),ROW()-4&gt;$AD$2),NA(),COUNTIF(INDEX($CB$5:$CH$201,INDEX($U$4:$U$11,1,1),$AC$2):INDEX($CB$5:$CH$201,INDEX($U$4:$U$11,1,1)+ROW()-5,$AC$2),EL$3))</f>
        <v>0</v>
      </c>
      <c r="EN6">
        <f>IF(OR(ROW()-4&gt;INDEX($U$4:$U$11,$AC$2+1,1)-INDEX($U$4:$U$11,$AC$2,1),ROW()-4&gt;$AD$2),NA(),COUNTIF(INDEX($CJ$5:$CP$201,INDEX($U$4:$U$11,1,1),$AC$2):INDEX($CJ$5:$CP$201,INDEX($U$4:$U$11,1,1)+ROW()-5,$AC$2),EN$3))</f>
        <v>0</v>
      </c>
      <c r="EO6">
        <f>IF(OR(ROW()-4&gt;INDEX($U$4:$U$11,$AC$2+1,1)-INDEX($U$4:$U$11,$AC$2,1),ROW()-4&gt;$AD$2),NA(),COUNTIF(INDEX($CJ$5:$CP$201,INDEX($U$4:$U$11,1,1),$AC$2):INDEX($CJ$5:$CP$201,INDEX($U$4:$U$11,1,1)+ROW()-5,$AC$2),EO$3))</f>
        <v>0</v>
      </c>
      <c r="EQ6">
        <f>IF(OR(ROW()-4&gt;INDEX($U$4:$U$11,$AC$2+1,1)-INDEX($U$4:$U$11,$AC$2,1),ROW()-4&gt;$AD$2),NA(),COUNTIF(INDEX($CJ$5:$CP$201,INDEX($U$4:$U$11,1,1),$AC$2):INDEX($CJ$5:$CP$201,INDEX($U$4:$U$11,1,1)+ROW()-5,$AC$2),EQ$3))</f>
        <v>2</v>
      </c>
      <c r="ER6">
        <f>IF(OR(ROW()-4&gt;INDEX($U$4:$U$11,$AC$2+1,1)-INDEX($U$4:$U$11,$AC$2,1),ROW()-4&gt;$AD$2),NA(),COUNTIF(INDEX($CJ$5:$CP$201,INDEX($U$4:$U$11,1,1),$AC$2):INDEX($CJ$5:$CP$201,INDEX($U$4:$U$11,1,1)+ROW()-5,$AC$2),ER$3))</f>
        <v>0</v>
      </c>
      <c r="ET6">
        <f>IF(OR(ROW()-4&gt;INDEX($U$4:$U$11,$AC$2+1,1)-INDEX($U$4:$U$11,$AC$2,1),ROW()-4&gt;$AD$2),NA(),COUNTIF(INDEX($CR$5:$CX$201,INDEX($U$4:$U$11,1,1),$AC$2):INDEX($CR$5:$CX$201,INDEX($U$4:$U$11,1,1)+ROW()-5,$AC$2),ET$3))</f>
        <v>0</v>
      </c>
      <c r="EU6">
        <f>IF(OR(ROW()-4&gt;INDEX($U$4:$U$11,$AC$2+1,1)-INDEX($U$4:$U$11,$AC$2,1),ROW()-4&gt;$AD$2),NA(),COUNTIF(INDEX($CR$5:$CX$201,INDEX($U$4:$U$11,1,1),$AC$2):INDEX($CR$5:$CX$201,INDEX($U$4:$U$11,1,1)+ROW()-5,$AC$2),EU$3))</f>
        <v>0</v>
      </c>
      <c r="EV6">
        <f>IF(OR(ROW()-4&gt;INDEX($U$4:$U$11,$AC$2+1,1)-INDEX($U$4:$U$11,$AC$2,1),ROW()-4&gt;$AD$2),NA(),COUNTIF(INDEX($CR$5:$CX$201,INDEX($U$4:$U$11,1,1),$AC$2):INDEX($CR$5:$CX$201,INDEX($U$4:$U$11,1,1)+ROW()-5,$AC$2),EV$3))</f>
        <v>0</v>
      </c>
      <c r="EW6">
        <f>IF(OR(ROW()-4&gt;INDEX($U$4:$U$11,$AC$2+1,1)-INDEX($U$4:$U$11,$AC$2,1),ROW()-4&gt;$AD$2),NA(),COUNTIF(INDEX($CR$5:$CX$201,INDEX($U$4:$U$11,1,1),$AC$2):INDEX($CR$5:$CX$201,INDEX($U$4:$U$11,1,1)+ROW()-5,$AC$2),EW$3))</f>
        <v>0</v>
      </c>
      <c r="EX6">
        <f>IF(OR(ROW()-4&gt;INDEX($U$4:$U$11,$AC$2+1,1)-INDEX($U$4:$U$11,$AC$2,1),ROW()-4&gt;$AD$2),NA(),COUNTIF(INDEX($CR$5:$CX$201,INDEX($U$4:$U$11,1,1),$AC$2):INDEX($CR$5:$CX$201,INDEX($U$4:$U$11,1,1)+ROW()-5,$AC$2),EX$3))</f>
        <v>0</v>
      </c>
      <c r="EY6">
        <f>IF(OR(ROW()-4&gt;INDEX($U$4:$U$11,$AC$2+1,1)-INDEX($U$4:$U$11,$AC$2,1),ROW()-4&gt;$AD$2),NA(),COUNTIF(INDEX($CR$5:$CX$201,INDEX($U$4:$U$11,1,1),$AC$2):INDEX($CR$5:$CX$201,INDEX($U$4:$U$11,1,1)+ROW()-5,$AC$2),EY$3))</f>
        <v>0</v>
      </c>
      <c r="EZ6">
        <f>IF(OR(ROW()-4&gt;INDEX($U$4:$U$11,$AC$2+1,1)-INDEX($U$4:$U$11,$AC$2,1),ROW()-4&gt;$AD$2),NA(),COUNTIF(INDEX($CR$5:$CX$201,INDEX($U$4:$U$11,1,1),$AC$2):INDEX($CR$5:$CX$201,INDEX($U$4:$U$11,1,1)+ROW()-5,$AC$2),EZ$3))</f>
        <v>0</v>
      </c>
      <c r="FA6">
        <f>IF(OR(ROW()-4&gt;INDEX($U$4:$U$11,$AC$2+1,1)-INDEX($U$4:$U$11,$AC$2,1),ROW()-4&gt;$AD$2),NA(),COUNTIF(INDEX($CR$5:$CX$201,INDEX($U$4:$U$11,1,1),$AC$2):INDEX($CR$5:$CX$201,INDEX($U$4:$U$11,1,1)+ROW()-5,$AC$2),FA$3))</f>
        <v>0</v>
      </c>
      <c r="FC6">
        <f>IF(OR(ROW()-4&gt;INDEX($U$4:$U$11,$AC$2+1,1)-INDEX($U$4:$U$11,$AC$2,1),ROW()-4&gt;$AD$2),NA(),COUNTIF(INDEX($CR$5:$CX$201,INDEX($U$4:$U$11,1,1),$AC$2):INDEX($CR$5:$CX$201,INDEX($U$4:$U$11,1,1)+ROW()-5,$AC$2),FC$3))</f>
        <v>0</v>
      </c>
      <c r="FD6">
        <f>IF(OR(ROW()-4&gt;INDEX($U$4:$U$11,$AC$2+1,1)-INDEX($U$4:$U$11,$AC$2,1),ROW()-4&gt;$AD$2),NA(),COUNTIF(INDEX($CR$5:$CX$201,INDEX($U$4:$U$11,1,1),$AC$2):INDEX($CR$5:$CX$201,INDEX($U$4:$U$11,1,1)+ROW()-5,$AC$2),FD$3))</f>
        <v>0</v>
      </c>
      <c r="FE6">
        <f>IF(OR(ROW()-4&gt;INDEX($U$4:$U$11,$AC$2+1,1)-INDEX($U$4:$U$11,$AC$2,1),ROW()-4&gt;$AD$2),NA(),COUNTIF(INDEX($CR$5:$CX$201,INDEX($U$4:$U$11,1,1),$AC$2):INDEX($CR$5:$CX$201,INDEX($U$4:$U$11,1,1)+ROW()-5,$AC$2),FE$3))</f>
        <v>0</v>
      </c>
      <c r="FF6">
        <f>IF(OR(ROW()-4&gt;INDEX($U$4:$U$11,$AC$2+1,1)-INDEX($U$4:$U$11,$AC$2,1),ROW()-4&gt;$AD$2),NA(),COUNTIF(INDEX($CR$5:$CX$201,INDEX($U$4:$U$11,1,1),$AC$2):INDEX($CR$5:$CX$201,INDEX($U$4:$U$11,1,1)+ROW()-5,$AC$2),FF$3))</f>
        <v>1</v>
      </c>
      <c r="FG6">
        <f>IF(OR(ROW()-4&gt;INDEX($U$4:$U$11,$AC$2+1,1)-INDEX($U$4:$U$11,$AC$2,1),ROW()-4&gt;$AD$2),NA(),COUNTIF(INDEX($CR$5:$CX$201,INDEX($U$4:$U$11,1,1),$AC$2):INDEX($CR$5:$CX$201,INDEX($U$4:$U$11,1,1)+ROW()-5,$AC$2),FG$3))</f>
        <v>0</v>
      </c>
      <c r="FH6">
        <f>IF(OR(ROW()-4&gt;INDEX($U$4:$U$11,$AC$2+1,1)-INDEX($U$4:$U$11,$AC$2,1),ROW()-4&gt;$AD$2),NA(),COUNTIF(INDEX($CR$5:$CX$201,INDEX($U$4:$U$11,1,1),$AC$2):INDEX($CR$5:$CX$201,INDEX($U$4:$U$11,1,1)+ROW()-5,$AC$2),FH$3))</f>
        <v>1</v>
      </c>
      <c r="FI6">
        <f>IF(OR(ROW()-4&gt;INDEX($U$4:$U$11,$AC$2+1,1)-INDEX($U$4:$U$11,$AC$2,1),ROW()-4&gt;$AD$2),NA(),COUNTIF(INDEX($CR$5:$CX$201,INDEX($U$4:$U$11,1,1),$AC$2):INDEX($CR$5:$CX$201,INDEX($U$4:$U$11,1,1)+ROW()-5,$AC$2),FI$3))</f>
        <v>0</v>
      </c>
      <c r="FJ6">
        <f>IF(OR(ROW()-4&gt;INDEX($U$4:$U$11,$AC$2+1,1)-INDEX($U$4:$U$11,$AC$2,1),ROW()-4&gt;$AD$2),NA(),COUNTIF(INDEX($CR$5:$CX$201,INDEX($U$4:$U$11,1,1),$AC$2):INDEX($CR$5:$CX$201,INDEX($U$4:$U$11,1,1)+ROW()-5,$AC$2),FJ$3))</f>
        <v>0</v>
      </c>
      <c r="FL6">
        <f>IF(OR(ROW()-4&gt;INDEX($U$4:$U$11,$AC$2+1,1)-INDEX($U$4:$U$11,$AC$2,1),ROW()-4&gt;$AD$2),NA(),COUNTIF(INDEX($CZ$5:$DF$201,INDEX($U$4:$U$11,1,1),$AC$2):INDEX($CZ$5:$DF$201,INDEX($U$4:$U$11,1,1)+ROW()-5,$AC$2),FL$3))</f>
        <v>0</v>
      </c>
      <c r="FM6">
        <f>IF(OR(ROW()-4&gt;INDEX($U$4:$U$11,$AC$2+1,1)-INDEX($U$4:$U$11,$AC$2,1),ROW()-4&gt;$AD$2),NA(),COUNTIF(INDEX($CZ$5:$DF$201,INDEX($U$4:$U$11,1,1),$AC$2):INDEX($CZ$5:$DF$201,INDEX($U$4:$U$11,1,1)+ROW()-5,$AC$2),FM$3))</f>
        <v>0</v>
      </c>
      <c r="FN6">
        <f>IF(OR(ROW()-4&gt;INDEX($U$4:$U$11,$AC$2+1,1)-INDEX($U$4:$U$11,$AC$2,1),ROW()-4&gt;$AD$2),NA(),COUNTIF(INDEX($CZ$5:$DF$201,INDEX($U$4:$U$11,1,1),$AC$2):INDEX($CZ$5:$DF$201,INDEX($U$4:$U$11,1,1)+ROW()-5,$AC$2),FN$3))</f>
        <v>0</v>
      </c>
      <c r="FO6">
        <f>IF(OR(ROW()-4&gt;INDEX($U$4:$U$11,$AC$2+1,1)-INDEX($U$4:$U$11,$AC$2,1),ROW()-4&gt;$AD$2),NA(),COUNTIF(INDEX($CZ$5:$DF$201,INDEX($U$4:$U$11,1,1),$AC$2):INDEX($CZ$5:$DF$201,INDEX($U$4:$U$11,1,1)+ROW()-5,$AC$2),FO$3))</f>
        <v>0</v>
      </c>
      <c r="FP6">
        <f>IF(OR(ROW()-4&gt;INDEX($U$4:$U$11,$AC$2+1,1)-INDEX($U$4:$U$11,$AC$2,1),ROW()-4&gt;$AD$2),NA(),COUNTIF(INDEX($CZ$5:$DF$201,INDEX($U$4:$U$11,1,1),$AC$2):INDEX($CZ$5:$DF$201,INDEX($U$4:$U$11,1,1)+ROW()-5,$AC$2),FP$3))</f>
        <v>0</v>
      </c>
      <c r="FQ6">
        <f>IF(OR(ROW()-4&gt;INDEX($U$4:$U$11,$AC$2+1,1)-INDEX($U$4:$U$11,$AC$2,1),ROW()-4&gt;$AD$2),NA(),COUNTIF(INDEX($CZ$5:$DF$201,INDEX($U$4:$U$11,1,1),$AC$2):INDEX($CZ$5:$DF$201,INDEX($U$4:$U$11,1,1)+ROW()-5,$AC$2),FQ$3))</f>
        <v>0</v>
      </c>
      <c r="FR6">
        <f>IF(OR(ROW()-4&gt;INDEX($U$4:$U$11,$AC$2+1,1)-INDEX($U$4:$U$11,$AC$2,1),ROW()-4&gt;$AD$2),NA(),COUNTIF(INDEX($CZ$5:$DF$201,INDEX($U$4:$U$11,1,1),$AC$2):INDEX($CZ$5:$DF$201,INDEX($U$4:$U$11,1,1)+ROW()-5,$AC$2),FR$3))</f>
        <v>0</v>
      </c>
      <c r="FS6">
        <f>IF(OR(ROW()-4&gt;INDEX($U$4:$U$11,$AC$2+1,1)-INDEX($U$4:$U$11,$AC$2,1),ROW()-4&gt;$AD$2),NA(),COUNTIF(INDEX($CZ$5:$DF$201,INDEX($U$4:$U$11,1,1),$AC$2):INDEX($CZ$5:$DF$201,INDEX($U$4:$U$11,1,1)+ROW()-5,$AC$2),FS$3))</f>
        <v>0</v>
      </c>
      <c r="FT6">
        <f>IF(OR(ROW()-4&gt;INDEX($U$4:$U$11,$AC$2+1,1)-INDEX($U$4:$U$11,$AC$2,1),ROW()-4&gt;$AD$2),NA(),COUNTIF(INDEX($CZ$5:$DF$201,INDEX($U$4:$U$11,1,1),$AC$2):INDEX($CZ$5:$DF$201,INDEX($U$4:$U$11,1,1)+ROW()-5,$AC$2),FT$3))</f>
        <v>0</v>
      </c>
      <c r="FU6">
        <f>IF(OR(ROW()-4&gt;INDEX($U$4:$U$11,$AC$2+1,1)-INDEX($U$4:$U$11,$AC$2,1),ROW()-4&gt;$AD$2),NA(),COUNTIF(INDEX($CZ$5:$DF$201,INDEX($U$4:$U$11,1,1),$AC$2):INDEX($CZ$5:$DF$201,INDEX($U$4:$U$11,1,1)+ROW()-5,$AC$2),FU$3))</f>
        <v>0</v>
      </c>
      <c r="FW6">
        <f>IF(OR(ROW()-4&gt;INDEX($U$4:$U$11,$AC$2+1,1)-INDEX($U$4:$U$11,$AC$2,1),ROW()-4&gt;$AD$2),NA(),COUNTIF(INDEX($CZ$5:$DF$201,INDEX($U$4:$U$11,1,1),$AC$2):INDEX($CZ$5:$DF$201,INDEX($U$4:$U$11,1,1)+ROW()-5,$AC$2),FW$3))</f>
        <v>0</v>
      </c>
      <c r="FX6">
        <f>IF(OR(ROW()-4&gt;INDEX($U$4:$U$11,$AC$2+1,1)-INDEX($U$4:$U$11,$AC$2,1),ROW()-4&gt;$AD$2),NA(),COUNTIF(INDEX($CZ$5:$DF$201,INDEX($U$4:$U$11,1,1),$AC$2):INDEX($CZ$5:$DF$201,INDEX($U$4:$U$11,1,1)+ROW()-5,$AC$2),FX$3))</f>
        <v>1</v>
      </c>
      <c r="FY6">
        <f>IF(OR(ROW()-4&gt;INDEX($U$4:$U$11,$AC$2+1,1)-INDEX($U$4:$U$11,$AC$2,1),ROW()-4&gt;$AD$2),NA(),COUNTIF(INDEX($CZ$5:$DF$201,INDEX($U$4:$U$11,1,1),$AC$2):INDEX($CZ$5:$DF$201,INDEX($U$4:$U$11,1,1)+ROW()-5,$AC$2),FY$3))</f>
        <v>0</v>
      </c>
      <c r="FZ6">
        <f>IF(OR(ROW()-4&gt;INDEX($U$4:$U$11,$AC$2+1,1)-INDEX($U$4:$U$11,$AC$2,1),ROW()-4&gt;$AD$2),NA(),COUNTIF(INDEX($CZ$5:$DF$201,INDEX($U$4:$U$11,1,1),$AC$2):INDEX($CZ$5:$DF$201,INDEX($U$4:$U$11,1,1)+ROW()-5,$AC$2),FZ$3))</f>
        <v>0</v>
      </c>
      <c r="GA6">
        <f>IF(OR(ROW()-4&gt;INDEX($U$4:$U$11,$AC$2+1,1)-INDEX($U$4:$U$11,$AC$2,1),ROW()-4&gt;$AD$2),NA(),COUNTIF(INDEX($CZ$5:$DF$201,INDEX($U$4:$U$11,1,1),$AC$2):INDEX($CZ$5:$DF$201,INDEX($U$4:$U$11,1,1)+ROW()-5,$AC$2),GA$3))</f>
        <v>0</v>
      </c>
      <c r="GB6">
        <f>IF(OR(ROW()-4&gt;INDEX($U$4:$U$11,$AC$2+1,1)-INDEX($U$4:$U$11,$AC$2,1),ROW()-4&gt;$AD$2),NA(),COUNTIF(INDEX($CZ$5:$DF$201,INDEX($U$4:$U$11,1,1),$AC$2):INDEX($CZ$5:$DF$201,INDEX($U$4:$U$11,1,1)+ROW()-5,$AC$2),GB$3))</f>
        <v>0</v>
      </c>
      <c r="GC6">
        <f>IF(OR(ROW()-4&gt;INDEX($U$4:$U$11,$AC$2+1,1)-INDEX($U$4:$U$11,$AC$2,1),ROW()-4&gt;$AD$2),NA(),COUNTIF(INDEX($CZ$5:$DF$201,INDEX($U$4:$U$11,1,1),$AC$2):INDEX($CZ$5:$DF$201,INDEX($U$4:$U$11,1,1)+ROW()-5,$AC$2),GC$3))</f>
        <v>1</v>
      </c>
      <c r="GD6">
        <f>IF(OR(ROW()-4&gt;INDEX($U$4:$U$11,$AC$2+1,1)-INDEX($U$4:$U$11,$AC$2,1),ROW()-4&gt;$AD$2),NA(),COUNTIF(INDEX($CZ$5:$DF$201,INDEX($U$4:$U$11,1,1),$AC$2):INDEX($CZ$5:$DF$201,INDEX($U$4:$U$11,1,1)+ROW()-5,$AC$2),GD$3))</f>
        <v>0</v>
      </c>
      <c r="GE6">
        <f>IF(OR(ROW()-4&gt;INDEX($U$4:$U$11,$AC$2+1,1)-INDEX($U$4:$U$11,$AC$2,1),ROW()-4&gt;$AD$2),NA(),COUNTIF(INDEX($CZ$5:$DF$201,INDEX($U$4:$U$11,1,1),$AC$2):INDEX($CZ$5:$DF$201,INDEX($U$4:$U$11,1,1)+ROW()-5,$AC$2),GE$3))</f>
        <v>0</v>
      </c>
      <c r="GF6">
        <f>IF(OR(ROW()-4&gt;INDEX($U$4:$U$11,$AC$2+1,1)-INDEX($U$4:$U$11,$AC$2,1),ROW()-4&gt;$AD$2),NA(),COUNTIF(INDEX($CZ$5:$DF$201,INDEX($U$4:$U$11,1,1),$AC$2):INDEX($CZ$5:$DF$201,INDEX($U$4:$U$11,1,1)+ROW()-5,$AC$2),GF$3))</f>
        <v>0</v>
      </c>
      <c r="GK6" t="s">
        <v>30</v>
      </c>
      <c r="GQ6" s="66" t="s">
        <v>66</v>
      </c>
      <c r="GR6" s="66"/>
      <c r="GS6" s="66"/>
      <c r="GT6" s="66"/>
      <c r="GV6" s="67" t="s">
        <v>66</v>
      </c>
      <c r="GW6" s="67"/>
      <c r="GX6" s="67"/>
      <c r="GY6" s="67"/>
      <c r="HE6" t="s">
        <v>58</v>
      </c>
      <c r="HF6">
        <f>INDEX($EX$5:$EX$40,$AD$2)</f>
        <v>0</v>
      </c>
      <c r="HG6">
        <f>INDEX($EX$4:$EX$40,$AD$2+1)-INDEX($EX$4:$EX$40,$AD$2)</f>
        <v>0</v>
      </c>
      <c r="HH6" s="59">
        <f>INDEX($EX$55:$EX$90,$AD$2)</f>
        <v>0</v>
      </c>
      <c r="HI6" s="59">
        <f t="shared" si="0"/>
        <v>0</v>
      </c>
    </row>
    <row r="7" spans="1:224" x14ac:dyDescent="0.45">
      <c r="A7" t="str">
        <f>データの貼付!A5</f>
        <v>KIHARA Miyuu</v>
      </c>
      <c r="B7">
        <f>データの貼付!B5</f>
        <v>1.2813657407407407E-3</v>
      </c>
      <c r="C7">
        <f>データの貼付!C5</f>
        <v>7.259259259259259E-5</v>
      </c>
      <c r="D7">
        <f>データの貼付!D5</f>
        <v>0</v>
      </c>
      <c r="E7" t="str">
        <f>データの貼付!F5</f>
        <v>KIHARA Miyuu</v>
      </c>
      <c r="F7">
        <f>データの貼付!E5</f>
        <v>0</v>
      </c>
      <c r="G7" t="str">
        <f>データの貼付!G5</f>
        <v>#03</v>
      </c>
      <c r="H7" t="str">
        <f>データの貼付!H5</f>
        <v>KIHARA Miyuu</v>
      </c>
      <c r="I7" t="str">
        <f>データの貼付!I5</f>
        <v>(Side)</v>
      </c>
      <c r="J7" t="str">
        <f>データの貼付!J5</f>
        <v>B</v>
      </c>
      <c r="K7" t="str">
        <f>データの貼付!K5</f>
        <v>FS</v>
      </c>
      <c r="L7" t="str">
        <f>データの貼付!L5</f>
        <v>F</v>
      </c>
      <c r="M7" t="str">
        <f>データの貼付!M5</f>
        <v>Push</v>
      </c>
      <c r="N7" t="str">
        <f>データの貼付!N5</f>
        <v>B</v>
      </c>
      <c r="P7" s="12"/>
      <c r="R7">
        <f t="shared" si="59"/>
        <v>0</v>
      </c>
      <c r="S7">
        <f>SUM(R$4:R7)</f>
        <v>1</v>
      </c>
      <c r="T7" t="str">
        <f t="shared" si="60"/>
        <v/>
      </c>
      <c r="U7">
        <f>IF(TYPE(U6+MATCH(1,INDEX(R$4:R$200,U6+1):INDEX(R$4:R$200,197),0))=16,"",U6+MATCH(1,INDEX(R$4:R$200,U6+1):INDEX(R$4:R$200,197),0))</f>
        <v>49</v>
      </c>
      <c r="V7" t="str">
        <f t="shared" si="61"/>
        <v>FENG Tianwei</v>
      </c>
      <c r="W7" t="str">
        <f t="shared" si="57"/>
        <v>KIHARA Miyuu_KIHARA Miyuu</v>
      </c>
      <c r="X7" t="str">
        <f t="shared" si="58"/>
        <v>KIHARA Miyuu_#03</v>
      </c>
      <c r="Y7" t="s">
        <v>25</v>
      </c>
      <c r="Z7" s="1">
        <f>INDEX(B$4:B$200,INDEX(U$4:U$11,AC$2)+AD2)</f>
        <v>1.4003182870370369E-2</v>
      </c>
      <c r="AC7" s="8">
        <f>IF(OR(ROW()-4&gt;INDEX($U$4:$U$11,AC$2+1)-INDEX($U$4:$U$11,AC$2),ROW()-4&gt;AD$2),NA(),COUNTIF(INDEX($W$4:$W$200,INDEX($U$4:$U$11,AC$2)):INDEX($W$4:$W$200,INDEX($U$4:$U$11,AC$2)+ROW()-5),AC$3&amp;"_"&amp;AC$3)/(COUNTIF(INDEX($W$4:$W$200,INDEX($U$4:$U$11,AC$2)):INDEX($W$4:$W$200,INDEX($U$4:$U$11,AC$2)+ROW()-5),AC$3&amp;"_"&amp;AC$3)+COUNTIF(INDEX($W$4:$W$200,INDEX($U$4:$U$11,AC$2)):INDEX($W$4:$W$200,INDEX($U$4:$U$11,AC$2)+ROW()-5),AD$3&amp;"_"&amp;AC$3)))</f>
        <v>0</v>
      </c>
      <c r="AD7" s="8">
        <f>IF(OR(ROW()-4&gt;INDEX($U$4:$U$11,AC$2+1)-INDEX($U$4:$U$11,AC$2),ROW()-4&gt;AD$2),NA(),COUNTIF(INDEX($W$4:$W$200,INDEX($U$4:$U$11,AC$2)):INDEX($W$4:$W$200,INDEX($U$4:$U$11,AC$2)+ROW()-5),AD$3&amp;"_"&amp;AD$3)/(COUNTIF(INDEX($W$4:$W$200,INDEX($U$4:$U$11,AC$2)):INDEX($W$4:$W$200,INDEX($U$4:$U$11,AC$2)+ROW()-5),AD$3&amp;"_"&amp;AD$3)+COUNTIF(INDEX($W$4:$W$200,INDEX($U$4:$U$11,AC$2)):INDEX($W$4:$W$200,INDEX($U$4:$U$11,AC$2)+ROW()-5),AC$3&amp;"_"&amp;AD$3)))</f>
        <v>1</v>
      </c>
      <c r="AE7" s="10">
        <f>IF(OR(ROW()-4&gt;INDEX($U$4:$U$11,AC$2+1)-INDEX($U$4:$U$11,AC$2),ROW()-4&gt;AD$2),NA(),COUNTIF(INDEX($W$4:$W$200,INDEX($U$4:$U$11,AC$2)):INDEX($W$4:$W$200,INDEX($U$4:$U$11,AC$2)+ROW()-5),AC$3&amp;"_"&amp;AD$3)/(COUNTIF(INDEX($W$4:$W$200,INDEX($U$4:$U$11,AC$2)):INDEX($W$4:$W$200,INDEX($U$4:$U$11,AC$2)+ROW()-5),AC$3&amp;"_"&amp;AD$3)+COUNTIF(INDEX($W$4:$W$200,INDEX($U$4:$U$11,AC$2)):INDEX($W$4:$W$200,INDEX($U$4:$U$11,AC$2)+ROW()-5),AD$3&amp;"_"&amp;AD$3)))</f>
        <v>0</v>
      </c>
      <c r="AF7" s="10">
        <f>IF(OR(ROW()-4&gt;INDEX($U$4:$U$11,AC$2+1)-INDEX($U$4:$U$11,AC$2),ROW()-4&gt;AD$2),NA(),COUNTIF(INDEX($W$4:$W$200,INDEX($U$4:$U$11,AC$2)):INDEX($W$4:$W$200,INDEX($U$4:$U$11,AC$2)+ROW()-5),AD$3&amp;"_"&amp;AC$3)/(COUNTIF(INDEX($W$4:$W$200,INDEX($U$4:$U$11,AC$2)):INDEX($W$4:$W$200,INDEX($U$4:$U$11,AC$2)+ROW()-5),AD$3&amp;"_"&amp;AC$3)+COUNTIF(INDEX($W$4:$W$200,INDEX($U$4:$U$11,AC$2)):INDEX($W$4:$W$200,INDEX($U$4:$U$11,AC$2)+ROW()-5),AC$3&amp;"_"&amp;AC$3)))</f>
        <v>1</v>
      </c>
      <c r="AG7" s="10">
        <f>IF(OR(ROW()-4&gt;INDEX($U$4:$U$11,AC$2+1)-INDEX($U$4:$U$11,AC$2),ROW()-4&gt;AD$2),NA(),COUNTIF(INDEX($X$4:$X$200,INDEX($U$4:$U$11,AC$2)):INDEX($X$4:$X$200,INDEX($U$4:$U$11,AC$2)+ROW()-5),AC$3&amp;"_#03")/(COUNTIF(INDEX($W$4:$W$200,INDEX($U$4:$U$11,AC$2)):INDEX($W$4:$W$200,INDEX($U$4:$U$11,AC$2)+ROW()-5),AC$3&amp;"_"&amp;AC$3)+COUNTIF(INDEX($W$4:$W$200,INDEX($U$4:$U$11,AC$2)):INDEX($W$4:$W$200,INDEX($U$4:$U$11,AC$2)+ROW()-5),AD$3&amp;"_"&amp;AC$3)))</f>
        <v>0</v>
      </c>
      <c r="AH7" s="10">
        <f>IF(OR(ROW()-4&gt;INDEX($U$4:$U$11,AC$2+1)-INDEX($U$4:$U$11,AC$2),ROW()-4&gt;AD$2),NA(),COUNTIF(INDEX($X$4:$X$200,INDEX($U$4:$U$11,AC$2)):INDEX($X$4:$X$200,INDEX($U$4:$U$11,AC$2)+ROW()-5),AD$3&amp;"_#03")/(COUNTIF(INDEX($W$4:$W$200,INDEX($U$4:$U$11,AC$2)):INDEX($W$4:$W$200,INDEX($U$4:$U$11,AC$2)+ROW()-5),AD$3&amp;"_"&amp;AD$3)+COUNTIF(INDEX($W$4:$W$200,INDEX($U$4:$U$11,AC$2)):INDEX($W$4:$W$200,INDEX($U$4:$U$11,AC$2)+ROW()-5),AC$3&amp;"_"&amp;AD$3)))</f>
        <v>0</v>
      </c>
      <c r="AI7" s="10">
        <f>IF(OR(ROW()-4&gt;INDEX($U$4:$U$11,AC$2+1)-INDEX($U$4:$U$11,AC$2),ROW()-4&gt;AD$2),NA(),(COUNTIF(INDEX($X$4:$X$200,INDEX($U$4:$U$11,AC$2)):INDEX($X$4:$X$200,INDEX($U$4:$U$11,AC$2)+ROW()-5),AC$3&amp;"_#03")-COUNTIF(INDEX($X$4:$X$200,INDEX($U$4:$U$11,AC$2)):INDEX($X$4:$X$200,INDEX($U$4:$U$11,AC$2)+ROW()-5),AD$3&amp;"_#02"))/(COUNTIF(INDEX($W$4:$W$200,INDEX($U$4:$U$11,AC$2)):INDEX($W$4:$W$200,INDEX($U$4:$U$11,AC$2)+ROW()-5),AC$3&amp;"_"&amp;AC$3)+COUNTIF(INDEX($W$4:$W$200,INDEX($U$4:$U$11,AC$2)):INDEX($W$4:$W$200,INDEX($U$4:$U$11,AC$2)+ROW()-5),AD$3&amp;"_"&amp;AC$3)))</f>
        <v>-0.5</v>
      </c>
      <c r="AJ7" s="10">
        <f>IF(OR(ROW()-4&gt;INDEX($U$4:$U$11,AC$2+1)-INDEX($U$4:$U$11,AC$2),ROW()-4&gt;AD$2),NA(),(COUNTIF(INDEX($X$4:$X$200,INDEX($U$4:$U$11,AC$2)):INDEX($X$4:$X$200,INDEX($U$4:$U$11,AC$2)+ROW()-5),AD$3&amp;"_#03")-COUNTIF(INDEX($X$4:$X$200,INDEX($U$4:$U$11,AC$2)):INDEX($X$4:$X$200,INDEX($U$4:$U$11,AC$2)+ROW()-5),AC$3&amp;"_#02"))/(COUNTIF(INDEX($W$4:$W$200,INDEX($U$4:$U$11,AC$2)):INDEX($W$4:$W$200,INDEX($U$4:$U$11,AC$2)+ROW()-5),AD$3&amp;"_"&amp;AD$3)+COUNTIF(INDEX($W$4:$W$200,INDEX($U$4:$U$11,AC$2)):INDEX($W$4:$W$200,INDEX($U$4:$U$11,AC$2)+ROW()-5),AC$3&amp;"_"&amp;AD$3)))</f>
        <v>0</v>
      </c>
      <c r="AK7" s="10">
        <f>IF(OR(ROW()-4&gt;INDEX($U$4:$U$11,AC$2+1)-INDEX($U$4:$U$11,AC$2),ROW()-4&gt;AD$2),NA(),(COUNTIF(INDEX($X$4:$X$200,INDEX($U$4:$U$11,AC$2)):INDEX($X$4:$X$200,INDEX($U$4:$U$11,AC$2)+ROW()-5),AC$3&amp;"_#01")+COUNTIF(INDEX($X$4:$X$200,INDEX($U$4:$U$11,AC$2)):INDEX($X$4:$X$200,INDEX($U$4:$U$11,AC$2)+ROW()-5),AC$3&amp;"_#03"))/(COUNTIF(INDEX($W$4:$W$200,INDEX($U$4:$U$11,AC$2)):INDEX($W$4:$W$200,INDEX($U$4:$U$11,AC$2)+ROW()-5),AC$3&amp;"_"&amp;AC$3)+COUNTIF(INDEX($W$4:$W$200,INDEX($U$4:$U$11,AC$2)):INDEX($W$4:$W$200,INDEX($U$4:$U$11,AC$2)+ROW()-5),AD$3&amp;"_"&amp;AC$3)))</f>
        <v>0</v>
      </c>
      <c r="AL7" s="10">
        <f>IF(OR(ROW()-4&gt;INDEX($U$4:$U$11,AC$2+1)-INDEX($U$4:$U$11,AC$2),ROW()-4&gt;AD$2),NA(),(COUNTIF(INDEX($X$4:$X$200,INDEX($U$4:$U$11,AC$2)):INDEX($X$4:$X$200,INDEX($U$4:$U$11,AC$2)+ROW()-5),AD$3&amp;"_#01")+COUNTIF(INDEX($X$4:$X$200,INDEX($U$4:$U$11,AC$2)):INDEX($X$4:$X$200,INDEX($U$4:$U$11,AC$2)+ROW()-5),AD$3&amp;"_#03"))/(COUNTIF(INDEX($W$4:$W$200,INDEX($U$4:$U$11,AC$2)):INDEX($W$4:$W$200,INDEX($U$4:$U$11,AC$2)+ROW()-5),AD$3&amp;"_"&amp;AD$3)+COUNTIF(INDEX($W$4:$W$200,INDEX($U$4:$U$11,AC$2)):INDEX($W$4:$W$200,INDEX($U$4:$U$11,AC$2)+ROW()-5),AC$3&amp;"_"&amp;AD$3)))</f>
        <v>0</v>
      </c>
      <c r="AN7">
        <f t="shared" ref="AN7:AN40" si="125">IF(ROW()-4&lt;=INDEX($U$4:$U$11,AN$4+1)-INDEX($U$4:$U$11,AN$4),AN6+1,"")</f>
        <v>3</v>
      </c>
      <c r="AO7">
        <f t="shared" si="111"/>
        <v>20</v>
      </c>
      <c r="AP7">
        <f t="shared" si="112"/>
        <v>35</v>
      </c>
      <c r="AQ7">
        <f t="shared" si="113"/>
        <v>51</v>
      </c>
      <c r="AR7">
        <f t="shared" si="114"/>
        <v>70</v>
      </c>
      <c r="AS7" t="e">
        <f t="shared" si="115"/>
        <v>#VALUE!</v>
      </c>
      <c r="AT7" t="e">
        <f t="shared" si="116"/>
        <v>#VALUE!</v>
      </c>
      <c r="AV7" t="str">
        <f t="shared" si="117"/>
        <v>KIHARA Miyuu</v>
      </c>
      <c r="AW7" t="str">
        <f t="shared" si="63"/>
        <v>KIHARA Miyuu</v>
      </c>
      <c r="AX7" t="str">
        <f t="shared" si="64"/>
        <v>KIHARA Miyuu</v>
      </c>
      <c r="AY7" t="str">
        <f t="shared" si="65"/>
        <v>FENG Tianwei</v>
      </c>
      <c r="AZ7" t="str">
        <f t="shared" si="66"/>
        <v>FENG Tianwei</v>
      </c>
      <c r="BA7" t="e">
        <f t="shared" si="67"/>
        <v>#VALUE!</v>
      </c>
      <c r="BB7" t="e">
        <f t="shared" si="68"/>
        <v>#VALUE!</v>
      </c>
      <c r="BD7" t="str">
        <f t="shared" si="118"/>
        <v>KIHARA Miyuu</v>
      </c>
      <c r="BE7" t="str">
        <f t="shared" si="69"/>
        <v>FENG Tianwei</v>
      </c>
      <c r="BF7" t="str">
        <f t="shared" si="70"/>
        <v>KIHARA Miyuu</v>
      </c>
      <c r="BG7" t="str">
        <f t="shared" si="71"/>
        <v>FENG Tianwei</v>
      </c>
      <c r="BH7" t="str">
        <f t="shared" si="72"/>
        <v>KIHARA Miyuu</v>
      </c>
      <c r="BI7" t="e">
        <f t="shared" si="73"/>
        <v>#VALUE!</v>
      </c>
      <c r="BJ7" t="e">
        <f t="shared" si="74"/>
        <v>#VALUE!</v>
      </c>
      <c r="BL7" t="str">
        <f t="shared" si="119"/>
        <v>KIHARA Miyuu_(Side)</v>
      </c>
      <c r="BM7" t="str">
        <f t="shared" si="75"/>
        <v>FENG Tianwei_Side</v>
      </c>
      <c r="BN7" t="str">
        <f t="shared" si="76"/>
        <v>KIHARA Miyuu_(Side)</v>
      </c>
      <c r="BO7" t="str">
        <f t="shared" si="77"/>
        <v>FENG Tianwei_Side</v>
      </c>
      <c r="BP7" t="str">
        <f t="shared" si="78"/>
        <v>KIHARA Miyuu_(Side)</v>
      </c>
      <c r="BQ7" t="e">
        <f t="shared" si="79"/>
        <v>#VALUE!</v>
      </c>
      <c r="BR7" t="e">
        <f t="shared" si="80"/>
        <v>#VALUE!</v>
      </c>
      <c r="BT7" t="str">
        <f t="shared" si="120"/>
        <v>KIHARA Miyuu_B</v>
      </c>
      <c r="BU7" t="str">
        <f t="shared" si="81"/>
        <v>FENG Tianwei_B</v>
      </c>
      <c r="BV7" t="str">
        <f t="shared" si="82"/>
        <v>KIHARA Miyuu_B</v>
      </c>
      <c r="BW7" t="str">
        <f t="shared" si="83"/>
        <v>FENG Tianwei_B</v>
      </c>
      <c r="BX7" t="str">
        <f t="shared" si="84"/>
        <v>KIHARA Miyuu_B</v>
      </c>
      <c r="BY7" t="e">
        <f t="shared" si="85"/>
        <v>#VALUE!</v>
      </c>
      <c r="BZ7" t="e">
        <f t="shared" si="86"/>
        <v>#VALUE!</v>
      </c>
      <c r="CB7" t="str">
        <f t="shared" si="121"/>
        <v>KIHARA Miyuu_BM</v>
      </c>
      <c r="CC7" t="str">
        <f t="shared" si="87"/>
        <v>FENG Tianwei_BM</v>
      </c>
      <c r="CD7" t="str">
        <f t="shared" si="88"/>
        <v>KIHARA Miyuu_FS</v>
      </c>
      <c r="CE7" t="str">
        <f t="shared" si="89"/>
        <v>FENG Tianwei_BM</v>
      </c>
      <c r="CF7" t="str">
        <f t="shared" si="90"/>
        <v>KIHARA Miyuu_BMS</v>
      </c>
      <c r="CG7" t="e">
        <f t="shared" si="91"/>
        <v>#VALUE!</v>
      </c>
      <c r="CH7" t="e">
        <f t="shared" si="92"/>
        <v>#VALUE!</v>
      </c>
      <c r="CJ7" t="str">
        <f t="shared" si="122"/>
        <v>FENG Tianwei_0</v>
      </c>
      <c r="CK7" t="str">
        <f t="shared" si="93"/>
        <v>KIHARA Miyuu_B</v>
      </c>
      <c r="CL7" t="str">
        <f t="shared" si="94"/>
        <v>FENG Tianwei_B</v>
      </c>
      <c r="CM7" t="str">
        <f t="shared" si="95"/>
        <v>KIHARA Miyuu_B</v>
      </c>
      <c r="CN7" t="str">
        <f t="shared" si="96"/>
        <v>FENG Tianwei_0</v>
      </c>
      <c r="CO7" t="e">
        <f t="shared" si="97"/>
        <v>#VALUE!</v>
      </c>
      <c r="CP7" t="e">
        <f t="shared" si="98"/>
        <v>#VALUE!</v>
      </c>
      <c r="CR7" t="str">
        <f t="shared" si="123"/>
        <v>FENG Tianwei_ドライブ</v>
      </c>
      <c r="CS7" t="str">
        <f t="shared" si="99"/>
        <v>KIHARA Miyuu_ドライブ</v>
      </c>
      <c r="CT7" t="str">
        <f t="shared" si="100"/>
        <v>FENG Tianwei_Chiquita</v>
      </c>
      <c r="CU7" t="str">
        <f t="shared" si="101"/>
        <v>KIHARA Miyuu_ドライブ</v>
      </c>
      <c r="CV7" t="str">
        <f t="shared" si="102"/>
        <v>FENG Tianwei_Chiquita</v>
      </c>
      <c r="CW7" t="e">
        <f t="shared" si="103"/>
        <v>#VALUE!</v>
      </c>
      <c r="CX7" t="e">
        <f t="shared" si="104"/>
        <v>#VALUE!</v>
      </c>
      <c r="CZ7" t="str">
        <f t="shared" si="124"/>
        <v>FENG Tianwei_B</v>
      </c>
      <c r="DA7" t="str">
        <f t="shared" si="105"/>
        <v>KIHARA Miyuu_BM</v>
      </c>
      <c r="DB7" t="str">
        <f t="shared" si="106"/>
        <v>FENG Tianwei_F</v>
      </c>
      <c r="DC7" t="str">
        <f t="shared" si="107"/>
        <v>KIHARA Miyuu_BM</v>
      </c>
      <c r="DD7" t="str">
        <f t="shared" si="108"/>
        <v>FENG Tianwei_BM</v>
      </c>
      <c r="DE7" t="e">
        <f t="shared" si="109"/>
        <v>#VALUE!</v>
      </c>
      <c r="DF7" t="e">
        <f t="shared" si="110"/>
        <v>#VALUE!</v>
      </c>
      <c r="DH7">
        <f>IF(OR(ROW()-4&gt;INDEX($U$4:$U$11,$AC$2+1,1)-INDEX($U$4:$U$11,$AC$2,1),ROW()-4&gt;$AD$2),NA(),COUNTIF(INDEX($BL$5:$BR$50,INDEX($U$4:$U$11,1,1),$AC$2):INDEX($BL$5:$BR$50,INDEX($U$4:$U$11,1,1)+ROW()-5,$AC$2),DH$3))</f>
        <v>1</v>
      </c>
      <c r="DI7">
        <f>IF(OR(ROW()-4&gt;INDEX($U$4:$U$11,$AC$2+1,1)-INDEX($U$4:$U$11,$AC$2,1),ROW()-4&gt;$AD$2),NA(),COUNTIF(INDEX($BL$5:$BR$50,INDEX($U$4:$U$11,1,1),$AC$2):INDEX($BL$5:$BR$50,INDEX($U$4:$U$11,1,1)+ROW()-5,$AC$2),DI$3))</f>
        <v>1</v>
      </c>
      <c r="DJ7">
        <f>IF(OR(ROW()-4&gt;INDEX($U$4:$U$11,$AC$2+1,1)-INDEX($U$4:$U$11,$AC$2,1),ROW()-4&gt;$AD$2),NA(),COUNTIF(INDEX($BL$5:$BR$50,INDEX($U$4:$U$11,1,1),$AC$2):INDEX($BL$5:$BR$50,INDEX($U$4:$U$11,1,1)+ROW()-5,$AC$2),DJ$3))</f>
        <v>0</v>
      </c>
      <c r="DL7">
        <f>IF(OR(ROW()-4&gt;INDEX($U$4:$U$11,$AC$2+1,1)-INDEX($U$4:$U$11,$AC$2,1),ROW()-4&gt;$AD$2),NA(),COUNTIF(INDEX($BL$5:$BR$50,INDEX($U$4:$U$11,1,1),$AC$2):INDEX($BL$5:$BR$50,INDEX($U$4:$U$11,1,1)+ROW()-5,$AC$2),DL$3))</f>
        <v>0</v>
      </c>
      <c r="DM7">
        <f>IF(OR(ROW()-4&gt;INDEX($U$4:$U$11,$AC$2+1,1)-INDEX($U$4:$U$11,$AC$2,1),ROW()-4&gt;$AD$2),NA(),COUNTIF(INDEX($BL$5:$BR$50,INDEX($U$4:$U$11,1,1),$AC$2):INDEX($BL$5:$BR$50,INDEX($U$4:$U$11,1,1)+ROW()-5,$AC$2),DM$3))</f>
        <v>0</v>
      </c>
      <c r="DN7">
        <f>IF(OR(ROW()-4&gt;INDEX($U$4:$U$11,$AC$2+1,1)-INDEX($U$4:$U$11,$AC$2,1),ROW()-4&gt;$AD$2),NA(),COUNTIF(INDEX($BL$5:$BR$50,INDEX($U$4:$U$11,1,1),$AC$2):INDEX($BL$5:$BR$50,INDEX($U$4:$U$11,1,1)+ROW()-5,$AC$2),DN$3))</f>
        <v>1</v>
      </c>
      <c r="DP7">
        <f>IF(OR(ROW()-4&gt;INDEX($U$4:$U$11,$AC$2+1,1)-INDEX($U$4:$U$11,$AC$2,1),ROW()-4&gt;$AD$2),NA(),COUNTIF(INDEX($BT$5:$BZ$201,INDEX($U$4:$U$11,1,1),$AC$2):INDEX($BT$5:$BZ$201,INDEX($U$4:$U$11,1,1)+ROW()-5,$AC$2),DP$3))</f>
        <v>2</v>
      </c>
      <c r="DQ7">
        <f>IF(OR(ROW()-4&gt;INDEX($U$4:$U$11,$AC$2+1,1)-INDEX($U$4:$U$11,$AC$2,1),ROW()-4&gt;$AD$2),NA(),COUNTIF(INDEX($BT$5:$BZ$201,INDEX($U$4:$U$11,1,1),$AC$2):INDEX($BT$5:$BZ$201,INDEX($U$4:$U$11,1,1)+ROW()-5,$AC$2),DQ$3))</f>
        <v>0</v>
      </c>
      <c r="DS7">
        <f>IF(OR(ROW()-4&gt;INDEX($U$4:$U$11,$AC$2+1,1)-INDEX($U$4:$U$11,$AC$2,1),ROW()-4&gt;$AD$2),NA(),COUNTIF(INDEX($BT$5:$BZ$201,INDEX($U$4:$U$11,1,1),$AC$2):INDEX($BT$5:$BZ$201,INDEX($U$4:$U$11,1,1)+ROW()-5,$AC$2),DS$3))</f>
        <v>1</v>
      </c>
      <c r="DT7">
        <f>IF(OR(ROW()-4&gt;INDEX($U$4:$U$11,$AC$2+1,1)-INDEX($U$4:$U$11,$AC$2,1),ROW()-4&gt;$AD$2),NA(),COUNTIF(INDEX($BT$5:$BZ$201,INDEX($U$4:$U$11,1,1),$AC$2):INDEX($BT$5:$BZ$201,INDEX($U$4:$U$11,1,1)+ROW()-5,$AC$2),DT$3))</f>
        <v>0</v>
      </c>
      <c r="DV7">
        <f>IF(OR(ROW()-4&gt;INDEX($U$4:$U$11,$AC$2+1,1)-INDEX($U$4:$U$11,$AC$2,1),ROW()-4&gt;$AD$2),NA(),COUNTIF(INDEX($CB$5:$CH$201,INDEX($U$4:$U$11,1,1),$AC$2):INDEX($CB$5:$CH$201,INDEX($U$4:$U$11,1,1)+ROW()-5,$AC$2),DV$3))</f>
        <v>0</v>
      </c>
      <c r="DW7">
        <f>IF(OR(ROW()-4&gt;INDEX($U$4:$U$11,$AC$2+1,1)-INDEX($U$4:$U$11,$AC$2,1),ROW()-4&gt;$AD$2),NA(),COUNTIF(INDEX($CB$5:$CH$201,INDEX($U$4:$U$11,1,1),$AC$2):INDEX($CB$5:$CH$201,INDEX($U$4:$U$11,1,1)+ROW()-5,$AC$2),DW$3))</f>
        <v>0</v>
      </c>
      <c r="DX7">
        <f>IF(OR(ROW()-4&gt;INDEX($U$4:$U$11,$AC$2+1,1)-INDEX($U$4:$U$11,$AC$2,1),ROW()-4&gt;$AD$2),NA(),COUNTIF(INDEX($CB$5:$CH$201,INDEX($U$4:$U$11,1,1),$AC$2):INDEX($CB$5:$CH$201,INDEX($U$4:$U$11,1,1)+ROW()-5,$AC$2),DX$3))</f>
        <v>1</v>
      </c>
      <c r="DY7">
        <f>IF(OR(ROW()-4&gt;INDEX($U$4:$U$11,$AC$2+1,1)-INDEX($U$4:$U$11,$AC$2,1),ROW()-4&gt;$AD$2),NA(),COUNTIF(INDEX($CB$5:$CH$201,INDEX($U$4:$U$11,1,1),$AC$2):INDEX($CB$5:$CH$201,INDEX($U$4:$U$11,1,1)+ROW()-5,$AC$2),DY$3))</f>
        <v>0</v>
      </c>
      <c r="DZ7">
        <f>IF(OR(ROW()-4&gt;INDEX($U$4:$U$11,$AC$2+1,1)-INDEX($U$4:$U$11,$AC$2,1),ROW()-4&gt;$AD$2),NA(),COUNTIF(INDEX($CB$5:$CH$201,INDEX($U$4:$U$11,1,1),$AC$2):INDEX($CB$5:$CH$201,INDEX($U$4:$U$11,1,1)+ROW()-5,$AC$2),DZ$3))</f>
        <v>0</v>
      </c>
      <c r="EA7">
        <f>IF(OR(ROW()-4&gt;INDEX($U$4:$U$11,$AC$2+1,1)-INDEX($U$4:$U$11,$AC$2,1),ROW()-4&gt;$AD$2),NA(),COUNTIF(INDEX($CB$5:$CH$201,INDEX($U$4:$U$11,1,1),$AC$2):INDEX($CB$5:$CH$201,INDEX($U$4:$U$11,1,1)+ROW()-5,$AC$2),EA$3))</f>
        <v>1</v>
      </c>
      <c r="EB7">
        <f>IF(OR(ROW()-4&gt;INDEX($U$4:$U$11,$AC$2+1,1)-INDEX($U$4:$U$11,$AC$2,1),ROW()-4&gt;$AD$2),NA(),COUNTIF(INDEX($CB$5:$CH$201,INDEX($U$4:$U$11,1,1),$AC$2):INDEX($CB$5:$CH$201,INDEX($U$4:$U$11,1,1)+ROW()-5,$AC$2),EB$3))</f>
        <v>0</v>
      </c>
      <c r="EC7">
        <f>IF(OR(ROW()-4&gt;INDEX($U$4:$U$11,$AC$2+1,1)-INDEX($U$4:$U$11,$AC$2,1),ROW()-4&gt;$AD$2),NA(),COUNTIF(INDEX($CB$5:$CH$201,INDEX($U$4:$U$11,1,1),$AC$2):INDEX($CB$5:$CH$201,INDEX($U$4:$U$11,1,1)+ROW()-5,$AC$2),EC$3))</f>
        <v>0</v>
      </c>
      <c r="EE7">
        <f>IF(OR(ROW()-4&gt;INDEX($U$4:$U$11,$AC$2+1,1)-INDEX($U$4:$U$11,$AC$2,1),ROW()-4&gt;$AD$2),NA(),COUNTIF(INDEX($CB$5:$CH$201,INDEX($U$4:$U$11,1,1),$AC$2):INDEX($CB$5:$CH$201,INDEX($U$4:$U$11,1,1)+ROW()-5,$AC$2),EE$3))</f>
        <v>0</v>
      </c>
      <c r="EF7">
        <f>IF(OR(ROW()-4&gt;INDEX($U$4:$U$11,$AC$2+1,1)-INDEX($U$4:$U$11,$AC$2,1),ROW()-4&gt;$AD$2),NA(),COUNTIF(INDEX($CB$5:$CH$201,INDEX($U$4:$U$11,1,1),$AC$2):INDEX($CB$5:$CH$201,INDEX($U$4:$U$11,1,1)+ROW()-5,$AC$2),EF$3))</f>
        <v>0</v>
      </c>
      <c r="EG7">
        <f>IF(OR(ROW()-4&gt;INDEX($U$4:$U$11,$AC$2+1,1)-INDEX($U$4:$U$11,$AC$2,1),ROW()-4&gt;$AD$2),NA(),COUNTIF(INDEX($CB$5:$CH$201,INDEX($U$4:$U$11,1,1),$AC$2):INDEX($CB$5:$CH$201,INDEX($U$4:$U$11,1,1)+ROW()-5,$AC$2),EG$3))</f>
        <v>0</v>
      </c>
      <c r="EH7">
        <f>IF(OR(ROW()-4&gt;INDEX($U$4:$U$11,$AC$2+1,1)-INDEX($U$4:$U$11,$AC$2,1),ROW()-4&gt;$AD$2),NA(),COUNTIF(INDEX($CB$5:$CH$201,INDEX($U$4:$U$11,1,1),$AC$2):INDEX($CB$5:$CH$201,INDEX($U$4:$U$11,1,1)+ROW()-5,$AC$2),EH$3))</f>
        <v>0</v>
      </c>
      <c r="EI7">
        <f>IF(OR(ROW()-4&gt;INDEX($U$4:$U$11,$AC$2+1,1)-INDEX($U$4:$U$11,$AC$2,1),ROW()-4&gt;$AD$2),NA(),COUNTIF(INDEX($CB$5:$CH$201,INDEX($U$4:$U$11,1,1),$AC$2):INDEX($CB$5:$CH$201,INDEX($U$4:$U$11,1,1)+ROW()-5,$AC$2),EI$3))</f>
        <v>1</v>
      </c>
      <c r="EJ7">
        <f>IF(OR(ROW()-4&gt;INDEX($U$4:$U$11,$AC$2+1,1)-INDEX($U$4:$U$11,$AC$2,1),ROW()-4&gt;$AD$2),NA(),COUNTIF(INDEX($CB$5:$CH$201,INDEX($U$4:$U$11,1,1),$AC$2):INDEX($CB$5:$CH$201,INDEX($U$4:$U$11,1,1)+ROW()-5,$AC$2),EJ$3))</f>
        <v>0</v>
      </c>
      <c r="EK7">
        <f>IF(OR(ROW()-4&gt;INDEX($U$4:$U$11,$AC$2+1,1)-INDEX($U$4:$U$11,$AC$2,1),ROW()-4&gt;$AD$2),NA(),COUNTIF(INDEX($CB$5:$CH$201,INDEX($U$4:$U$11,1,1),$AC$2):INDEX($CB$5:$CH$201,INDEX($U$4:$U$11,1,1)+ROW()-5,$AC$2),EK$3))</f>
        <v>0</v>
      </c>
      <c r="EL7">
        <f>IF(OR(ROW()-4&gt;INDEX($U$4:$U$11,$AC$2+1,1)-INDEX($U$4:$U$11,$AC$2,1),ROW()-4&gt;$AD$2),NA(),COUNTIF(INDEX($CB$5:$CH$201,INDEX($U$4:$U$11,1,1),$AC$2):INDEX($CB$5:$CH$201,INDEX($U$4:$U$11,1,1)+ROW()-5,$AC$2),EL$3))</f>
        <v>0</v>
      </c>
      <c r="EN7">
        <f>IF(OR(ROW()-4&gt;INDEX($U$4:$U$11,$AC$2+1,1)-INDEX($U$4:$U$11,$AC$2,1),ROW()-4&gt;$AD$2),NA(),COUNTIF(INDEX($CJ$5:$CP$201,INDEX($U$4:$U$11,1,1),$AC$2):INDEX($CJ$5:$CP$201,INDEX($U$4:$U$11,1,1)+ROW()-5,$AC$2),EN$3))</f>
        <v>1</v>
      </c>
      <c r="EO7">
        <f>IF(OR(ROW()-4&gt;INDEX($U$4:$U$11,$AC$2+1,1)-INDEX($U$4:$U$11,$AC$2,1),ROW()-4&gt;$AD$2),NA(),COUNTIF(INDEX($CJ$5:$CP$201,INDEX($U$4:$U$11,1,1),$AC$2):INDEX($CJ$5:$CP$201,INDEX($U$4:$U$11,1,1)+ROW()-5,$AC$2),EO$3))</f>
        <v>0</v>
      </c>
      <c r="EQ7">
        <f>IF(OR(ROW()-4&gt;INDEX($U$4:$U$11,$AC$2+1,1)-INDEX($U$4:$U$11,$AC$2,1),ROW()-4&gt;$AD$2),NA(),COUNTIF(INDEX($CJ$5:$CP$201,INDEX($U$4:$U$11,1,1),$AC$2):INDEX($CJ$5:$CP$201,INDEX($U$4:$U$11,1,1)+ROW()-5,$AC$2),EQ$3))</f>
        <v>2</v>
      </c>
      <c r="ER7">
        <f>IF(OR(ROW()-4&gt;INDEX($U$4:$U$11,$AC$2+1,1)-INDEX($U$4:$U$11,$AC$2,1),ROW()-4&gt;$AD$2),NA(),COUNTIF(INDEX($CJ$5:$CP$201,INDEX($U$4:$U$11,1,1),$AC$2):INDEX($CJ$5:$CP$201,INDEX($U$4:$U$11,1,1)+ROW()-5,$AC$2),ER$3))</f>
        <v>0</v>
      </c>
      <c r="ET7">
        <f>IF(OR(ROW()-4&gt;INDEX($U$4:$U$11,$AC$2+1,1)-INDEX($U$4:$U$11,$AC$2,1),ROW()-4&gt;$AD$2),NA(),COUNTIF(INDEX($CR$5:$CX$201,INDEX($U$4:$U$11,1,1),$AC$2):INDEX($CR$5:$CX$201,INDEX($U$4:$U$11,1,1)+ROW()-5,$AC$2),ET$3))</f>
        <v>1</v>
      </c>
      <c r="EU7">
        <f>IF(OR(ROW()-4&gt;INDEX($U$4:$U$11,$AC$2+1,1)-INDEX($U$4:$U$11,$AC$2,1),ROW()-4&gt;$AD$2),NA(),COUNTIF(INDEX($CR$5:$CX$201,INDEX($U$4:$U$11,1,1),$AC$2):INDEX($CR$5:$CX$201,INDEX($U$4:$U$11,1,1)+ROW()-5,$AC$2),EU$3))</f>
        <v>0</v>
      </c>
      <c r="EV7">
        <f>IF(OR(ROW()-4&gt;INDEX($U$4:$U$11,$AC$2+1,1)-INDEX($U$4:$U$11,$AC$2,1),ROW()-4&gt;$AD$2),NA(),COUNTIF(INDEX($CR$5:$CX$201,INDEX($U$4:$U$11,1,1),$AC$2):INDEX($CR$5:$CX$201,INDEX($U$4:$U$11,1,1)+ROW()-5,$AC$2),EV$3))</f>
        <v>0</v>
      </c>
      <c r="EW7">
        <f>IF(OR(ROW()-4&gt;INDEX($U$4:$U$11,$AC$2+1,1)-INDEX($U$4:$U$11,$AC$2,1),ROW()-4&gt;$AD$2),NA(),COUNTIF(INDEX($CR$5:$CX$201,INDEX($U$4:$U$11,1,1),$AC$2):INDEX($CR$5:$CX$201,INDEX($U$4:$U$11,1,1)+ROW()-5,$AC$2),EW$3))</f>
        <v>0</v>
      </c>
      <c r="EX7">
        <f>IF(OR(ROW()-4&gt;INDEX($U$4:$U$11,$AC$2+1,1)-INDEX($U$4:$U$11,$AC$2,1),ROW()-4&gt;$AD$2),NA(),COUNTIF(INDEX($CR$5:$CX$201,INDEX($U$4:$U$11,1,1),$AC$2):INDEX($CR$5:$CX$201,INDEX($U$4:$U$11,1,1)+ROW()-5,$AC$2),EX$3))</f>
        <v>0</v>
      </c>
      <c r="EY7">
        <f>IF(OR(ROW()-4&gt;INDEX($U$4:$U$11,$AC$2+1,1)-INDEX($U$4:$U$11,$AC$2,1),ROW()-4&gt;$AD$2),NA(),COUNTIF(INDEX($CR$5:$CX$201,INDEX($U$4:$U$11,1,1),$AC$2):INDEX($CR$5:$CX$201,INDEX($U$4:$U$11,1,1)+ROW()-5,$AC$2),EY$3))</f>
        <v>0</v>
      </c>
      <c r="EZ7">
        <f>IF(OR(ROW()-4&gt;INDEX($U$4:$U$11,$AC$2+1,1)-INDEX($U$4:$U$11,$AC$2,1),ROW()-4&gt;$AD$2),NA(),COUNTIF(INDEX($CR$5:$CX$201,INDEX($U$4:$U$11,1,1),$AC$2):INDEX($CR$5:$CX$201,INDEX($U$4:$U$11,1,1)+ROW()-5,$AC$2),EZ$3))</f>
        <v>0</v>
      </c>
      <c r="FA7">
        <f>IF(OR(ROW()-4&gt;INDEX($U$4:$U$11,$AC$2+1,1)-INDEX($U$4:$U$11,$AC$2,1),ROW()-4&gt;$AD$2),NA(),COUNTIF(INDEX($CR$5:$CX$201,INDEX($U$4:$U$11,1,1),$AC$2):INDEX($CR$5:$CX$201,INDEX($U$4:$U$11,1,1)+ROW()-5,$AC$2),FA$3))</f>
        <v>0</v>
      </c>
      <c r="FC7">
        <f>IF(OR(ROW()-4&gt;INDEX($U$4:$U$11,$AC$2+1,1)-INDEX($U$4:$U$11,$AC$2,1),ROW()-4&gt;$AD$2),NA(),COUNTIF(INDEX($CR$5:$CX$201,INDEX($U$4:$U$11,1,1),$AC$2):INDEX($CR$5:$CX$201,INDEX($U$4:$U$11,1,1)+ROW()-5,$AC$2),FC$3))</f>
        <v>0</v>
      </c>
      <c r="FD7">
        <f>IF(OR(ROW()-4&gt;INDEX($U$4:$U$11,$AC$2+1,1)-INDEX($U$4:$U$11,$AC$2,1),ROW()-4&gt;$AD$2),NA(),COUNTIF(INDEX($CR$5:$CX$201,INDEX($U$4:$U$11,1,1),$AC$2):INDEX($CR$5:$CX$201,INDEX($U$4:$U$11,1,1)+ROW()-5,$AC$2),FD$3))</f>
        <v>0</v>
      </c>
      <c r="FE7">
        <f>IF(OR(ROW()-4&gt;INDEX($U$4:$U$11,$AC$2+1,1)-INDEX($U$4:$U$11,$AC$2,1),ROW()-4&gt;$AD$2),NA(),COUNTIF(INDEX($CR$5:$CX$201,INDEX($U$4:$U$11,1,1),$AC$2):INDEX($CR$5:$CX$201,INDEX($U$4:$U$11,1,1)+ROW()-5,$AC$2),FE$3))</f>
        <v>0</v>
      </c>
      <c r="FF7">
        <f>IF(OR(ROW()-4&gt;INDEX($U$4:$U$11,$AC$2+1,1)-INDEX($U$4:$U$11,$AC$2,1),ROW()-4&gt;$AD$2),NA(),COUNTIF(INDEX($CR$5:$CX$201,INDEX($U$4:$U$11,1,1),$AC$2):INDEX($CR$5:$CX$201,INDEX($U$4:$U$11,1,1)+ROW()-5,$AC$2),FF$3))</f>
        <v>1</v>
      </c>
      <c r="FG7">
        <f>IF(OR(ROW()-4&gt;INDEX($U$4:$U$11,$AC$2+1,1)-INDEX($U$4:$U$11,$AC$2,1),ROW()-4&gt;$AD$2),NA(),COUNTIF(INDEX($CR$5:$CX$201,INDEX($U$4:$U$11,1,1),$AC$2):INDEX($CR$5:$CX$201,INDEX($U$4:$U$11,1,1)+ROW()-5,$AC$2),FG$3))</f>
        <v>0</v>
      </c>
      <c r="FH7">
        <f>IF(OR(ROW()-4&gt;INDEX($U$4:$U$11,$AC$2+1,1)-INDEX($U$4:$U$11,$AC$2,1),ROW()-4&gt;$AD$2),NA(),COUNTIF(INDEX($CR$5:$CX$201,INDEX($U$4:$U$11,1,1),$AC$2):INDEX($CR$5:$CX$201,INDEX($U$4:$U$11,1,1)+ROW()-5,$AC$2),FH$3))</f>
        <v>1</v>
      </c>
      <c r="FI7">
        <f>IF(OR(ROW()-4&gt;INDEX($U$4:$U$11,$AC$2+1,1)-INDEX($U$4:$U$11,$AC$2,1),ROW()-4&gt;$AD$2),NA(),COUNTIF(INDEX($CR$5:$CX$201,INDEX($U$4:$U$11,1,1),$AC$2):INDEX($CR$5:$CX$201,INDEX($U$4:$U$11,1,1)+ROW()-5,$AC$2),FI$3))</f>
        <v>0</v>
      </c>
      <c r="FJ7">
        <f>IF(OR(ROW()-4&gt;INDEX($U$4:$U$11,$AC$2+1,1)-INDEX($U$4:$U$11,$AC$2,1),ROW()-4&gt;$AD$2),NA(),COUNTIF(INDEX($CR$5:$CX$201,INDEX($U$4:$U$11,1,1),$AC$2):INDEX($CR$5:$CX$201,INDEX($U$4:$U$11,1,1)+ROW()-5,$AC$2),FJ$3))</f>
        <v>0</v>
      </c>
      <c r="FL7">
        <f>IF(OR(ROW()-4&gt;INDEX($U$4:$U$11,$AC$2+1,1)-INDEX($U$4:$U$11,$AC$2,1),ROW()-4&gt;$AD$2),NA(),COUNTIF(INDEX($CZ$5:$DF$201,INDEX($U$4:$U$11,1,1),$AC$2):INDEX($CZ$5:$DF$201,INDEX($U$4:$U$11,1,1)+ROW()-5,$AC$2),FL$3))</f>
        <v>0</v>
      </c>
      <c r="FM7">
        <f>IF(OR(ROW()-4&gt;INDEX($U$4:$U$11,$AC$2+1,1)-INDEX($U$4:$U$11,$AC$2,1),ROW()-4&gt;$AD$2),NA(),COUNTIF(INDEX($CZ$5:$DF$201,INDEX($U$4:$U$11,1,1),$AC$2):INDEX($CZ$5:$DF$201,INDEX($U$4:$U$11,1,1)+ROW()-5,$AC$2),FM$3))</f>
        <v>0</v>
      </c>
      <c r="FN7">
        <f>IF(OR(ROW()-4&gt;INDEX($U$4:$U$11,$AC$2+1,1)-INDEX($U$4:$U$11,$AC$2,1),ROW()-4&gt;$AD$2),NA(),COUNTIF(INDEX($CZ$5:$DF$201,INDEX($U$4:$U$11,1,1),$AC$2):INDEX($CZ$5:$DF$201,INDEX($U$4:$U$11,1,1)+ROW()-5,$AC$2),FN$3))</f>
        <v>0</v>
      </c>
      <c r="FO7">
        <f>IF(OR(ROW()-4&gt;INDEX($U$4:$U$11,$AC$2+1,1)-INDEX($U$4:$U$11,$AC$2,1),ROW()-4&gt;$AD$2),NA(),COUNTIF(INDEX($CZ$5:$DF$201,INDEX($U$4:$U$11,1,1),$AC$2):INDEX($CZ$5:$DF$201,INDEX($U$4:$U$11,1,1)+ROW()-5,$AC$2),FO$3))</f>
        <v>1</v>
      </c>
      <c r="FP7">
        <f>IF(OR(ROW()-4&gt;INDEX($U$4:$U$11,$AC$2+1,1)-INDEX($U$4:$U$11,$AC$2,1),ROW()-4&gt;$AD$2),NA(),COUNTIF(INDEX($CZ$5:$DF$201,INDEX($U$4:$U$11,1,1),$AC$2):INDEX($CZ$5:$DF$201,INDEX($U$4:$U$11,1,1)+ROW()-5,$AC$2),FP$3))</f>
        <v>0</v>
      </c>
      <c r="FQ7">
        <f>IF(OR(ROW()-4&gt;INDEX($U$4:$U$11,$AC$2+1,1)-INDEX($U$4:$U$11,$AC$2,1),ROW()-4&gt;$AD$2),NA(),COUNTIF(INDEX($CZ$5:$DF$201,INDEX($U$4:$U$11,1,1),$AC$2):INDEX($CZ$5:$DF$201,INDEX($U$4:$U$11,1,1)+ROW()-5,$AC$2),FQ$3))</f>
        <v>0</v>
      </c>
      <c r="FR7">
        <f>IF(OR(ROW()-4&gt;INDEX($U$4:$U$11,$AC$2+1,1)-INDEX($U$4:$U$11,$AC$2,1),ROW()-4&gt;$AD$2),NA(),COUNTIF(INDEX($CZ$5:$DF$201,INDEX($U$4:$U$11,1,1),$AC$2):INDEX($CZ$5:$DF$201,INDEX($U$4:$U$11,1,1)+ROW()-5,$AC$2),FR$3))</f>
        <v>0</v>
      </c>
      <c r="FS7">
        <f>IF(OR(ROW()-4&gt;INDEX($U$4:$U$11,$AC$2+1,1)-INDEX($U$4:$U$11,$AC$2,1),ROW()-4&gt;$AD$2),NA(),COUNTIF(INDEX($CZ$5:$DF$201,INDEX($U$4:$U$11,1,1),$AC$2):INDEX($CZ$5:$DF$201,INDEX($U$4:$U$11,1,1)+ROW()-5,$AC$2),FS$3))</f>
        <v>0</v>
      </c>
      <c r="FT7">
        <f>IF(OR(ROW()-4&gt;INDEX($U$4:$U$11,$AC$2+1,1)-INDEX($U$4:$U$11,$AC$2,1),ROW()-4&gt;$AD$2),NA(),COUNTIF(INDEX($CZ$5:$DF$201,INDEX($U$4:$U$11,1,1),$AC$2):INDEX($CZ$5:$DF$201,INDEX($U$4:$U$11,1,1)+ROW()-5,$AC$2),FT$3))</f>
        <v>0</v>
      </c>
      <c r="FU7">
        <f>IF(OR(ROW()-4&gt;INDEX($U$4:$U$11,$AC$2+1,1)-INDEX($U$4:$U$11,$AC$2,1),ROW()-4&gt;$AD$2),NA(),COUNTIF(INDEX($CZ$5:$DF$201,INDEX($U$4:$U$11,1,1),$AC$2):INDEX($CZ$5:$DF$201,INDEX($U$4:$U$11,1,1)+ROW()-5,$AC$2),FU$3))</f>
        <v>0</v>
      </c>
      <c r="FW7">
        <f>IF(OR(ROW()-4&gt;INDEX($U$4:$U$11,$AC$2+1,1)-INDEX($U$4:$U$11,$AC$2,1),ROW()-4&gt;$AD$2),NA(),COUNTIF(INDEX($CZ$5:$DF$201,INDEX($U$4:$U$11,1,1),$AC$2):INDEX($CZ$5:$DF$201,INDEX($U$4:$U$11,1,1)+ROW()-5,$AC$2),FW$3))</f>
        <v>0</v>
      </c>
      <c r="FX7">
        <f>IF(OR(ROW()-4&gt;INDEX($U$4:$U$11,$AC$2+1,1)-INDEX($U$4:$U$11,$AC$2,1),ROW()-4&gt;$AD$2),NA(),COUNTIF(INDEX($CZ$5:$DF$201,INDEX($U$4:$U$11,1,1),$AC$2):INDEX($CZ$5:$DF$201,INDEX($U$4:$U$11,1,1)+ROW()-5,$AC$2),FX$3))</f>
        <v>1</v>
      </c>
      <c r="FY7">
        <f>IF(OR(ROW()-4&gt;INDEX($U$4:$U$11,$AC$2+1,1)-INDEX($U$4:$U$11,$AC$2,1),ROW()-4&gt;$AD$2),NA(),COUNTIF(INDEX($CZ$5:$DF$201,INDEX($U$4:$U$11,1,1),$AC$2):INDEX($CZ$5:$DF$201,INDEX($U$4:$U$11,1,1)+ROW()-5,$AC$2),FY$3))</f>
        <v>0</v>
      </c>
      <c r="FZ7">
        <f>IF(OR(ROW()-4&gt;INDEX($U$4:$U$11,$AC$2+1,1)-INDEX($U$4:$U$11,$AC$2,1),ROW()-4&gt;$AD$2),NA(),COUNTIF(INDEX($CZ$5:$DF$201,INDEX($U$4:$U$11,1,1),$AC$2):INDEX($CZ$5:$DF$201,INDEX($U$4:$U$11,1,1)+ROW()-5,$AC$2),FZ$3))</f>
        <v>0</v>
      </c>
      <c r="GA7">
        <f>IF(OR(ROW()-4&gt;INDEX($U$4:$U$11,$AC$2+1,1)-INDEX($U$4:$U$11,$AC$2,1),ROW()-4&gt;$AD$2),NA(),COUNTIF(INDEX($CZ$5:$DF$201,INDEX($U$4:$U$11,1,1),$AC$2):INDEX($CZ$5:$DF$201,INDEX($U$4:$U$11,1,1)+ROW()-5,$AC$2),GA$3))</f>
        <v>0</v>
      </c>
      <c r="GB7">
        <f>IF(OR(ROW()-4&gt;INDEX($U$4:$U$11,$AC$2+1,1)-INDEX($U$4:$U$11,$AC$2,1),ROW()-4&gt;$AD$2),NA(),COUNTIF(INDEX($CZ$5:$DF$201,INDEX($U$4:$U$11,1,1),$AC$2):INDEX($CZ$5:$DF$201,INDEX($U$4:$U$11,1,1)+ROW()-5,$AC$2),GB$3))</f>
        <v>0</v>
      </c>
      <c r="GC7">
        <f>IF(OR(ROW()-4&gt;INDEX($U$4:$U$11,$AC$2+1,1)-INDEX($U$4:$U$11,$AC$2,1),ROW()-4&gt;$AD$2),NA(),COUNTIF(INDEX($CZ$5:$DF$201,INDEX($U$4:$U$11,1,1),$AC$2):INDEX($CZ$5:$DF$201,INDEX($U$4:$U$11,1,1)+ROW()-5,$AC$2),GC$3))</f>
        <v>1</v>
      </c>
      <c r="GD7">
        <f>IF(OR(ROW()-4&gt;INDEX($U$4:$U$11,$AC$2+1,1)-INDEX($U$4:$U$11,$AC$2,1),ROW()-4&gt;$AD$2),NA(),COUNTIF(INDEX($CZ$5:$DF$201,INDEX($U$4:$U$11,1,1),$AC$2):INDEX($CZ$5:$DF$201,INDEX($U$4:$U$11,1,1)+ROW()-5,$AC$2),GD$3))</f>
        <v>0</v>
      </c>
      <c r="GE7">
        <f>IF(OR(ROW()-4&gt;INDEX($U$4:$U$11,$AC$2+1,1)-INDEX($U$4:$U$11,$AC$2,1),ROW()-4&gt;$AD$2),NA(),COUNTIF(INDEX($CZ$5:$DF$201,INDEX($U$4:$U$11,1,1),$AC$2):INDEX($CZ$5:$DF$201,INDEX($U$4:$U$11,1,1)+ROW()-5,$AC$2),GE$3))</f>
        <v>0</v>
      </c>
      <c r="GF7">
        <f>IF(OR(ROW()-4&gt;INDEX($U$4:$U$11,$AC$2+1,1)-INDEX($U$4:$U$11,$AC$2,1),ROW()-4&gt;$AD$2),NA(),COUNTIF(INDEX($CZ$5:$DF$201,INDEX($U$4:$U$11,1,1),$AC$2):INDEX($CZ$5:$DF$201,INDEX($U$4:$U$11,1,1)+ROW()-5,$AC$2),GF$3))</f>
        <v>0</v>
      </c>
      <c r="GK7" t="s">
        <v>31</v>
      </c>
      <c r="GQ7" s="66">
        <f>INDEX($DV$4:$DV$40,$AD$2+1)-INDEX($DV$4:$DV$40,$AD$2)</f>
        <v>0</v>
      </c>
      <c r="GR7" s="66">
        <f>INDEX($DW$4:$DW$40,$AD$2+1)-INDEX($DW$4:$DW$40,$AD$2)</f>
        <v>0</v>
      </c>
      <c r="GS7" s="66">
        <f>INDEX($DX$4:$DX$40,$AD$2+1)-INDEX($DX$4:$DX$40,$AD$2)</f>
        <v>0</v>
      </c>
      <c r="GT7" s="66">
        <f>INDEX($DY$4:$DY$40,$AD$2+1)-INDEX($DY$4:$DY$40,$AD$2)</f>
        <v>0</v>
      </c>
      <c r="GV7" s="67">
        <f>INDEX($EE$4:$EE$40,$AD$2+1)-INDEX($EE$4:$EE$40,$AD$2)</f>
        <v>0</v>
      </c>
      <c r="GW7" s="67">
        <f>INDEX($EF$4:$EF$40,$AD$2+1)-INDEX($EF$4:$EF$40,$AD$2)</f>
        <v>0</v>
      </c>
      <c r="GX7" s="67">
        <f>INDEX($EG$4:$EG$40,$AD$2+1)-INDEX($EG$4:$EG$40,$AD$2)</f>
        <v>0</v>
      </c>
      <c r="GY7" s="67">
        <f>INDEX($EH$4:$EH$40,$AD$2+1)-INDEX($EH$4:$EH$40,$AD$2)</f>
        <v>0</v>
      </c>
      <c r="HE7" t="s">
        <v>59</v>
      </c>
      <c r="HF7">
        <f>INDEX($EY$5:$EY$40,$AD$2)</f>
        <v>3</v>
      </c>
      <c r="HG7">
        <f>INDEX($EY$4:$EY$40,$AD$2+1)-INDEX($EY$4:$EY$40,$AD$2)</f>
        <v>1</v>
      </c>
      <c r="HH7" s="59">
        <f>INDEX($EY$55:$EY$90,$AD$2)</f>
        <v>3</v>
      </c>
      <c r="HI7" s="59">
        <f t="shared" si="0"/>
        <v>0</v>
      </c>
      <c r="HM7" s="66" t="s">
        <v>66</v>
      </c>
      <c r="HN7" s="66"/>
      <c r="HO7" s="66"/>
      <c r="HP7" s="66"/>
    </row>
    <row r="8" spans="1:224" x14ac:dyDescent="0.45">
      <c r="A8" t="str">
        <f>データの貼付!A6</f>
        <v>FENG Tianwei</v>
      </c>
      <c r="B8">
        <f>データの貼付!B6</f>
        <v>1.498402777777778E-3</v>
      </c>
      <c r="C8">
        <f>データの貼付!C6</f>
        <v>9.8854166666666673E-5</v>
      </c>
      <c r="D8">
        <f>データの貼付!D6</f>
        <v>0</v>
      </c>
      <c r="E8" t="str">
        <f>データの貼付!F6</f>
        <v>KIHARA Miyuu</v>
      </c>
      <c r="F8">
        <f>データの貼付!E6</f>
        <v>0</v>
      </c>
      <c r="G8" t="str">
        <f>データの貼付!G6</f>
        <v>#06</v>
      </c>
      <c r="H8" t="str">
        <f>データの貼付!H6</f>
        <v>FENG Tianwei</v>
      </c>
      <c r="I8" t="str">
        <f>データの貼付!I6</f>
        <v>Side</v>
      </c>
      <c r="J8" t="str">
        <f>データの貼付!J6</f>
        <v>B</v>
      </c>
      <c r="K8" t="str">
        <f>データの貼付!K6</f>
        <v>BS</v>
      </c>
      <c r="L8" t="str">
        <f>データの貼付!L6</f>
        <v>B</v>
      </c>
      <c r="M8" t="str">
        <f>データの貼付!M6</f>
        <v>Push</v>
      </c>
      <c r="N8" t="str">
        <f>データの貼付!N6</f>
        <v>BM</v>
      </c>
      <c r="R8">
        <f t="shared" si="59"/>
        <v>0</v>
      </c>
      <c r="S8">
        <f>SUM(R$4:R8)</f>
        <v>1</v>
      </c>
      <c r="T8" t="str">
        <f t="shared" si="60"/>
        <v/>
      </c>
      <c r="U8">
        <f>IF(TYPE(U7+MATCH(1,INDEX(R$4:R$200,U7+1):INDEX(R$4:R$200,197),0))=16,"",U7+MATCH(1,INDEX(R$4:R$200,U7+1):INDEX(R$4:R$200,197),0))</f>
        <v>68</v>
      </c>
      <c r="V8" t="str">
        <f t="shared" si="61"/>
        <v>FENG Tianwei</v>
      </c>
      <c r="W8" t="str">
        <f t="shared" si="57"/>
        <v>KIHARA Miyuu_FENG Tianwei</v>
      </c>
      <c r="X8" t="str">
        <f t="shared" si="58"/>
        <v>KIHARA Miyuu_#06</v>
      </c>
      <c r="AC8" s="8">
        <f>IF(OR(ROW()-4&gt;INDEX($U$4:$U$11,AC$2+1)-INDEX($U$4:$U$11,AC$2),ROW()-4&gt;AD$2),NA(),COUNTIF(INDEX($W$4:$W$200,INDEX($U$4:$U$11,AC$2)):INDEX($W$4:$W$200,INDEX($U$4:$U$11,AC$2)+ROW()-5),AC$3&amp;"_"&amp;AC$3)/(COUNTIF(INDEX($W$4:$W$200,INDEX($U$4:$U$11,AC$2)):INDEX($W$4:$W$200,INDEX($U$4:$U$11,AC$2)+ROW()-5),AC$3&amp;"_"&amp;AC$3)+COUNTIF(INDEX($W$4:$W$200,INDEX($U$4:$U$11,AC$2)):INDEX($W$4:$W$200,INDEX($U$4:$U$11,AC$2)+ROW()-5),AD$3&amp;"_"&amp;AC$3)))</f>
        <v>0</v>
      </c>
      <c r="AD8" s="8">
        <f>IF(OR(ROW()-4&gt;INDEX($U$4:$U$11,AC$2+1)-INDEX($U$4:$U$11,AC$2),ROW()-4&gt;AD$2),NA(),COUNTIF(INDEX($W$4:$W$200,INDEX($U$4:$U$11,AC$2)):INDEX($W$4:$W$200,INDEX($U$4:$U$11,AC$2)+ROW()-5),AD$3&amp;"_"&amp;AD$3)/(COUNTIF(INDEX($W$4:$W$200,INDEX($U$4:$U$11,AC$2)):INDEX($W$4:$W$200,INDEX($U$4:$U$11,AC$2)+ROW()-5),AD$3&amp;"_"&amp;AD$3)+COUNTIF(INDEX($W$4:$W$200,INDEX($U$4:$U$11,AC$2)):INDEX($W$4:$W$200,INDEX($U$4:$U$11,AC$2)+ROW()-5),AC$3&amp;"_"&amp;AD$3)))</f>
        <v>0.5</v>
      </c>
      <c r="AE8" s="10">
        <f>IF(OR(ROW()-4&gt;INDEX($U$4:$U$11,AC$2+1)-INDEX($U$4:$U$11,AC$2),ROW()-4&gt;AD$2),NA(),COUNTIF(INDEX($W$4:$W$200,INDEX($U$4:$U$11,AC$2)):INDEX($W$4:$W$200,INDEX($U$4:$U$11,AC$2)+ROW()-5),AC$3&amp;"_"&amp;AD$3)/(COUNTIF(INDEX($W$4:$W$200,INDEX($U$4:$U$11,AC$2)):INDEX($W$4:$W$200,INDEX($U$4:$U$11,AC$2)+ROW()-5),AC$3&amp;"_"&amp;AD$3)+COUNTIF(INDEX($W$4:$W$200,INDEX($U$4:$U$11,AC$2)):INDEX($W$4:$W$200,INDEX($U$4:$U$11,AC$2)+ROW()-5),AD$3&amp;"_"&amp;AD$3)))</f>
        <v>0.5</v>
      </c>
      <c r="AF8" s="10">
        <f>IF(OR(ROW()-4&gt;INDEX($U$4:$U$11,AC$2+1)-INDEX($U$4:$U$11,AC$2),ROW()-4&gt;AD$2),NA(),COUNTIF(INDEX($W$4:$W$200,INDEX($U$4:$U$11,AC$2)):INDEX($W$4:$W$200,INDEX($U$4:$U$11,AC$2)+ROW()-5),AD$3&amp;"_"&amp;AC$3)/(COUNTIF(INDEX($W$4:$W$200,INDEX($U$4:$U$11,AC$2)):INDEX($W$4:$W$200,INDEX($U$4:$U$11,AC$2)+ROW()-5),AD$3&amp;"_"&amp;AC$3)+COUNTIF(INDEX($W$4:$W$200,INDEX($U$4:$U$11,AC$2)):INDEX($W$4:$W$200,INDEX($U$4:$U$11,AC$2)+ROW()-5),AC$3&amp;"_"&amp;AC$3)))</f>
        <v>1</v>
      </c>
      <c r="AG8" s="10">
        <f>IF(OR(ROW()-4&gt;INDEX($U$4:$U$11,AC$2+1)-INDEX($U$4:$U$11,AC$2),ROW()-4&gt;AD$2),NA(),COUNTIF(INDEX($X$4:$X$200,INDEX($U$4:$U$11,AC$2)):INDEX($X$4:$X$200,INDEX($U$4:$U$11,AC$2)+ROW()-5),AC$3&amp;"_#03")/(COUNTIF(INDEX($W$4:$W$200,INDEX($U$4:$U$11,AC$2)):INDEX($W$4:$W$200,INDEX($U$4:$U$11,AC$2)+ROW()-5),AC$3&amp;"_"&amp;AC$3)+COUNTIF(INDEX($W$4:$W$200,INDEX($U$4:$U$11,AC$2)):INDEX($W$4:$W$200,INDEX($U$4:$U$11,AC$2)+ROW()-5),AD$3&amp;"_"&amp;AC$3)))</f>
        <v>0</v>
      </c>
      <c r="AH8" s="10">
        <f>IF(OR(ROW()-4&gt;INDEX($U$4:$U$11,AC$2+1)-INDEX($U$4:$U$11,AC$2),ROW()-4&gt;AD$2),NA(),COUNTIF(INDEX($X$4:$X$200,INDEX($U$4:$U$11,AC$2)):INDEX($X$4:$X$200,INDEX($U$4:$U$11,AC$2)+ROW()-5),AD$3&amp;"_#03")/(COUNTIF(INDEX($W$4:$W$200,INDEX($U$4:$U$11,AC$2)):INDEX($W$4:$W$200,INDEX($U$4:$U$11,AC$2)+ROW()-5),AD$3&amp;"_"&amp;AD$3)+COUNTIF(INDEX($W$4:$W$200,INDEX($U$4:$U$11,AC$2)):INDEX($W$4:$W$200,INDEX($U$4:$U$11,AC$2)+ROW()-5),AC$3&amp;"_"&amp;AD$3)))</f>
        <v>0</v>
      </c>
      <c r="AI8" s="10">
        <f>IF(OR(ROW()-4&gt;INDEX($U$4:$U$11,AC$2+1)-INDEX($U$4:$U$11,AC$2),ROW()-4&gt;AD$2),NA(),(COUNTIF(INDEX($X$4:$X$200,INDEX($U$4:$U$11,AC$2)):INDEX($X$4:$X$200,INDEX($U$4:$U$11,AC$2)+ROW()-5),AC$3&amp;"_#03")-COUNTIF(INDEX($X$4:$X$200,INDEX($U$4:$U$11,AC$2)):INDEX($X$4:$X$200,INDEX($U$4:$U$11,AC$2)+ROW()-5),AD$3&amp;"_#02"))/(COUNTIF(INDEX($W$4:$W$200,INDEX($U$4:$U$11,AC$2)):INDEX($W$4:$W$200,INDEX($U$4:$U$11,AC$2)+ROW()-5),AC$3&amp;"_"&amp;AC$3)+COUNTIF(INDEX($W$4:$W$200,INDEX($U$4:$U$11,AC$2)):INDEX($W$4:$W$200,INDEX($U$4:$U$11,AC$2)+ROW()-5),AD$3&amp;"_"&amp;AC$3)))</f>
        <v>-0.5</v>
      </c>
      <c r="AJ8" s="10">
        <f>IF(OR(ROW()-4&gt;INDEX($U$4:$U$11,AC$2+1)-INDEX($U$4:$U$11,AC$2),ROW()-4&gt;AD$2),NA(),(COUNTIF(INDEX($X$4:$X$200,INDEX($U$4:$U$11,AC$2)):INDEX($X$4:$X$200,INDEX($U$4:$U$11,AC$2)+ROW()-5),AD$3&amp;"_#03")-COUNTIF(INDEX($X$4:$X$200,INDEX($U$4:$U$11,AC$2)):INDEX($X$4:$X$200,INDEX($U$4:$U$11,AC$2)+ROW()-5),AC$3&amp;"_#02"))/(COUNTIF(INDEX($W$4:$W$200,INDEX($U$4:$U$11,AC$2)):INDEX($W$4:$W$200,INDEX($U$4:$U$11,AC$2)+ROW()-5),AD$3&amp;"_"&amp;AD$3)+COUNTIF(INDEX($W$4:$W$200,INDEX($U$4:$U$11,AC$2)):INDEX($W$4:$W$200,INDEX($U$4:$U$11,AC$2)+ROW()-5),AC$3&amp;"_"&amp;AD$3)))</f>
        <v>0</v>
      </c>
      <c r="AK8" s="10">
        <f>IF(OR(ROW()-4&gt;INDEX($U$4:$U$11,AC$2+1)-INDEX($U$4:$U$11,AC$2),ROW()-4&gt;AD$2),NA(),(COUNTIF(INDEX($X$4:$X$200,INDEX($U$4:$U$11,AC$2)):INDEX($X$4:$X$200,INDEX($U$4:$U$11,AC$2)+ROW()-5),AC$3&amp;"_#01")+COUNTIF(INDEX($X$4:$X$200,INDEX($U$4:$U$11,AC$2)):INDEX($X$4:$X$200,INDEX($U$4:$U$11,AC$2)+ROW()-5),AC$3&amp;"_#03"))/(COUNTIF(INDEX($W$4:$W$200,INDEX($U$4:$U$11,AC$2)):INDEX($W$4:$W$200,INDEX($U$4:$U$11,AC$2)+ROW()-5),AC$3&amp;"_"&amp;AC$3)+COUNTIF(INDEX($W$4:$W$200,INDEX($U$4:$U$11,AC$2)):INDEX($W$4:$W$200,INDEX($U$4:$U$11,AC$2)+ROW()-5),AD$3&amp;"_"&amp;AC$3)))</f>
        <v>0</v>
      </c>
      <c r="AL8" s="10">
        <f>IF(OR(ROW()-4&gt;INDEX($U$4:$U$11,AC$2+1)-INDEX($U$4:$U$11,AC$2),ROW()-4&gt;AD$2),NA(),(COUNTIF(INDEX($X$4:$X$200,INDEX($U$4:$U$11,AC$2)):INDEX($X$4:$X$200,INDEX($U$4:$U$11,AC$2)+ROW()-5),AD$3&amp;"_#01")+COUNTIF(INDEX($X$4:$X$200,INDEX($U$4:$U$11,AC$2)):INDEX($X$4:$X$200,INDEX($U$4:$U$11,AC$2)+ROW()-5),AD$3&amp;"_#03"))/(COUNTIF(INDEX($W$4:$W$200,INDEX($U$4:$U$11,AC$2)):INDEX($W$4:$W$200,INDEX($U$4:$U$11,AC$2)+ROW()-5),AD$3&amp;"_"&amp;AD$3)+COUNTIF(INDEX($W$4:$W$200,INDEX($U$4:$U$11,AC$2)):INDEX($W$4:$W$200,INDEX($U$4:$U$11,AC$2)+ROW()-5),AC$3&amp;"_"&amp;AD$3)))</f>
        <v>0</v>
      </c>
      <c r="AN8">
        <f t="shared" si="125"/>
        <v>4</v>
      </c>
      <c r="AO8">
        <f t="shared" si="111"/>
        <v>21</v>
      </c>
      <c r="AP8">
        <f t="shared" si="112"/>
        <v>36</v>
      </c>
      <c r="AQ8">
        <f t="shared" si="113"/>
        <v>52</v>
      </c>
      <c r="AR8">
        <f t="shared" si="114"/>
        <v>71</v>
      </c>
      <c r="AS8" t="e">
        <f t="shared" si="115"/>
        <v>#VALUE!</v>
      </c>
      <c r="AT8" t="e">
        <f t="shared" si="116"/>
        <v>#VALUE!</v>
      </c>
      <c r="AV8" t="str">
        <f t="shared" si="117"/>
        <v>KIHARA Miyuu</v>
      </c>
      <c r="AW8" t="str">
        <f t="shared" si="63"/>
        <v>KIHARA Miyuu</v>
      </c>
      <c r="AX8" t="str">
        <f t="shared" si="64"/>
        <v>FENG Tianwei</v>
      </c>
      <c r="AY8" t="str">
        <f t="shared" si="65"/>
        <v>FENG Tianwei</v>
      </c>
      <c r="AZ8" t="str">
        <f t="shared" si="66"/>
        <v>FENG Tianwei</v>
      </c>
      <c r="BA8" t="e">
        <f t="shared" si="67"/>
        <v>#VALUE!</v>
      </c>
      <c r="BB8" t="e">
        <f t="shared" si="68"/>
        <v>#VALUE!</v>
      </c>
      <c r="BD8" t="str">
        <f t="shared" si="118"/>
        <v>KIHARA Miyuu</v>
      </c>
      <c r="BE8" t="str">
        <f t="shared" si="69"/>
        <v>FENG Tianwei</v>
      </c>
      <c r="BF8" t="str">
        <f t="shared" si="70"/>
        <v>KIHARA Miyuu</v>
      </c>
      <c r="BG8" t="str">
        <f t="shared" si="71"/>
        <v>FENG Tianwei</v>
      </c>
      <c r="BH8" t="str">
        <f t="shared" si="72"/>
        <v>KIHARA Miyuu</v>
      </c>
      <c r="BI8" t="e">
        <f t="shared" si="73"/>
        <v>#VALUE!</v>
      </c>
      <c r="BJ8" t="e">
        <f t="shared" si="74"/>
        <v>#VALUE!</v>
      </c>
      <c r="BL8" t="str">
        <f t="shared" si="119"/>
        <v>KIHARA Miyuu_(Side)</v>
      </c>
      <c r="BM8" t="str">
        <f t="shared" si="75"/>
        <v>FENG Tianwei_Back</v>
      </c>
      <c r="BN8" t="str">
        <f t="shared" si="76"/>
        <v>KIHARA Miyuu_(Side)</v>
      </c>
      <c r="BO8" t="str">
        <f t="shared" si="77"/>
        <v>FENG Tianwei_Side</v>
      </c>
      <c r="BP8" t="str">
        <f t="shared" si="78"/>
        <v>KIHARA Miyuu_(Side)</v>
      </c>
      <c r="BQ8" t="e">
        <f t="shared" si="79"/>
        <v>#VALUE!</v>
      </c>
      <c r="BR8" t="e">
        <f t="shared" si="80"/>
        <v>#VALUE!</v>
      </c>
      <c r="BT8" t="str">
        <f t="shared" si="120"/>
        <v>KIHARA Miyuu_B</v>
      </c>
      <c r="BU8" t="str">
        <f t="shared" si="81"/>
        <v>FENG Tianwei_B</v>
      </c>
      <c r="BV8" t="str">
        <f t="shared" si="82"/>
        <v>KIHARA Miyuu_B</v>
      </c>
      <c r="BW8" t="str">
        <f t="shared" si="83"/>
        <v>FENG Tianwei_B</v>
      </c>
      <c r="BX8" t="str">
        <f t="shared" si="84"/>
        <v>KIHARA Miyuu_B</v>
      </c>
      <c r="BY8" t="e">
        <f t="shared" si="85"/>
        <v>#VALUE!</v>
      </c>
      <c r="BZ8" t="e">
        <f t="shared" si="86"/>
        <v>#VALUE!</v>
      </c>
      <c r="CB8" t="str">
        <f t="shared" si="121"/>
        <v>KIHARA Miyuu_FS</v>
      </c>
      <c r="CC8" t="str">
        <f t="shared" si="87"/>
        <v>FENG Tianwei_FS</v>
      </c>
      <c r="CD8" t="str">
        <f t="shared" si="88"/>
        <v>KIHARA Miyuu_B</v>
      </c>
      <c r="CE8" t="str">
        <f t="shared" si="89"/>
        <v>FENG Tianwei_BM</v>
      </c>
      <c r="CF8" t="str">
        <f t="shared" si="90"/>
        <v>KIHARA Miyuu_B</v>
      </c>
      <c r="CG8" t="e">
        <f t="shared" si="91"/>
        <v>#VALUE!</v>
      </c>
      <c r="CH8" t="e">
        <f t="shared" si="92"/>
        <v>#VALUE!</v>
      </c>
      <c r="CJ8" t="str">
        <f t="shared" si="122"/>
        <v>FENG Tianwei_F</v>
      </c>
      <c r="CK8" t="str">
        <f t="shared" si="93"/>
        <v>KIHARA Miyuu_F</v>
      </c>
      <c r="CL8" t="str">
        <f t="shared" si="94"/>
        <v>FENG Tianwei_B</v>
      </c>
      <c r="CM8" t="str">
        <f t="shared" si="95"/>
        <v>KIHARA Miyuu_B</v>
      </c>
      <c r="CN8" t="str">
        <f t="shared" si="96"/>
        <v>FENG Tianwei_B</v>
      </c>
      <c r="CO8" t="e">
        <f t="shared" si="97"/>
        <v>#VALUE!</v>
      </c>
      <c r="CP8" t="e">
        <f t="shared" si="98"/>
        <v>#VALUE!</v>
      </c>
      <c r="CR8" t="str">
        <f t="shared" si="123"/>
        <v>FENG Tianwei_Push</v>
      </c>
      <c r="CS8" t="str">
        <f t="shared" si="99"/>
        <v>KIHARA Miyuu_Push</v>
      </c>
      <c r="CT8" t="str">
        <f t="shared" si="100"/>
        <v>FENG Tianwei_ドライブ</v>
      </c>
      <c r="CU8" t="str">
        <f t="shared" si="101"/>
        <v>KIHARA Miyuu_ドライブ</v>
      </c>
      <c r="CV8" t="str">
        <f t="shared" si="102"/>
        <v>FENG Tianwei_ドライブ</v>
      </c>
      <c r="CW8" t="e">
        <f t="shared" si="103"/>
        <v>#VALUE!</v>
      </c>
      <c r="CX8" t="e">
        <f t="shared" si="104"/>
        <v>#VALUE!</v>
      </c>
      <c r="CZ8" t="str">
        <f t="shared" si="124"/>
        <v>FENG Tianwei_B</v>
      </c>
      <c r="DA8" t="str">
        <f t="shared" si="105"/>
        <v>KIHARA Miyuu_BM</v>
      </c>
      <c r="DB8" t="str">
        <f t="shared" si="106"/>
        <v>FENG Tianwei_F</v>
      </c>
      <c r="DC8" t="str">
        <f t="shared" si="107"/>
        <v>KIHARA Miyuu_B</v>
      </c>
      <c r="DD8" t="str">
        <f t="shared" si="108"/>
        <v>FENG Tianwei_BM</v>
      </c>
      <c r="DE8" t="e">
        <f t="shared" si="109"/>
        <v>#VALUE!</v>
      </c>
      <c r="DF8" t="e">
        <f t="shared" si="110"/>
        <v>#VALUE!</v>
      </c>
      <c r="DH8">
        <f>IF(OR(ROW()-4&gt;INDEX($U$4:$U$11,$AC$2+1,1)-INDEX($U$4:$U$11,$AC$2,1),ROW()-4&gt;$AD$2),NA(),COUNTIF(INDEX($BL$5:$BR$50,INDEX($U$4:$U$11,1,1),$AC$2):INDEX($BL$5:$BR$50,INDEX($U$4:$U$11,1,1)+ROW()-5,$AC$2),DH$3))</f>
        <v>1</v>
      </c>
      <c r="DI8">
        <f>IF(OR(ROW()-4&gt;INDEX($U$4:$U$11,$AC$2+1,1)-INDEX($U$4:$U$11,$AC$2,1),ROW()-4&gt;$AD$2),NA(),COUNTIF(INDEX($BL$5:$BR$50,INDEX($U$4:$U$11,1,1),$AC$2):INDEX($BL$5:$BR$50,INDEX($U$4:$U$11,1,1)+ROW()-5,$AC$2),DI$3))</f>
        <v>1</v>
      </c>
      <c r="DJ8">
        <f>IF(OR(ROW()-4&gt;INDEX($U$4:$U$11,$AC$2+1,1)-INDEX($U$4:$U$11,$AC$2,1),ROW()-4&gt;$AD$2),NA(),COUNTIF(INDEX($BL$5:$BR$50,INDEX($U$4:$U$11,1,1),$AC$2):INDEX($BL$5:$BR$50,INDEX($U$4:$U$11,1,1)+ROW()-5,$AC$2),DJ$3))</f>
        <v>0</v>
      </c>
      <c r="DL8">
        <f>IF(OR(ROW()-4&gt;INDEX($U$4:$U$11,$AC$2+1,1)-INDEX($U$4:$U$11,$AC$2,1),ROW()-4&gt;$AD$2),NA(),COUNTIF(INDEX($BL$5:$BR$50,INDEX($U$4:$U$11,1,1),$AC$2):INDEX($BL$5:$BR$50,INDEX($U$4:$U$11,1,1)+ROW()-5,$AC$2),DL$3))</f>
        <v>0</v>
      </c>
      <c r="DM8">
        <f>IF(OR(ROW()-4&gt;INDEX($U$4:$U$11,$AC$2+1,1)-INDEX($U$4:$U$11,$AC$2,1),ROW()-4&gt;$AD$2),NA(),COUNTIF(INDEX($BL$5:$BR$50,INDEX($U$4:$U$11,1,1),$AC$2):INDEX($BL$5:$BR$50,INDEX($U$4:$U$11,1,1)+ROW()-5,$AC$2),DM$3))</f>
        <v>0</v>
      </c>
      <c r="DN8">
        <f>IF(OR(ROW()-4&gt;INDEX($U$4:$U$11,$AC$2+1,1)-INDEX($U$4:$U$11,$AC$2,1),ROW()-4&gt;$AD$2),NA(),COUNTIF(INDEX($BL$5:$BR$50,INDEX($U$4:$U$11,1,1),$AC$2):INDEX($BL$5:$BR$50,INDEX($U$4:$U$11,1,1)+ROW()-5,$AC$2),DN$3))</f>
        <v>2</v>
      </c>
      <c r="DP8">
        <f>IF(OR(ROW()-4&gt;INDEX($U$4:$U$11,$AC$2+1,1)-INDEX($U$4:$U$11,$AC$2,1),ROW()-4&gt;$AD$2),NA(),COUNTIF(INDEX($BT$5:$BZ$201,INDEX($U$4:$U$11,1,1),$AC$2):INDEX($BT$5:$BZ$201,INDEX($U$4:$U$11,1,1)+ROW()-5,$AC$2),DP$3))</f>
        <v>2</v>
      </c>
      <c r="DQ8">
        <f>IF(OR(ROW()-4&gt;INDEX($U$4:$U$11,$AC$2+1,1)-INDEX($U$4:$U$11,$AC$2,1),ROW()-4&gt;$AD$2),NA(),COUNTIF(INDEX($BT$5:$BZ$201,INDEX($U$4:$U$11,1,1),$AC$2):INDEX($BT$5:$BZ$201,INDEX($U$4:$U$11,1,1)+ROW()-5,$AC$2),DQ$3))</f>
        <v>0</v>
      </c>
      <c r="DS8">
        <f>IF(OR(ROW()-4&gt;INDEX($U$4:$U$11,$AC$2+1,1)-INDEX($U$4:$U$11,$AC$2,1),ROW()-4&gt;$AD$2),NA(),COUNTIF(INDEX($BT$5:$BZ$201,INDEX($U$4:$U$11,1,1),$AC$2):INDEX($BT$5:$BZ$201,INDEX($U$4:$U$11,1,1)+ROW()-5,$AC$2),DS$3))</f>
        <v>2</v>
      </c>
      <c r="DT8">
        <f>IF(OR(ROW()-4&gt;INDEX($U$4:$U$11,$AC$2+1,1)-INDEX($U$4:$U$11,$AC$2,1),ROW()-4&gt;$AD$2),NA(),COUNTIF(INDEX($BT$5:$BZ$201,INDEX($U$4:$U$11,1,1),$AC$2):INDEX($BT$5:$BZ$201,INDEX($U$4:$U$11,1,1)+ROW()-5,$AC$2),DT$3))</f>
        <v>0</v>
      </c>
      <c r="DV8">
        <f>IF(OR(ROW()-4&gt;INDEX($U$4:$U$11,$AC$2+1,1)-INDEX($U$4:$U$11,$AC$2,1),ROW()-4&gt;$AD$2),NA(),COUNTIF(INDEX($CB$5:$CH$201,INDEX($U$4:$U$11,1,1),$AC$2):INDEX($CB$5:$CH$201,INDEX($U$4:$U$11,1,1)+ROW()-5,$AC$2),DV$3))</f>
        <v>0</v>
      </c>
      <c r="DW8">
        <f>IF(OR(ROW()-4&gt;INDEX($U$4:$U$11,$AC$2+1,1)-INDEX($U$4:$U$11,$AC$2,1),ROW()-4&gt;$AD$2),NA(),COUNTIF(INDEX($CB$5:$CH$201,INDEX($U$4:$U$11,1,1),$AC$2):INDEX($CB$5:$CH$201,INDEX($U$4:$U$11,1,1)+ROW()-5,$AC$2),DW$3))</f>
        <v>0</v>
      </c>
      <c r="DX8">
        <f>IF(OR(ROW()-4&gt;INDEX($U$4:$U$11,$AC$2+1,1)-INDEX($U$4:$U$11,$AC$2,1),ROW()-4&gt;$AD$2),NA(),COUNTIF(INDEX($CB$5:$CH$201,INDEX($U$4:$U$11,1,1),$AC$2):INDEX($CB$5:$CH$201,INDEX($U$4:$U$11,1,1)+ROW()-5,$AC$2),DX$3))</f>
        <v>1</v>
      </c>
      <c r="DY8">
        <f>IF(OR(ROW()-4&gt;INDEX($U$4:$U$11,$AC$2+1,1)-INDEX($U$4:$U$11,$AC$2,1),ROW()-4&gt;$AD$2),NA(),COUNTIF(INDEX($CB$5:$CH$201,INDEX($U$4:$U$11,1,1),$AC$2):INDEX($CB$5:$CH$201,INDEX($U$4:$U$11,1,1)+ROW()-5,$AC$2),DY$3))</f>
        <v>0</v>
      </c>
      <c r="DZ8">
        <f>IF(OR(ROW()-4&gt;INDEX($U$4:$U$11,$AC$2+1,1)-INDEX($U$4:$U$11,$AC$2,1),ROW()-4&gt;$AD$2),NA(),COUNTIF(INDEX($CB$5:$CH$201,INDEX($U$4:$U$11,1,1),$AC$2):INDEX($CB$5:$CH$201,INDEX($U$4:$U$11,1,1)+ROW()-5,$AC$2),DZ$3))</f>
        <v>0</v>
      </c>
      <c r="EA8">
        <f>IF(OR(ROW()-4&gt;INDEX($U$4:$U$11,$AC$2+1,1)-INDEX($U$4:$U$11,$AC$2,1),ROW()-4&gt;$AD$2),NA(),COUNTIF(INDEX($CB$5:$CH$201,INDEX($U$4:$U$11,1,1),$AC$2):INDEX($CB$5:$CH$201,INDEX($U$4:$U$11,1,1)+ROW()-5,$AC$2),EA$3))</f>
        <v>1</v>
      </c>
      <c r="EB8">
        <f>IF(OR(ROW()-4&gt;INDEX($U$4:$U$11,$AC$2+1,1)-INDEX($U$4:$U$11,$AC$2,1),ROW()-4&gt;$AD$2),NA(),COUNTIF(INDEX($CB$5:$CH$201,INDEX($U$4:$U$11,1,1),$AC$2):INDEX($CB$5:$CH$201,INDEX($U$4:$U$11,1,1)+ROW()-5,$AC$2),EB$3))</f>
        <v>0</v>
      </c>
      <c r="EC8">
        <f>IF(OR(ROW()-4&gt;INDEX($U$4:$U$11,$AC$2+1,1)-INDEX($U$4:$U$11,$AC$2,1),ROW()-4&gt;$AD$2),NA(),COUNTIF(INDEX($CB$5:$CH$201,INDEX($U$4:$U$11,1,1),$AC$2):INDEX($CB$5:$CH$201,INDEX($U$4:$U$11,1,1)+ROW()-5,$AC$2),EC$3))</f>
        <v>0</v>
      </c>
      <c r="EE8">
        <f>IF(OR(ROW()-4&gt;INDEX($U$4:$U$11,$AC$2+1,1)-INDEX($U$4:$U$11,$AC$2,1),ROW()-4&gt;$AD$2),NA(),COUNTIF(INDEX($CB$5:$CH$201,INDEX($U$4:$U$11,1,1),$AC$2):INDEX($CB$5:$CH$201,INDEX($U$4:$U$11,1,1)+ROW()-5,$AC$2),EE$3))</f>
        <v>0</v>
      </c>
      <c r="EF8">
        <f>IF(OR(ROW()-4&gt;INDEX($U$4:$U$11,$AC$2+1,1)-INDEX($U$4:$U$11,$AC$2,1),ROW()-4&gt;$AD$2),NA(),COUNTIF(INDEX($CB$5:$CH$201,INDEX($U$4:$U$11,1,1),$AC$2):INDEX($CB$5:$CH$201,INDEX($U$4:$U$11,1,1)+ROW()-5,$AC$2),EF$3))</f>
        <v>0</v>
      </c>
      <c r="EG8">
        <f>IF(OR(ROW()-4&gt;INDEX($U$4:$U$11,$AC$2+1,1)-INDEX($U$4:$U$11,$AC$2,1),ROW()-4&gt;$AD$2),NA(),COUNTIF(INDEX($CB$5:$CH$201,INDEX($U$4:$U$11,1,1),$AC$2):INDEX($CB$5:$CH$201,INDEX($U$4:$U$11,1,1)+ROW()-5,$AC$2),EG$3))</f>
        <v>0</v>
      </c>
      <c r="EH8">
        <f>IF(OR(ROW()-4&gt;INDEX($U$4:$U$11,$AC$2+1,1)-INDEX($U$4:$U$11,$AC$2,1),ROW()-4&gt;$AD$2),NA(),COUNTIF(INDEX($CB$5:$CH$201,INDEX($U$4:$U$11,1,1),$AC$2):INDEX($CB$5:$CH$201,INDEX($U$4:$U$11,1,1)+ROW()-5,$AC$2),EH$3))</f>
        <v>1</v>
      </c>
      <c r="EI8">
        <f>IF(OR(ROW()-4&gt;INDEX($U$4:$U$11,$AC$2+1,1)-INDEX($U$4:$U$11,$AC$2,1),ROW()-4&gt;$AD$2),NA(),COUNTIF(INDEX($CB$5:$CH$201,INDEX($U$4:$U$11,1,1),$AC$2):INDEX($CB$5:$CH$201,INDEX($U$4:$U$11,1,1)+ROW()-5,$AC$2),EI$3))</f>
        <v>1</v>
      </c>
      <c r="EJ8">
        <f>IF(OR(ROW()-4&gt;INDEX($U$4:$U$11,$AC$2+1,1)-INDEX($U$4:$U$11,$AC$2,1),ROW()-4&gt;$AD$2),NA(),COUNTIF(INDEX($CB$5:$CH$201,INDEX($U$4:$U$11,1,1),$AC$2):INDEX($CB$5:$CH$201,INDEX($U$4:$U$11,1,1)+ROW()-5,$AC$2),EJ$3))</f>
        <v>0</v>
      </c>
      <c r="EK8">
        <f>IF(OR(ROW()-4&gt;INDEX($U$4:$U$11,$AC$2+1,1)-INDEX($U$4:$U$11,$AC$2,1),ROW()-4&gt;$AD$2),NA(),COUNTIF(INDEX($CB$5:$CH$201,INDEX($U$4:$U$11,1,1),$AC$2):INDEX($CB$5:$CH$201,INDEX($U$4:$U$11,1,1)+ROW()-5,$AC$2),EK$3))</f>
        <v>0</v>
      </c>
      <c r="EL8">
        <f>IF(OR(ROW()-4&gt;INDEX($U$4:$U$11,$AC$2+1,1)-INDEX($U$4:$U$11,$AC$2,1),ROW()-4&gt;$AD$2),NA(),COUNTIF(INDEX($CB$5:$CH$201,INDEX($U$4:$U$11,1,1),$AC$2):INDEX($CB$5:$CH$201,INDEX($U$4:$U$11,1,1)+ROW()-5,$AC$2),EL$3))</f>
        <v>0</v>
      </c>
      <c r="EN8">
        <f>IF(OR(ROW()-4&gt;INDEX($U$4:$U$11,$AC$2+1,1)-INDEX($U$4:$U$11,$AC$2,1),ROW()-4&gt;$AD$2),NA(),COUNTIF(INDEX($CJ$5:$CP$201,INDEX($U$4:$U$11,1,1),$AC$2):INDEX($CJ$5:$CP$201,INDEX($U$4:$U$11,1,1)+ROW()-5,$AC$2),EN$3))</f>
        <v>2</v>
      </c>
      <c r="EO8">
        <f>IF(OR(ROW()-4&gt;INDEX($U$4:$U$11,$AC$2+1,1)-INDEX($U$4:$U$11,$AC$2,1),ROW()-4&gt;$AD$2),NA(),COUNTIF(INDEX($CJ$5:$CP$201,INDEX($U$4:$U$11,1,1),$AC$2):INDEX($CJ$5:$CP$201,INDEX($U$4:$U$11,1,1)+ROW()-5,$AC$2),EO$3))</f>
        <v>0</v>
      </c>
      <c r="EQ8">
        <f>IF(OR(ROW()-4&gt;INDEX($U$4:$U$11,$AC$2+1,1)-INDEX($U$4:$U$11,$AC$2,1),ROW()-4&gt;$AD$2),NA(),COUNTIF(INDEX($CJ$5:$CP$201,INDEX($U$4:$U$11,1,1),$AC$2):INDEX($CJ$5:$CP$201,INDEX($U$4:$U$11,1,1)+ROW()-5,$AC$2),EQ$3))</f>
        <v>2</v>
      </c>
      <c r="ER8">
        <f>IF(OR(ROW()-4&gt;INDEX($U$4:$U$11,$AC$2+1,1)-INDEX($U$4:$U$11,$AC$2,1),ROW()-4&gt;$AD$2),NA(),COUNTIF(INDEX($CJ$5:$CP$201,INDEX($U$4:$U$11,1,1),$AC$2):INDEX($CJ$5:$CP$201,INDEX($U$4:$U$11,1,1)+ROW()-5,$AC$2),ER$3))</f>
        <v>0</v>
      </c>
      <c r="ET8">
        <f>IF(OR(ROW()-4&gt;INDEX($U$4:$U$11,$AC$2+1,1)-INDEX($U$4:$U$11,$AC$2,1),ROW()-4&gt;$AD$2),NA(),COUNTIF(INDEX($CR$5:$CX$201,INDEX($U$4:$U$11,1,1),$AC$2):INDEX($CR$5:$CX$201,INDEX($U$4:$U$11,1,1)+ROW()-5,$AC$2),ET$3))</f>
        <v>1</v>
      </c>
      <c r="EU8">
        <f>IF(OR(ROW()-4&gt;INDEX($U$4:$U$11,$AC$2+1,1)-INDEX($U$4:$U$11,$AC$2,1),ROW()-4&gt;$AD$2),NA(),COUNTIF(INDEX($CR$5:$CX$201,INDEX($U$4:$U$11,1,1),$AC$2):INDEX($CR$5:$CX$201,INDEX($U$4:$U$11,1,1)+ROW()-5,$AC$2),EU$3))</f>
        <v>0</v>
      </c>
      <c r="EV8">
        <f>IF(OR(ROW()-4&gt;INDEX($U$4:$U$11,$AC$2+1,1)-INDEX($U$4:$U$11,$AC$2,1),ROW()-4&gt;$AD$2),NA(),COUNTIF(INDEX($CR$5:$CX$201,INDEX($U$4:$U$11,1,1),$AC$2):INDEX($CR$5:$CX$201,INDEX($U$4:$U$11,1,1)+ROW()-5,$AC$2),EV$3))</f>
        <v>0</v>
      </c>
      <c r="EW8">
        <f>IF(OR(ROW()-4&gt;INDEX($U$4:$U$11,$AC$2+1,1)-INDEX($U$4:$U$11,$AC$2,1),ROW()-4&gt;$AD$2),NA(),COUNTIF(INDEX($CR$5:$CX$201,INDEX($U$4:$U$11,1,1),$AC$2):INDEX($CR$5:$CX$201,INDEX($U$4:$U$11,1,1)+ROW()-5,$AC$2),EW$3))</f>
        <v>0</v>
      </c>
      <c r="EX8">
        <f>IF(OR(ROW()-4&gt;INDEX($U$4:$U$11,$AC$2+1,1)-INDEX($U$4:$U$11,$AC$2,1),ROW()-4&gt;$AD$2),NA(),COUNTIF(INDEX($CR$5:$CX$201,INDEX($U$4:$U$11,1,1),$AC$2):INDEX($CR$5:$CX$201,INDEX($U$4:$U$11,1,1)+ROW()-5,$AC$2),EX$3))</f>
        <v>0</v>
      </c>
      <c r="EY8">
        <f>IF(OR(ROW()-4&gt;INDEX($U$4:$U$11,$AC$2+1,1)-INDEX($U$4:$U$11,$AC$2,1),ROW()-4&gt;$AD$2),NA(),COUNTIF(INDEX($CR$5:$CX$201,INDEX($U$4:$U$11,1,1),$AC$2):INDEX($CR$5:$CX$201,INDEX($U$4:$U$11,1,1)+ROW()-5,$AC$2),EY$3))</f>
        <v>1</v>
      </c>
      <c r="EZ8">
        <f>IF(OR(ROW()-4&gt;INDEX($U$4:$U$11,$AC$2+1,1)-INDEX($U$4:$U$11,$AC$2,1),ROW()-4&gt;$AD$2),NA(),COUNTIF(INDEX($CR$5:$CX$201,INDEX($U$4:$U$11,1,1),$AC$2):INDEX($CR$5:$CX$201,INDEX($U$4:$U$11,1,1)+ROW()-5,$AC$2),EZ$3))</f>
        <v>0</v>
      </c>
      <c r="FA8">
        <f>IF(OR(ROW()-4&gt;INDEX($U$4:$U$11,$AC$2+1,1)-INDEX($U$4:$U$11,$AC$2,1),ROW()-4&gt;$AD$2),NA(),COUNTIF(INDEX($CR$5:$CX$201,INDEX($U$4:$U$11,1,1),$AC$2):INDEX($CR$5:$CX$201,INDEX($U$4:$U$11,1,1)+ROW()-5,$AC$2),FA$3))</f>
        <v>0</v>
      </c>
      <c r="FC8">
        <f>IF(OR(ROW()-4&gt;INDEX($U$4:$U$11,$AC$2+1,1)-INDEX($U$4:$U$11,$AC$2,1),ROW()-4&gt;$AD$2),NA(),COUNTIF(INDEX($CR$5:$CX$201,INDEX($U$4:$U$11,1,1),$AC$2):INDEX($CR$5:$CX$201,INDEX($U$4:$U$11,1,1)+ROW()-5,$AC$2),FC$3))</f>
        <v>0</v>
      </c>
      <c r="FD8">
        <f>IF(OR(ROW()-4&gt;INDEX($U$4:$U$11,$AC$2+1,1)-INDEX($U$4:$U$11,$AC$2,1),ROW()-4&gt;$AD$2),NA(),COUNTIF(INDEX($CR$5:$CX$201,INDEX($U$4:$U$11,1,1),$AC$2):INDEX($CR$5:$CX$201,INDEX($U$4:$U$11,1,1)+ROW()-5,$AC$2),FD$3))</f>
        <v>0</v>
      </c>
      <c r="FE8">
        <f>IF(OR(ROW()-4&gt;INDEX($U$4:$U$11,$AC$2+1,1)-INDEX($U$4:$U$11,$AC$2,1),ROW()-4&gt;$AD$2),NA(),COUNTIF(INDEX($CR$5:$CX$201,INDEX($U$4:$U$11,1,1),$AC$2):INDEX($CR$5:$CX$201,INDEX($U$4:$U$11,1,1)+ROW()-5,$AC$2),FE$3))</f>
        <v>0</v>
      </c>
      <c r="FF8">
        <f>IF(OR(ROW()-4&gt;INDEX($U$4:$U$11,$AC$2+1,1)-INDEX($U$4:$U$11,$AC$2,1),ROW()-4&gt;$AD$2),NA(),COUNTIF(INDEX($CR$5:$CX$201,INDEX($U$4:$U$11,1,1),$AC$2):INDEX($CR$5:$CX$201,INDEX($U$4:$U$11,1,1)+ROW()-5,$AC$2),FF$3))</f>
        <v>1</v>
      </c>
      <c r="FG8">
        <f>IF(OR(ROW()-4&gt;INDEX($U$4:$U$11,$AC$2+1,1)-INDEX($U$4:$U$11,$AC$2,1),ROW()-4&gt;$AD$2),NA(),COUNTIF(INDEX($CR$5:$CX$201,INDEX($U$4:$U$11,1,1),$AC$2):INDEX($CR$5:$CX$201,INDEX($U$4:$U$11,1,1)+ROW()-5,$AC$2),FG$3))</f>
        <v>0</v>
      </c>
      <c r="FH8">
        <f>IF(OR(ROW()-4&gt;INDEX($U$4:$U$11,$AC$2+1,1)-INDEX($U$4:$U$11,$AC$2,1),ROW()-4&gt;$AD$2),NA(),COUNTIF(INDEX($CR$5:$CX$201,INDEX($U$4:$U$11,1,1),$AC$2):INDEX($CR$5:$CX$201,INDEX($U$4:$U$11,1,1)+ROW()-5,$AC$2),FH$3))</f>
        <v>1</v>
      </c>
      <c r="FI8">
        <f>IF(OR(ROW()-4&gt;INDEX($U$4:$U$11,$AC$2+1,1)-INDEX($U$4:$U$11,$AC$2,1),ROW()-4&gt;$AD$2),NA(),COUNTIF(INDEX($CR$5:$CX$201,INDEX($U$4:$U$11,1,1),$AC$2):INDEX($CR$5:$CX$201,INDEX($U$4:$U$11,1,1)+ROW()-5,$AC$2),FI$3))</f>
        <v>0</v>
      </c>
      <c r="FJ8">
        <f>IF(OR(ROW()-4&gt;INDEX($U$4:$U$11,$AC$2+1,1)-INDEX($U$4:$U$11,$AC$2,1),ROW()-4&gt;$AD$2),NA(),COUNTIF(INDEX($CR$5:$CX$201,INDEX($U$4:$U$11,1,1),$AC$2):INDEX($CR$5:$CX$201,INDEX($U$4:$U$11,1,1)+ROW()-5,$AC$2),FJ$3))</f>
        <v>0</v>
      </c>
      <c r="FL8">
        <f>IF(OR(ROW()-4&gt;INDEX($U$4:$U$11,$AC$2+1,1)-INDEX($U$4:$U$11,$AC$2,1),ROW()-4&gt;$AD$2),NA(),COUNTIF(INDEX($CZ$5:$DF$201,INDEX($U$4:$U$11,1,1),$AC$2):INDEX($CZ$5:$DF$201,INDEX($U$4:$U$11,1,1)+ROW()-5,$AC$2),FL$3))</f>
        <v>0</v>
      </c>
      <c r="FM8">
        <f>IF(OR(ROW()-4&gt;INDEX($U$4:$U$11,$AC$2+1,1)-INDEX($U$4:$U$11,$AC$2,1),ROW()-4&gt;$AD$2),NA(),COUNTIF(INDEX($CZ$5:$DF$201,INDEX($U$4:$U$11,1,1),$AC$2):INDEX($CZ$5:$DF$201,INDEX($U$4:$U$11,1,1)+ROW()-5,$AC$2),FM$3))</f>
        <v>0</v>
      </c>
      <c r="FN8">
        <f>IF(OR(ROW()-4&gt;INDEX($U$4:$U$11,$AC$2+1,1)-INDEX($U$4:$U$11,$AC$2,1),ROW()-4&gt;$AD$2),NA(),COUNTIF(INDEX($CZ$5:$DF$201,INDEX($U$4:$U$11,1,1),$AC$2):INDEX($CZ$5:$DF$201,INDEX($U$4:$U$11,1,1)+ROW()-5,$AC$2),FN$3))</f>
        <v>0</v>
      </c>
      <c r="FO8">
        <f>IF(OR(ROW()-4&gt;INDEX($U$4:$U$11,$AC$2+1,1)-INDEX($U$4:$U$11,$AC$2,1),ROW()-4&gt;$AD$2),NA(),COUNTIF(INDEX($CZ$5:$DF$201,INDEX($U$4:$U$11,1,1),$AC$2):INDEX($CZ$5:$DF$201,INDEX($U$4:$U$11,1,1)+ROW()-5,$AC$2),FO$3))</f>
        <v>2</v>
      </c>
      <c r="FP8">
        <f>IF(OR(ROW()-4&gt;INDEX($U$4:$U$11,$AC$2+1,1)-INDEX($U$4:$U$11,$AC$2,1),ROW()-4&gt;$AD$2),NA(),COUNTIF(INDEX($CZ$5:$DF$201,INDEX($U$4:$U$11,1,1),$AC$2):INDEX($CZ$5:$DF$201,INDEX($U$4:$U$11,1,1)+ROW()-5,$AC$2),FP$3))</f>
        <v>0</v>
      </c>
      <c r="FQ8">
        <f>IF(OR(ROW()-4&gt;INDEX($U$4:$U$11,$AC$2+1,1)-INDEX($U$4:$U$11,$AC$2,1),ROW()-4&gt;$AD$2),NA(),COUNTIF(INDEX($CZ$5:$DF$201,INDEX($U$4:$U$11,1,1),$AC$2):INDEX($CZ$5:$DF$201,INDEX($U$4:$U$11,1,1)+ROW()-5,$AC$2),FQ$3))</f>
        <v>0</v>
      </c>
      <c r="FR8">
        <f>IF(OR(ROW()-4&gt;INDEX($U$4:$U$11,$AC$2+1,1)-INDEX($U$4:$U$11,$AC$2,1),ROW()-4&gt;$AD$2),NA(),COUNTIF(INDEX($CZ$5:$DF$201,INDEX($U$4:$U$11,1,1),$AC$2):INDEX($CZ$5:$DF$201,INDEX($U$4:$U$11,1,1)+ROW()-5,$AC$2),FR$3))</f>
        <v>0</v>
      </c>
      <c r="FS8">
        <f>IF(OR(ROW()-4&gt;INDEX($U$4:$U$11,$AC$2+1,1)-INDEX($U$4:$U$11,$AC$2,1),ROW()-4&gt;$AD$2),NA(),COUNTIF(INDEX($CZ$5:$DF$201,INDEX($U$4:$U$11,1,1),$AC$2):INDEX($CZ$5:$DF$201,INDEX($U$4:$U$11,1,1)+ROW()-5,$AC$2),FS$3))</f>
        <v>0</v>
      </c>
      <c r="FT8">
        <f>IF(OR(ROW()-4&gt;INDEX($U$4:$U$11,$AC$2+1,1)-INDEX($U$4:$U$11,$AC$2,1),ROW()-4&gt;$AD$2),NA(),COUNTIF(INDEX($CZ$5:$DF$201,INDEX($U$4:$U$11,1,1),$AC$2):INDEX($CZ$5:$DF$201,INDEX($U$4:$U$11,1,1)+ROW()-5,$AC$2),FT$3))</f>
        <v>0</v>
      </c>
      <c r="FU8">
        <f>IF(OR(ROW()-4&gt;INDEX($U$4:$U$11,$AC$2+1,1)-INDEX($U$4:$U$11,$AC$2,1),ROW()-4&gt;$AD$2),NA(),COUNTIF(INDEX($CZ$5:$DF$201,INDEX($U$4:$U$11,1,1),$AC$2):INDEX($CZ$5:$DF$201,INDEX($U$4:$U$11,1,1)+ROW()-5,$AC$2),FU$3))</f>
        <v>0</v>
      </c>
      <c r="FW8">
        <f>IF(OR(ROW()-4&gt;INDEX($U$4:$U$11,$AC$2+1,1)-INDEX($U$4:$U$11,$AC$2,1),ROW()-4&gt;$AD$2),NA(),COUNTIF(INDEX($CZ$5:$DF$201,INDEX($U$4:$U$11,1,1),$AC$2):INDEX($CZ$5:$DF$201,INDEX($U$4:$U$11,1,1)+ROW()-5,$AC$2),FW$3))</f>
        <v>0</v>
      </c>
      <c r="FX8">
        <f>IF(OR(ROW()-4&gt;INDEX($U$4:$U$11,$AC$2+1,1)-INDEX($U$4:$U$11,$AC$2,1),ROW()-4&gt;$AD$2),NA(),COUNTIF(INDEX($CZ$5:$DF$201,INDEX($U$4:$U$11,1,1),$AC$2):INDEX($CZ$5:$DF$201,INDEX($U$4:$U$11,1,1)+ROW()-5,$AC$2),FX$3))</f>
        <v>1</v>
      </c>
      <c r="FY8">
        <f>IF(OR(ROW()-4&gt;INDEX($U$4:$U$11,$AC$2+1,1)-INDEX($U$4:$U$11,$AC$2,1),ROW()-4&gt;$AD$2),NA(),COUNTIF(INDEX($CZ$5:$DF$201,INDEX($U$4:$U$11,1,1),$AC$2):INDEX($CZ$5:$DF$201,INDEX($U$4:$U$11,1,1)+ROW()-5,$AC$2),FY$3))</f>
        <v>0</v>
      </c>
      <c r="FZ8">
        <f>IF(OR(ROW()-4&gt;INDEX($U$4:$U$11,$AC$2+1,1)-INDEX($U$4:$U$11,$AC$2,1),ROW()-4&gt;$AD$2),NA(),COUNTIF(INDEX($CZ$5:$DF$201,INDEX($U$4:$U$11,1,1),$AC$2):INDEX($CZ$5:$DF$201,INDEX($U$4:$U$11,1,1)+ROW()-5,$AC$2),FZ$3))</f>
        <v>0</v>
      </c>
      <c r="GA8">
        <f>IF(OR(ROW()-4&gt;INDEX($U$4:$U$11,$AC$2+1,1)-INDEX($U$4:$U$11,$AC$2,1),ROW()-4&gt;$AD$2),NA(),COUNTIF(INDEX($CZ$5:$DF$201,INDEX($U$4:$U$11,1,1),$AC$2):INDEX($CZ$5:$DF$201,INDEX($U$4:$U$11,1,1)+ROW()-5,$AC$2),GA$3))</f>
        <v>0</v>
      </c>
      <c r="GB8">
        <f>IF(OR(ROW()-4&gt;INDEX($U$4:$U$11,$AC$2+1,1)-INDEX($U$4:$U$11,$AC$2,1),ROW()-4&gt;$AD$2),NA(),COUNTIF(INDEX($CZ$5:$DF$201,INDEX($U$4:$U$11,1,1),$AC$2):INDEX($CZ$5:$DF$201,INDEX($U$4:$U$11,1,1)+ROW()-5,$AC$2),GB$3))</f>
        <v>0</v>
      </c>
      <c r="GC8">
        <f>IF(OR(ROW()-4&gt;INDEX($U$4:$U$11,$AC$2+1,1)-INDEX($U$4:$U$11,$AC$2,1),ROW()-4&gt;$AD$2),NA(),COUNTIF(INDEX($CZ$5:$DF$201,INDEX($U$4:$U$11,1,1),$AC$2):INDEX($CZ$5:$DF$201,INDEX($U$4:$U$11,1,1)+ROW()-5,$AC$2),GC$3))</f>
        <v>1</v>
      </c>
      <c r="GD8">
        <f>IF(OR(ROW()-4&gt;INDEX($U$4:$U$11,$AC$2+1,1)-INDEX($U$4:$U$11,$AC$2,1),ROW()-4&gt;$AD$2),NA(),COUNTIF(INDEX($CZ$5:$DF$201,INDEX($U$4:$U$11,1,1),$AC$2):INDEX($CZ$5:$DF$201,INDEX($U$4:$U$11,1,1)+ROW()-5,$AC$2),GD$3))</f>
        <v>0</v>
      </c>
      <c r="GE8">
        <f>IF(OR(ROW()-4&gt;INDEX($U$4:$U$11,$AC$2+1,1)-INDEX($U$4:$U$11,$AC$2,1),ROW()-4&gt;$AD$2),NA(),COUNTIF(INDEX($CZ$5:$DF$201,INDEX($U$4:$U$11,1,1),$AC$2):INDEX($CZ$5:$DF$201,INDEX($U$4:$U$11,1,1)+ROW()-5,$AC$2),GE$3))</f>
        <v>0</v>
      </c>
      <c r="GF8">
        <f>IF(OR(ROW()-4&gt;INDEX($U$4:$U$11,$AC$2+1,1)-INDEX($U$4:$U$11,$AC$2,1),ROW()-4&gt;$AD$2),NA(),COUNTIF(INDEX($CZ$5:$DF$201,INDEX($U$4:$U$11,1,1),$AC$2):INDEX($CZ$5:$DF$201,INDEX($U$4:$U$11,1,1)+ROW()-5,$AC$2),GF$3))</f>
        <v>0</v>
      </c>
      <c r="GK8" t="s">
        <v>32</v>
      </c>
      <c r="GQ8" s="66">
        <f>INDEX($DZ$4:$DZ$40,$AD$2+1)-INDEX($DZ$4:$DZ$40,$AD$2)</f>
        <v>0</v>
      </c>
      <c r="GR8" s="66">
        <f>INDEX($EA$4:$EA$40,$AD$2+1)-INDEX($EA$4:$EA$40,$AD$2)</f>
        <v>0</v>
      </c>
      <c r="GS8" s="66">
        <f>INDEX($EB$4:$EB$40,$AD$2+1)-INDEX($EB$4:$EB$40,$AD$2)</f>
        <v>0</v>
      </c>
      <c r="GT8" s="66">
        <f>INDEX($EC$4:$EC$40,$AD$2+1)-INDEX($EC$4:$EC$40,$AD$2)</f>
        <v>0</v>
      </c>
      <c r="GV8" s="67">
        <f>INDEX($EI$4:$EI$40,$AD$2+1)-INDEX($EI$4:$EI$40,$AD$2)</f>
        <v>0</v>
      </c>
      <c r="GW8" s="67">
        <f>INDEX($EJ$4:$EJ$40,$AD$2+1)-INDEX($EJ$4:$EJ$40,$AD$2)</f>
        <v>1</v>
      </c>
      <c r="GX8" s="67">
        <f>INDEX($EK$4:$EK$40,$AD$2+1)-INDEX($EK$4:$EK$40,$AD$2)</f>
        <v>0</v>
      </c>
      <c r="GY8" s="67">
        <f>INDEX($EL$4:$EL$40,$AD$2+1)-INDEX($EL$4:$EL$40,$AD$2)</f>
        <v>0</v>
      </c>
      <c r="GZ8" t="str">
        <f>$AD$3</f>
        <v>KIHARA Miyuu</v>
      </c>
      <c r="HB8" t="s">
        <v>67</v>
      </c>
      <c r="HC8" t="s">
        <v>83</v>
      </c>
      <c r="HD8" t="s">
        <v>84</v>
      </c>
      <c r="HE8" t="s">
        <v>60</v>
      </c>
      <c r="HF8">
        <f>INDEX($EZ$5:$EZ$40,$AD$2)</f>
        <v>0</v>
      </c>
      <c r="HG8">
        <f>INDEX($EZ$4:$EZ$40,$AD$2+1)-INDEX($EZ$4:$EZ$40,$AD$2)</f>
        <v>0</v>
      </c>
      <c r="HH8" s="59">
        <f>INDEX($EZ$55:$EZ$90,$AD$2)</f>
        <v>0</v>
      </c>
      <c r="HI8" s="59">
        <f t="shared" si="0"/>
        <v>0</v>
      </c>
      <c r="HM8" s="68">
        <f>INDEX($FP$4:$FP$40,$AD$2+1)-INDEX($FP$4:$FP$40,$AD$2)</f>
        <v>0</v>
      </c>
      <c r="HN8" s="68">
        <f>INDEX($FQ$4:$FQ$40,$AD$2+1)-INDEX($FQ$4:$FQ$40,$AD$2)</f>
        <v>0</v>
      </c>
      <c r="HO8" s="68">
        <f>INDEX($FR$4:$FR$40,$AD$2+1)-INDEX($FR$4:$FR$40,$AD$2)</f>
        <v>0</v>
      </c>
      <c r="HP8" s="68">
        <f>INDEX($FS$4:$FS$40,$AD$2+1)-INDEX($FS$4:$FS$40,$AD$2)</f>
        <v>0</v>
      </c>
    </row>
    <row r="9" spans="1:224" x14ac:dyDescent="0.45">
      <c r="A9" t="str">
        <f>データの貼付!A7</f>
        <v>FENG Tianwei</v>
      </c>
      <c r="B9">
        <f>データの貼付!B7</f>
        <v>1.7405439814814816E-3</v>
      </c>
      <c r="C9">
        <f>データの貼付!C7</f>
        <v>5.0972222222222217E-5</v>
      </c>
      <c r="D9">
        <f>データの貼付!D7</f>
        <v>0</v>
      </c>
      <c r="E9" t="str">
        <f>データの貼付!F7</f>
        <v>FENG Tianwei</v>
      </c>
      <c r="F9">
        <f>データの貼付!E7</f>
        <v>0</v>
      </c>
      <c r="G9" t="str">
        <f>データの貼付!G7</f>
        <v>#03</v>
      </c>
      <c r="H9" t="str">
        <f>データの貼付!H7</f>
        <v>FENG Tianwei</v>
      </c>
      <c r="I9" t="str">
        <f>データの貼付!I7</f>
        <v>Side</v>
      </c>
      <c r="J9" t="str">
        <f>データの貼付!J7</f>
        <v>B</v>
      </c>
      <c r="K9" t="str">
        <f>データの貼付!K7</f>
        <v>BM</v>
      </c>
      <c r="L9" t="str">
        <f>データの貼付!L7</f>
        <v>B</v>
      </c>
      <c r="M9" t="str">
        <f>データの貼付!M7</f>
        <v>ドライブ</v>
      </c>
      <c r="N9" t="str">
        <f>データの貼付!N7</f>
        <v>BM</v>
      </c>
      <c r="R9">
        <f t="shared" si="59"/>
        <v>0</v>
      </c>
      <c r="S9">
        <f>SUM(R$4:R9)</f>
        <v>1</v>
      </c>
      <c r="T9" t="str">
        <f t="shared" si="60"/>
        <v/>
      </c>
      <c r="U9">
        <f>IF(TYPE(U8+MATCH(1,INDEX(R$4:R$200,U8+1):INDEX(R$4:R$200,197),0))=16,"",U8+MATCH(1,INDEX(R$4:R$200,U8+1):INDEX(R$4:R$200,197),0))</f>
        <v>76</v>
      </c>
      <c r="V9" t="e">
        <f t="shared" si="61"/>
        <v>#VALUE!</v>
      </c>
      <c r="W9" t="str">
        <f t="shared" si="57"/>
        <v>FENG Tianwei_FENG Tianwei</v>
      </c>
      <c r="X9" t="str">
        <f t="shared" si="58"/>
        <v>FENG Tianwei_#03</v>
      </c>
      <c r="Z9">
        <f>graph!L1</f>
        <v>20</v>
      </c>
      <c r="AC9" s="8">
        <f>IF(OR(ROW()-4&gt;INDEX($U$4:$U$11,AC$2+1)-INDEX($U$4:$U$11,AC$2),ROW()-4&gt;AD$2),NA(),COUNTIF(INDEX($W$4:$W$200,INDEX($U$4:$U$11,AC$2)):INDEX($W$4:$W$200,INDEX($U$4:$U$11,AC$2)+ROW()-5),AC$3&amp;"_"&amp;AC$3)/(COUNTIF(INDEX($W$4:$W$200,INDEX($U$4:$U$11,AC$2)):INDEX($W$4:$W$200,INDEX($U$4:$U$11,AC$2)+ROW()-5),AC$3&amp;"_"&amp;AC$3)+COUNTIF(INDEX($W$4:$W$200,INDEX($U$4:$U$11,AC$2)):INDEX($W$4:$W$200,INDEX($U$4:$U$11,AC$2)+ROW()-5),AD$3&amp;"_"&amp;AC$3)))</f>
        <v>0.33333333333333331</v>
      </c>
      <c r="AD9" s="8">
        <f>IF(OR(ROW()-4&gt;INDEX($U$4:$U$11,AC$2+1)-INDEX($U$4:$U$11,AC$2),ROW()-4&gt;AD$2),NA(),COUNTIF(INDEX($W$4:$W$200,INDEX($U$4:$U$11,AC$2)):INDEX($W$4:$W$200,INDEX($U$4:$U$11,AC$2)+ROW()-5),AD$3&amp;"_"&amp;AD$3)/(COUNTIF(INDEX($W$4:$W$200,INDEX($U$4:$U$11,AC$2)):INDEX($W$4:$W$200,INDEX($U$4:$U$11,AC$2)+ROW()-5),AD$3&amp;"_"&amp;AD$3)+COUNTIF(INDEX($W$4:$W$200,INDEX($U$4:$U$11,AC$2)):INDEX($W$4:$W$200,INDEX($U$4:$U$11,AC$2)+ROW()-5),AC$3&amp;"_"&amp;AD$3)))</f>
        <v>0.5</v>
      </c>
      <c r="AE9" s="10">
        <f>IF(OR(ROW()-4&gt;INDEX($U$4:$U$11,AC$2+1)-INDEX($U$4:$U$11,AC$2),ROW()-4&gt;AD$2),NA(),COUNTIF(INDEX($W$4:$W$200,INDEX($U$4:$U$11,AC$2)):INDEX($W$4:$W$200,INDEX($U$4:$U$11,AC$2)+ROW()-5),AC$3&amp;"_"&amp;AD$3)/(COUNTIF(INDEX($W$4:$W$200,INDEX($U$4:$U$11,AC$2)):INDEX($W$4:$W$200,INDEX($U$4:$U$11,AC$2)+ROW()-5),AC$3&amp;"_"&amp;AD$3)+COUNTIF(INDEX($W$4:$W$200,INDEX($U$4:$U$11,AC$2)):INDEX($W$4:$W$200,INDEX($U$4:$U$11,AC$2)+ROW()-5),AD$3&amp;"_"&amp;AD$3)))</f>
        <v>0.5</v>
      </c>
      <c r="AF9" s="10">
        <f>IF(OR(ROW()-4&gt;INDEX($U$4:$U$11,AC$2+1)-INDEX($U$4:$U$11,AC$2),ROW()-4&gt;AD$2),NA(),COUNTIF(INDEX($W$4:$W$200,INDEX($U$4:$U$11,AC$2)):INDEX($W$4:$W$200,INDEX($U$4:$U$11,AC$2)+ROW()-5),AD$3&amp;"_"&amp;AC$3)/(COUNTIF(INDEX($W$4:$W$200,INDEX($U$4:$U$11,AC$2)):INDEX($W$4:$W$200,INDEX($U$4:$U$11,AC$2)+ROW()-5),AD$3&amp;"_"&amp;AC$3)+COUNTIF(INDEX($W$4:$W$200,INDEX($U$4:$U$11,AC$2)):INDEX($W$4:$W$200,INDEX($U$4:$U$11,AC$2)+ROW()-5),AC$3&amp;"_"&amp;AC$3)))</f>
        <v>0.66666666666666663</v>
      </c>
      <c r="AG9" s="10">
        <f>IF(OR(ROW()-4&gt;INDEX($U$4:$U$11,AC$2+1)-INDEX($U$4:$U$11,AC$2),ROW()-4&gt;AD$2),NA(),COUNTIF(INDEX($X$4:$X$200,INDEX($U$4:$U$11,AC$2)):INDEX($X$4:$X$200,INDEX($U$4:$U$11,AC$2)+ROW()-5),AC$3&amp;"_#03")/(COUNTIF(INDEX($W$4:$W$200,INDEX($U$4:$U$11,AC$2)):INDEX($W$4:$W$200,INDEX($U$4:$U$11,AC$2)+ROW()-5),AC$3&amp;"_"&amp;AC$3)+COUNTIF(INDEX($W$4:$W$200,INDEX($U$4:$U$11,AC$2)):INDEX($W$4:$W$200,INDEX($U$4:$U$11,AC$2)+ROW()-5),AD$3&amp;"_"&amp;AC$3)))</f>
        <v>0</v>
      </c>
      <c r="AH9" s="10">
        <f>IF(OR(ROW()-4&gt;INDEX($U$4:$U$11,AC$2+1)-INDEX($U$4:$U$11,AC$2),ROW()-4&gt;AD$2),NA(),COUNTIF(INDEX($X$4:$X$200,INDEX($U$4:$U$11,AC$2)):INDEX($X$4:$X$200,INDEX($U$4:$U$11,AC$2)+ROW()-5),AD$3&amp;"_#03")/(COUNTIF(INDEX($W$4:$W$200,INDEX($U$4:$U$11,AC$2)):INDEX($W$4:$W$200,INDEX($U$4:$U$11,AC$2)+ROW()-5),AD$3&amp;"_"&amp;AD$3)+COUNTIF(INDEX($W$4:$W$200,INDEX($U$4:$U$11,AC$2)):INDEX($W$4:$W$200,INDEX($U$4:$U$11,AC$2)+ROW()-5),AC$3&amp;"_"&amp;AD$3)))</f>
        <v>0</v>
      </c>
      <c r="AI9" s="10">
        <f>IF(OR(ROW()-4&gt;INDEX($U$4:$U$11,AC$2+1)-INDEX($U$4:$U$11,AC$2),ROW()-4&gt;AD$2),NA(),(COUNTIF(INDEX($X$4:$X$200,INDEX($U$4:$U$11,AC$2)):INDEX($X$4:$X$200,INDEX($U$4:$U$11,AC$2)+ROW()-5),AC$3&amp;"_#03")-COUNTIF(INDEX($X$4:$X$200,INDEX($U$4:$U$11,AC$2)):INDEX($X$4:$X$200,INDEX($U$4:$U$11,AC$2)+ROW()-5),AD$3&amp;"_#02"))/(COUNTIF(INDEX($W$4:$W$200,INDEX($U$4:$U$11,AC$2)):INDEX($W$4:$W$200,INDEX($U$4:$U$11,AC$2)+ROW()-5),AC$3&amp;"_"&amp;AC$3)+COUNTIF(INDEX($W$4:$W$200,INDEX($U$4:$U$11,AC$2)):INDEX($W$4:$W$200,INDEX($U$4:$U$11,AC$2)+ROW()-5),AD$3&amp;"_"&amp;AC$3)))</f>
        <v>-0.33333333333333331</v>
      </c>
      <c r="AJ9" s="10">
        <f>IF(OR(ROW()-4&gt;INDEX($U$4:$U$11,AC$2+1)-INDEX($U$4:$U$11,AC$2),ROW()-4&gt;AD$2),NA(),(COUNTIF(INDEX($X$4:$X$200,INDEX($U$4:$U$11,AC$2)):INDEX($X$4:$X$200,INDEX($U$4:$U$11,AC$2)+ROW()-5),AD$3&amp;"_#03")-COUNTIF(INDEX($X$4:$X$200,INDEX($U$4:$U$11,AC$2)):INDEX($X$4:$X$200,INDEX($U$4:$U$11,AC$2)+ROW()-5),AC$3&amp;"_#02"))/(COUNTIF(INDEX($W$4:$W$200,INDEX($U$4:$U$11,AC$2)):INDEX($W$4:$W$200,INDEX($U$4:$U$11,AC$2)+ROW()-5),AD$3&amp;"_"&amp;AD$3)+COUNTIF(INDEX($W$4:$W$200,INDEX($U$4:$U$11,AC$2)):INDEX($W$4:$W$200,INDEX($U$4:$U$11,AC$2)+ROW()-5),AC$3&amp;"_"&amp;AD$3)))</f>
        <v>0</v>
      </c>
      <c r="AK9" s="10">
        <f>IF(OR(ROW()-4&gt;INDEX($U$4:$U$11,AC$2+1)-INDEX($U$4:$U$11,AC$2),ROW()-4&gt;AD$2),NA(),(COUNTIF(INDEX($X$4:$X$200,INDEX($U$4:$U$11,AC$2)):INDEX($X$4:$X$200,INDEX($U$4:$U$11,AC$2)+ROW()-5),AC$3&amp;"_#01")+COUNTIF(INDEX($X$4:$X$200,INDEX($U$4:$U$11,AC$2)):INDEX($X$4:$X$200,INDEX($U$4:$U$11,AC$2)+ROW()-5),AC$3&amp;"_#03"))/(COUNTIF(INDEX($W$4:$W$200,INDEX($U$4:$U$11,AC$2)):INDEX($W$4:$W$200,INDEX($U$4:$U$11,AC$2)+ROW()-5),AC$3&amp;"_"&amp;AC$3)+COUNTIF(INDEX($W$4:$W$200,INDEX($U$4:$U$11,AC$2)):INDEX($W$4:$W$200,INDEX($U$4:$U$11,AC$2)+ROW()-5),AD$3&amp;"_"&amp;AC$3)))</f>
        <v>0.33333333333333331</v>
      </c>
      <c r="AL9" s="10">
        <f>IF(OR(ROW()-4&gt;INDEX($U$4:$U$11,AC$2+1)-INDEX($U$4:$U$11,AC$2),ROW()-4&gt;AD$2),NA(),(COUNTIF(INDEX($X$4:$X$200,INDEX($U$4:$U$11,AC$2)):INDEX($X$4:$X$200,INDEX($U$4:$U$11,AC$2)+ROW()-5),AD$3&amp;"_#01")+COUNTIF(INDEX($X$4:$X$200,INDEX($U$4:$U$11,AC$2)):INDEX($X$4:$X$200,INDEX($U$4:$U$11,AC$2)+ROW()-5),AD$3&amp;"_#03"))/(COUNTIF(INDEX($W$4:$W$200,INDEX($U$4:$U$11,AC$2)):INDEX($W$4:$W$200,INDEX($U$4:$U$11,AC$2)+ROW()-5),AD$3&amp;"_"&amp;AD$3)+COUNTIF(INDEX($W$4:$W$200,INDEX($U$4:$U$11,AC$2)):INDEX($W$4:$W$200,INDEX($U$4:$U$11,AC$2)+ROW()-5),AC$3&amp;"_"&amp;AD$3)))</f>
        <v>0</v>
      </c>
      <c r="AN9">
        <f t="shared" si="125"/>
        <v>5</v>
      </c>
      <c r="AO9">
        <f t="shared" si="111"/>
        <v>22</v>
      </c>
      <c r="AP9">
        <f t="shared" si="112"/>
        <v>37</v>
      </c>
      <c r="AQ9">
        <f t="shared" si="113"/>
        <v>53</v>
      </c>
      <c r="AR9">
        <f t="shared" si="114"/>
        <v>72</v>
      </c>
      <c r="AS9" t="e">
        <f t="shared" si="115"/>
        <v>#VALUE!</v>
      </c>
      <c r="AT9" t="e">
        <f t="shared" si="116"/>
        <v>#VALUE!</v>
      </c>
      <c r="AV9" t="str">
        <f t="shared" si="117"/>
        <v>KIHARA Miyuu</v>
      </c>
      <c r="AW9" t="str">
        <f t="shared" si="63"/>
        <v>KIHARA Miyuu</v>
      </c>
      <c r="AX9" t="str">
        <f t="shared" si="64"/>
        <v>FENG Tianwei</v>
      </c>
      <c r="AY9" t="str">
        <f t="shared" si="65"/>
        <v>KIHARA Miyuu</v>
      </c>
      <c r="AZ9" t="str">
        <f t="shared" si="66"/>
        <v>KIHARA Miyuu</v>
      </c>
      <c r="BA9" t="e">
        <f t="shared" si="67"/>
        <v>#VALUE!</v>
      </c>
      <c r="BB9" t="e">
        <f t="shared" si="68"/>
        <v>#VALUE!</v>
      </c>
      <c r="BD9" t="str">
        <f t="shared" si="118"/>
        <v>FENG Tianwei</v>
      </c>
      <c r="BE9" t="str">
        <f t="shared" si="69"/>
        <v>KIHARA Miyuu</v>
      </c>
      <c r="BF9" t="str">
        <f t="shared" si="70"/>
        <v>FENG Tianwei</v>
      </c>
      <c r="BG9" t="str">
        <f t="shared" si="71"/>
        <v>KIHARA Miyuu</v>
      </c>
      <c r="BH9" t="str">
        <f t="shared" si="72"/>
        <v>FENG Tianwei</v>
      </c>
      <c r="BI9" t="e">
        <f t="shared" si="73"/>
        <v>#VALUE!</v>
      </c>
      <c r="BJ9" t="e">
        <f t="shared" si="74"/>
        <v>#VALUE!</v>
      </c>
      <c r="BL9" t="str">
        <f t="shared" si="119"/>
        <v>FENG Tianwei_Side</v>
      </c>
      <c r="BM9" t="str">
        <f t="shared" si="75"/>
        <v>KIHARA Miyuu_(Side)</v>
      </c>
      <c r="BN9" t="str">
        <f t="shared" si="76"/>
        <v>FENG Tianwei_Side</v>
      </c>
      <c r="BO9" t="str">
        <f t="shared" si="77"/>
        <v>KIHARA Miyuu_(Side)</v>
      </c>
      <c r="BP9" t="str">
        <f t="shared" si="78"/>
        <v>FENG Tianwei_Side</v>
      </c>
      <c r="BQ9" t="e">
        <f t="shared" si="79"/>
        <v>#VALUE!</v>
      </c>
      <c r="BR9" t="e">
        <f t="shared" si="80"/>
        <v>#VALUE!</v>
      </c>
      <c r="BT9" t="str">
        <f t="shared" si="120"/>
        <v>FENG Tianwei_B</v>
      </c>
      <c r="BU9" t="str">
        <f t="shared" si="81"/>
        <v>KIHARA Miyuu_B</v>
      </c>
      <c r="BV9" t="str">
        <f t="shared" si="82"/>
        <v>FENG Tianwei_B</v>
      </c>
      <c r="BW9" t="str">
        <f t="shared" si="83"/>
        <v>KIHARA Miyuu_B</v>
      </c>
      <c r="BX9" t="str">
        <f t="shared" si="84"/>
        <v>FENG Tianwei_B</v>
      </c>
      <c r="BY9" t="e">
        <f t="shared" si="85"/>
        <v>#VALUE!</v>
      </c>
      <c r="BZ9" t="e">
        <f t="shared" si="86"/>
        <v>#VALUE!</v>
      </c>
      <c r="CB9" t="str">
        <f t="shared" si="121"/>
        <v>FENG Tianwei_BS</v>
      </c>
      <c r="CC9" t="str">
        <f t="shared" si="87"/>
        <v>KIHARA Miyuu_FS</v>
      </c>
      <c r="CD9" t="str">
        <f t="shared" si="88"/>
        <v>FENG Tianwei_BM</v>
      </c>
      <c r="CE9" t="str">
        <f t="shared" si="89"/>
        <v>KIHARA Miyuu_FS</v>
      </c>
      <c r="CF9" t="str">
        <f t="shared" si="90"/>
        <v>FENG Tianwei_B</v>
      </c>
      <c r="CG9" t="e">
        <f t="shared" si="91"/>
        <v>#VALUE!</v>
      </c>
      <c r="CH9" t="e">
        <f t="shared" si="92"/>
        <v>#VALUE!</v>
      </c>
      <c r="CJ9" t="str">
        <f t="shared" si="122"/>
        <v>KIHARA Miyuu_B</v>
      </c>
      <c r="CK9" t="str">
        <f t="shared" si="93"/>
        <v>FENG Tianwei_F</v>
      </c>
      <c r="CL9" t="str">
        <f t="shared" si="94"/>
        <v>KIHARA Miyuu_F</v>
      </c>
      <c r="CM9" t="str">
        <f t="shared" si="95"/>
        <v>FENG Tianwei_F</v>
      </c>
      <c r="CN9" t="str">
        <f t="shared" si="96"/>
        <v>KIHARA Miyuu_B</v>
      </c>
      <c r="CO9" t="e">
        <f t="shared" si="97"/>
        <v>#VALUE!</v>
      </c>
      <c r="CP9" t="e">
        <f t="shared" si="98"/>
        <v>#VALUE!</v>
      </c>
      <c r="CR9" t="str">
        <f t="shared" si="123"/>
        <v>KIHARA Miyuu_Push</v>
      </c>
      <c r="CS9" t="str">
        <f t="shared" si="99"/>
        <v>FENG Tianwei_Stop</v>
      </c>
      <c r="CT9" t="str">
        <f t="shared" si="100"/>
        <v>KIHARA Miyuu_ドライブ</v>
      </c>
      <c r="CU9" t="str">
        <f t="shared" si="101"/>
        <v>FENG Tianwei_Push</v>
      </c>
      <c r="CV9" t="str">
        <f t="shared" si="102"/>
        <v>KIHARA Miyuu_Stop</v>
      </c>
      <c r="CW9" t="e">
        <f t="shared" si="103"/>
        <v>#VALUE!</v>
      </c>
      <c r="CX9" t="e">
        <f t="shared" si="104"/>
        <v>#VALUE!</v>
      </c>
      <c r="CZ9" t="str">
        <f t="shared" si="124"/>
        <v>KIHARA Miyuu_BM</v>
      </c>
      <c r="DA9" t="str">
        <f t="shared" si="105"/>
        <v>FENG Tianwei_FMS</v>
      </c>
      <c r="DB9" t="str">
        <f t="shared" si="106"/>
        <v>KIHARA Miyuu_ネットオーバー</v>
      </c>
      <c r="DC9" t="str">
        <f t="shared" si="107"/>
        <v>FENG Tianwei_BM</v>
      </c>
      <c r="DD9" t="str">
        <f t="shared" si="108"/>
        <v>KIHARA Miyuu_FMS</v>
      </c>
      <c r="DE9" t="e">
        <f t="shared" si="109"/>
        <v>#VALUE!</v>
      </c>
      <c r="DF9" t="e">
        <f t="shared" si="110"/>
        <v>#VALUE!</v>
      </c>
      <c r="DH9">
        <f>IF(OR(ROW()-4&gt;INDEX($U$4:$U$11,$AC$2+1,1)-INDEX($U$4:$U$11,$AC$2,1),ROW()-4&gt;$AD$2),NA(),COUNTIF(INDEX($BL$5:$BR$50,INDEX($U$4:$U$11,1,1),$AC$2):INDEX($BL$5:$BR$50,INDEX($U$4:$U$11,1,1)+ROW()-5,$AC$2),DH$3))</f>
        <v>1</v>
      </c>
      <c r="DI9">
        <f>IF(OR(ROW()-4&gt;INDEX($U$4:$U$11,$AC$2+1,1)-INDEX($U$4:$U$11,$AC$2,1),ROW()-4&gt;$AD$2),NA(),COUNTIF(INDEX($BL$5:$BR$50,INDEX($U$4:$U$11,1,1),$AC$2):INDEX($BL$5:$BR$50,INDEX($U$4:$U$11,1,1)+ROW()-5,$AC$2),DI$3))</f>
        <v>2</v>
      </c>
      <c r="DJ9">
        <f>IF(OR(ROW()-4&gt;INDEX($U$4:$U$11,$AC$2+1,1)-INDEX($U$4:$U$11,$AC$2,1),ROW()-4&gt;$AD$2),NA(),COUNTIF(INDEX($BL$5:$BR$50,INDEX($U$4:$U$11,1,1),$AC$2):INDEX($BL$5:$BR$50,INDEX($U$4:$U$11,1,1)+ROW()-5,$AC$2),DJ$3))</f>
        <v>0</v>
      </c>
      <c r="DL9">
        <f>IF(OR(ROW()-4&gt;INDEX($U$4:$U$11,$AC$2+1,1)-INDEX($U$4:$U$11,$AC$2,1),ROW()-4&gt;$AD$2),NA(),COUNTIF(INDEX($BL$5:$BR$50,INDEX($U$4:$U$11,1,1),$AC$2):INDEX($BL$5:$BR$50,INDEX($U$4:$U$11,1,1)+ROW()-5,$AC$2),DL$3))</f>
        <v>0</v>
      </c>
      <c r="DM9">
        <f>IF(OR(ROW()-4&gt;INDEX($U$4:$U$11,$AC$2+1,1)-INDEX($U$4:$U$11,$AC$2,1),ROW()-4&gt;$AD$2),NA(),COUNTIF(INDEX($BL$5:$BR$50,INDEX($U$4:$U$11,1,1),$AC$2):INDEX($BL$5:$BR$50,INDEX($U$4:$U$11,1,1)+ROW()-5,$AC$2),DM$3))</f>
        <v>0</v>
      </c>
      <c r="DN9">
        <f>IF(OR(ROW()-4&gt;INDEX($U$4:$U$11,$AC$2+1,1)-INDEX($U$4:$U$11,$AC$2,1),ROW()-4&gt;$AD$2),NA(),COUNTIF(INDEX($BL$5:$BR$50,INDEX($U$4:$U$11,1,1),$AC$2):INDEX($BL$5:$BR$50,INDEX($U$4:$U$11,1,1)+ROW()-5,$AC$2),DN$3))</f>
        <v>2</v>
      </c>
      <c r="DP9">
        <f>IF(OR(ROW()-4&gt;INDEX($U$4:$U$11,$AC$2+1,1)-INDEX($U$4:$U$11,$AC$2,1),ROW()-4&gt;$AD$2),NA(),COUNTIF(INDEX($BT$5:$BZ$201,INDEX($U$4:$U$11,1,1),$AC$2):INDEX($BT$5:$BZ$201,INDEX($U$4:$U$11,1,1)+ROW()-5,$AC$2),DP$3))</f>
        <v>3</v>
      </c>
      <c r="DQ9">
        <f>IF(OR(ROW()-4&gt;INDEX($U$4:$U$11,$AC$2+1,1)-INDEX($U$4:$U$11,$AC$2,1),ROW()-4&gt;$AD$2),NA(),COUNTIF(INDEX($BT$5:$BZ$201,INDEX($U$4:$U$11,1,1),$AC$2):INDEX($BT$5:$BZ$201,INDEX($U$4:$U$11,1,1)+ROW()-5,$AC$2),DQ$3))</f>
        <v>0</v>
      </c>
      <c r="DS9">
        <f>IF(OR(ROW()-4&gt;INDEX($U$4:$U$11,$AC$2+1,1)-INDEX($U$4:$U$11,$AC$2,1),ROW()-4&gt;$AD$2),NA(),COUNTIF(INDEX($BT$5:$BZ$201,INDEX($U$4:$U$11,1,1),$AC$2):INDEX($BT$5:$BZ$201,INDEX($U$4:$U$11,1,1)+ROW()-5,$AC$2),DS$3))</f>
        <v>2</v>
      </c>
      <c r="DT9">
        <f>IF(OR(ROW()-4&gt;INDEX($U$4:$U$11,$AC$2+1,1)-INDEX($U$4:$U$11,$AC$2,1),ROW()-4&gt;$AD$2),NA(),COUNTIF(INDEX($BT$5:$BZ$201,INDEX($U$4:$U$11,1,1),$AC$2):INDEX($BT$5:$BZ$201,INDEX($U$4:$U$11,1,1)+ROW()-5,$AC$2),DT$3))</f>
        <v>0</v>
      </c>
      <c r="DV9">
        <f>IF(OR(ROW()-4&gt;INDEX($U$4:$U$11,$AC$2+1,1)-INDEX($U$4:$U$11,$AC$2,1),ROW()-4&gt;$AD$2),NA(),COUNTIF(INDEX($CB$5:$CH$201,INDEX($U$4:$U$11,1,1),$AC$2):INDEX($CB$5:$CH$201,INDEX($U$4:$U$11,1,1)+ROW()-5,$AC$2),DV$3))</f>
        <v>0</v>
      </c>
      <c r="DW9">
        <f>IF(OR(ROW()-4&gt;INDEX($U$4:$U$11,$AC$2+1,1)-INDEX($U$4:$U$11,$AC$2,1),ROW()-4&gt;$AD$2),NA(),COUNTIF(INDEX($CB$5:$CH$201,INDEX($U$4:$U$11,1,1),$AC$2):INDEX($CB$5:$CH$201,INDEX($U$4:$U$11,1,1)+ROW()-5,$AC$2),DW$3))</f>
        <v>0</v>
      </c>
      <c r="DX9">
        <f>IF(OR(ROW()-4&gt;INDEX($U$4:$U$11,$AC$2+1,1)-INDEX($U$4:$U$11,$AC$2,1),ROW()-4&gt;$AD$2),NA(),COUNTIF(INDEX($CB$5:$CH$201,INDEX($U$4:$U$11,1,1),$AC$2):INDEX($CB$5:$CH$201,INDEX($U$4:$U$11,1,1)+ROW()-5,$AC$2),DX$3))</f>
        <v>2</v>
      </c>
      <c r="DY9">
        <f>IF(OR(ROW()-4&gt;INDEX($U$4:$U$11,$AC$2+1,1)-INDEX($U$4:$U$11,$AC$2,1),ROW()-4&gt;$AD$2),NA(),COUNTIF(INDEX($CB$5:$CH$201,INDEX($U$4:$U$11,1,1),$AC$2):INDEX($CB$5:$CH$201,INDEX($U$4:$U$11,1,1)+ROW()-5,$AC$2),DY$3))</f>
        <v>0</v>
      </c>
      <c r="DZ9">
        <f>IF(OR(ROW()-4&gt;INDEX($U$4:$U$11,$AC$2+1,1)-INDEX($U$4:$U$11,$AC$2,1),ROW()-4&gt;$AD$2),NA(),COUNTIF(INDEX($CB$5:$CH$201,INDEX($U$4:$U$11,1,1),$AC$2):INDEX($CB$5:$CH$201,INDEX($U$4:$U$11,1,1)+ROW()-5,$AC$2),DZ$3))</f>
        <v>0</v>
      </c>
      <c r="EA9">
        <f>IF(OR(ROW()-4&gt;INDEX($U$4:$U$11,$AC$2+1,1)-INDEX($U$4:$U$11,$AC$2,1),ROW()-4&gt;$AD$2),NA(),COUNTIF(INDEX($CB$5:$CH$201,INDEX($U$4:$U$11,1,1),$AC$2):INDEX($CB$5:$CH$201,INDEX($U$4:$U$11,1,1)+ROW()-5,$AC$2),EA$3))</f>
        <v>1</v>
      </c>
      <c r="EB9">
        <f>IF(OR(ROW()-4&gt;INDEX($U$4:$U$11,$AC$2+1,1)-INDEX($U$4:$U$11,$AC$2,1),ROW()-4&gt;$AD$2),NA(),COUNTIF(INDEX($CB$5:$CH$201,INDEX($U$4:$U$11,1,1),$AC$2):INDEX($CB$5:$CH$201,INDEX($U$4:$U$11,1,1)+ROW()-5,$AC$2),EB$3))</f>
        <v>0</v>
      </c>
      <c r="EC9">
        <f>IF(OR(ROW()-4&gt;INDEX($U$4:$U$11,$AC$2+1,1)-INDEX($U$4:$U$11,$AC$2,1),ROW()-4&gt;$AD$2),NA(),COUNTIF(INDEX($CB$5:$CH$201,INDEX($U$4:$U$11,1,1),$AC$2):INDEX($CB$5:$CH$201,INDEX($U$4:$U$11,1,1)+ROW()-5,$AC$2),EC$3))</f>
        <v>0</v>
      </c>
      <c r="EE9">
        <f>IF(OR(ROW()-4&gt;INDEX($U$4:$U$11,$AC$2+1,1)-INDEX($U$4:$U$11,$AC$2,1),ROW()-4&gt;$AD$2),NA(),COUNTIF(INDEX($CB$5:$CH$201,INDEX($U$4:$U$11,1,1),$AC$2):INDEX($CB$5:$CH$201,INDEX($U$4:$U$11,1,1)+ROW()-5,$AC$2),EE$3))</f>
        <v>0</v>
      </c>
      <c r="EF9">
        <f>IF(OR(ROW()-4&gt;INDEX($U$4:$U$11,$AC$2+1,1)-INDEX($U$4:$U$11,$AC$2,1),ROW()-4&gt;$AD$2),NA(),COUNTIF(INDEX($CB$5:$CH$201,INDEX($U$4:$U$11,1,1),$AC$2):INDEX($CB$5:$CH$201,INDEX($U$4:$U$11,1,1)+ROW()-5,$AC$2),EF$3))</f>
        <v>0</v>
      </c>
      <c r="EG9">
        <f>IF(OR(ROW()-4&gt;INDEX($U$4:$U$11,$AC$2+1,1)-INDEX($U$4:$U$11,$AC$2,1),ROW()-4&gt;$AD$2),NA(),COUNTIF(INDEX($CB$5:$CH$201,INDEX($U$4:$U$11,1,1),$AC$2):INDEX($CB$5:$CH$201,INDEX($U$4:$U$11,1,1)+ROW()-5,$AC$2),EG$3))</f>
        <v>0</v>
      </c>
      <c r="EH9">
        <f>IF(OR(ROW()-4&gt;INDEX($U$4:$U$11,$AC$2+1,1)-INDEX($U$4:$U$11,$AC$2,1),ROW()-4&gt;$AD$2),NA(),COUNTIF(INDEX($CB$5:$CH$201,INDEX($U$4:$U$11,1,1),$AC$2):INDEX($CB$5:$CH$201,INDEX($U$4:$U$11,1,1)+ROW()-5,$AC$2),EH$3))</f>
        <v>1</v>
      </c>
      <c r="EI9">
        <f>IF(OR(ROW()-4&gt;INDEX($U$4:$U$11,$AC$2+1,1)-INDEX($U$4:$U$11,$AC$2,1),ROW()-4&gt;$AD$2),NA(),COUNTIF(INDEX($CB$5:$CH$201,INDEX($U$4:$U$11,1,1),$AC$2):INDEX($CB$5:$CH$201,INDEX($U$4:$U$11,1,1)+ROW()-5,$AC$2),EI$3))</f>
        <v>1</v>
      </c>
      <c r="EJ9">
        <f>IF(OR(ROW()-4&gt;INDEX($U$4:$U$11,$AC$2+1,1)-INDEX($U$4:$U$11,$AC$2,1),ROW()-4&gt;$AD$2),NA(),COUNTIF(INDEX($CB$5:$CH$201,INDEX($U$4:$U$11,1,1),$AC$2):INDEX($CB$5:$CH$201,INDEX($U$4:$U$11,1,1)+ROW()-5,$AC$2),EJ$3))</f>
        <v>0</v>
      </c>
      <c r="EK9">
        <f>IF(OR(ROW()-4&gt;INDEX($U$4:$U$11,$AC$2+1,1)-INDEX($U$4:$U$11,$AC$2,1),ROW()-4&gt;$AD$2),NA(),COUNTIF(INDEX($CB$5:$CH$201,INDEX($U$4:$U$11,1,1),$AC$2):INDEX($CB$5:$CH$201,INDEX($U$4:$U$11,1,1)+ROW()-5,$AC$2),EK$3))</f>
        <v>0</v>
      </c>
      <c r="EL9">
        <f>IF(OR(ROW()-4&gt;INDEX($U$4:$U$11,$AC$2+1,1)-INDEX($U$4:$U$11,$AC$2,1),ROW()-4&gt;$AD$2),NA(),COUNTIF(INDEX($CB$5:$CH$201,INDEX($U$4:$U$11,1,1),$AC$2):INDEX($CB$5:$CH$201,INDEX($U$4:$U$11,1,1)+ROW()-5,$AC$2),EL$3))</f>
        <v>0</v>
      </c>
      <c r="EN9">
        <f>IF(OR(ROW()-4&gt;INDEX($U$4:$U$11,$AC$2+1,1)-INDEX($U$4:$U$11,$AC$2,1),ROW()-4&gt;$AD$2),NA(),COUNTIF(INDEX($CJ$5:$CP$201,INDEX($U$4:$U$11,1,1),$AC$2):INDEX($CJ$5:$CP$201,INDEX($U$4:$U$11,1,1)+ROW()-5,$AC$2),EN$3))</f>
        <v>2</v>
      </c>
      <c r="EO9">
        <f>IF(OR(ROW()-4&gt;INDEX($U$4:$U$11,$AC$2+1,1)-INDEX($U$4:$U$11,$AC$2,1),ROW()-4&gt;$AD$2),NA(),COUNTIF(INDEX($CJ$5:$CP$201,INDEX($U$4:$U$11,1,1),$AC$2):INDEX($CJ$5:$CP$201,INDEX($U$4:$U$11,1,1)+ROW()-5,$AC$2),EO$3))</f>
        <v>0</v>
      </c>
      <c r="EQ9">
        <f>IF(OR(ROW()-4&gt;INDEX($U$4:$U$11,$AC$2+1,1)-INDEX($U$4:$U$11,$AC$2,1),ROW()-4&gt;$AD$2),NA(),COUNTIF(INDEX($CJ$5:$CP$201,INDEX($U$4:$U$11,1,1),$AC$2):INDEX($CJ$5:$CP$201,INDEX($U$4:$U$11,1,1)+ROW()-5,$AC$2),EQ$3))</f>
        <v>2</v>
      </c>
      <c r="ER9">
        <f>IF(OR(ROW()-4&gt;INDEX($U$4:$U$11,$AC$2+1,1)-INDEX($U$4:$U$11,$AC$2,1),ROW()-4&gt;$AD$2),NA(),COUNTIF(INDEX($CJ$5:$CP$201,INDEX($U$4:$U$11,1,1),$AC$2):INDEX($CJ$5:$CP$201,INDEX($U$4:$U$11,1,1)+ROW()-5,$AC$2),ER$3))</f>
        <v>1</v>
      </c>
      <c r="ET9">
        <f>IF(OR(ROW()-4&gt;INDEX($U$4:$U$11,$AC$2+1,1)-INDEX($U$4:$U$11,$AC$2,1),ROW()-4&gt;$AD$2),NA(),COUNTIF(INDEX($CR$5:$CX$201,INDEX($U$4:$U$11,1,1),$AC$2):INDEX($CR$5:$CX$201,INDEX($U$4:$U$11,1,1)+ROW()-5,$AC$2),ET$3))</f>
        <v>1</v>
      </c>
      <c r="EU9">
        <f>IF(OR(ROW()-4&gt;INDEX($U$4:$U$11,$AC$2+1,1)-INDEX($U$4:$U$11,$AC$2,1),ROW()-4&gt;$AD$2),NA(),COUNTIF(INDEX($CR$5:$CX$201,INDEX($U$4:$U$11,1,1),$AC$2):INDEX($CR$5:$CX$201,INDEX($U$4:$U$11,1,1)+ROW()-5,$AC$2),EU$3))</f>
        <v>0</v>
      </c>
      <c r="EV9">
        <f>IF(OR(ROW()-4&gt;INDEX($U$4:$U$11,$AC$2+1,1)-INDEX($U$4:$U$11,$AC$2,1),ROW()-4&gt;$AD$2),NA(),COUNTIF(INDEX($CR$5:$CX$201,INDEX($U$4:$U$11,1,1),$AC$2):INDEX($CR$5:$CX$201,INDEX($U$4:$U$11,1,1)+ROW()-5,$AC$2),EV$3))</f>
        <v>0</v>
      </c>
      <c r="EW9">
        <f>IF(OR(ROW()-4&gt;INDEX($U$4:$U$11,$AC$2+1,1)-INDEX($U$4:$U$11,$AC$2,1),ROW()-4&gt;$AD$2),NA(),COUNTIF(INDEX($CR$5:$CX$201,INDEX($U$4:$U$11,1,1),$AC$2):INDEX($CR$5:$CX$201,INDEX($U$4:$U$11,1,1)+ROW()-5,$AC$2),EW$3))</f>
        <v>0</v>
      </c>
      <c r="EX9">
        <f>IF(OR(ROW()-4&gt;INDEX($U$4:$U$11,$AC$2+1,1)-INDEX($U$4:$U$11,$AC$2,1),ROW()-4&gt;$AD$2),NA(),COUNTIF(INDEX($CR$5:$CX$201,INDEX($U$4:$U$11,1,1),$AC$2):INDEX($CR$5:$CX$201,INDEX($U$4:$U$11,1,1)+ROW()-5,$AC$2),EX$3))</f>
        <v>0</v>
      </c>
      <c r="EY9">
        <f>IF(OR(ROW()-4&gt;INDEX($U$4:$U$11,$AC$2+1,1)-INDEX($U$4:$U$11,$AC$2,1),ROW()-4&gt;$AD$2),NA(),COUNTIF(INDEX($CR$5:$CX$201,INDEX($U$4:$U$11,1,1),$AC$2):INDEX($CR$5:$CX$201,INDEX($U$4:$U$11,1,1)+ROW()-5,$AC$2),EY$3))</f>
        <v>1</v>
      </c>
      <c r="EZ9">
        <f>IF(OR(ROW()-4&gt;INDEX($U$4:$U$11,$AC$2+1,1)-INDEX($U$4:$U$11,$AC$2,1),ROW()-4&gt;$AD$2),NA(),COUNTIF(INDEX($CR$5:$CX$201,INDEX($U$4:$U$11,1,1),$AC$2):INDEX($CR$5:$CX$201,INDEX($U$4:$U$11,1,1)+ROW()-5,$AC$2),EZ$3))</f>
        <v>0</v>
      </c>
      <c r="FA9">
        <f>IF(OR(ROW()-4&gt;INDEX($U$4:$U$11,$AC$2+1,1)-INDEX($U$4:$U$11,$AC$2,1),ROW()-4&gt;$AD$2),NA(),COUNTIF(INDEX($CR$5:$CX$201,INDEX($U$4:$U$11,1,1),$AC$2):INDEX($CR$5:$CX$201,INDEX($U$4:$U$11,1,1)+ROW()-5,$AC$2),FA$3))</f>
        <v>0</v>
      </c>
      <c r="FC9">
        <f>IF(OR(ROW()-4&gt;INDEX($U$4:$U$11,$AC$2+1,1)-INDEX($U$4:$U$11,$AC$2,1),ROW()-4&gt;$AD$2),NA(),COUNTIF(INDEX($CR$5:$CX$201,INDEX($U$4:$U$11,1,1),$AC$2):INDEX($CR$5:$CX$201,INDEX($U$4:$U$11,1,1)+ROW()-5,$AC$2),FC$3))</f>
        <v>0</v>
      </c>
      <c r="FD9">
        <f>IF(OR(ROW()-4&gt;INDEX($U$4:$U$11,$AC$2+1,1)-INDEX($U$4:$U$11,$AC$2,1),ROW()-4&gt;$AD$2),NA(),COUNTIF(INDEX($CR$5:$CX$201,INDEX($U$4:$U$11,1,1),$AC$2):INDEX($CR$5:$CX$201,INDEX($U$4:$U$11,1,1)+ROW()-5,$AC$2),FD$3))</f>
        <v>0</v>
      </c>
      <c r="FE9">
        <f>IF(OR(ROW()-4&gt;INDEX($U$4:$U$11,$AC$2+1,1)-INDEX($U$4:$U$11,$AC$2,1),ROW()-4&gt;$AD$2),NA(),COUNTIF(INDEX($CR$5:$CX$201,INDEX($U$4:$U$11,1,1),$AC$2):INDEX($CR$5:$CX$201,INDEX($U$4:$U$11,1,1)+ROW()-5,$AC$2),FE$3))</f>
        <v>0</v>
      </c>
      <c r="FF9">
        <f>IF(OR(ROW()-4&gt;INDEX($U$4:$U$11,$AC$2+1,1)-INDEX($U$4:$U$11,$AC$2,1),ROW()-4&gt;$AD$2),NA(),COUNTIF(INDEX($CR$5:$CX$201,INDEX($U$4:$U$11,1,1),$AC$2):INDEX($CR$5:$CX$201,INDEX($U$4:$U$11,1,1)+ROW()-5,$AC$2),FF$3))</f>
        <v>1</v>
      </c>
      <c r="FG9">
        <f>IF(OR(ROW()-4&gt;INDEX($U$4:$U$11,$AC$2+1,1)-INDEX($U$4:$U$11,$AC$2,1),ROW()-4&gt;$AD$2),NA(),COUNTIF(INDEX($CR$5:$CX$201,INDEX($U$4:$U$11,1,1),$AC$2):INDEX($CR$5:$CX$201,INDEX($U$4:$U$11,1,1)+ROW()-5,$AC$2),FG$3))</f>
        <v>0</v>
      </c>
      <c r="FH9">
        <f>IF(OR(ROW()-4&gt;INDEX($U$4:$U$11,$AC$2+1,1)-INDEX($U$4:$U$11,$AC$2,1),ROW()-4&gt;$AD$2),NA(),COUNTIF(INDEX($CR$5:$CX$201,INDEX($U$4:$U$11,1,1),$AC$2):INDEX($CR$5:$CX$201,INDEX($U$4:$U$11,1,1)+ROW()-5,$AC$2),FH$3))</f>
        <v>2</v>
      </c>
      <c r="FI9">
        <f>IF(OR(ROW()-4&gt;INDEX($U$4:$U$11,$AC$2+1,1)-INDEX($U$4:$U$11,$AC$2,1),ROW()-4&gt;$AD$2),NA(),COUNTIF(INDEX($CR$5:$CX$201,INDEX($U$4:$U$11,1,1),$AC$2):INDEX($CR$5:$CX$201,INDEX($U$4:$U$11,1,1)+ROW()-5,$AC$2),FI$3))</f>
        <v>0</v>
      </c>
      <c r="FJ9">
        <f>IF(OR(ROW()-4&gt;INDEX($U$4:$U$11,$AC$2+1,1)-INDEX($U$4:$U$11,$AC$2,1),ROW()-4&gt;$AD$2),NA(),COUNTIF(INDEX($CR$5:$CX$201,INDEX($U$4:$U$11,1,1),$AC$2):INDEX($CR$5:$CX$201,INDEX($U$4:$U$11,1,1)+ROW()-5,$AC$2),FJ$3))</f>
        <v>0</v>
      </c>
      <c r="FL9">
        <f>IF(OR(ROW()-4&gt;INDEX($U$4:$U$11,$AC$2+1,1)-INDEX($U$4:$U$11,$AC$2,1),ROW()-4&gt;$AD$2),NA(),COUNTIF(INDEX($CZ$5:$DF$201,INDEX($U$4:$U$11,1,1),$AC$2):INDEX($CZ$5:$DF$201,INDEX($U$4:$U$11,1,1)+ROW()-5,$AC$2),FL$3))</f>
        <v>0</v>
      </c>
      <c r="FM9">
        <f>IF(OR(ROW()-4&gt;INDEX($U$4:$U$11,$AC$2+1,1)-INDEX($U$4:$U$11,$AC$2,1),ROW()-4&gt;$AD$2),NA(),COUNTIF(INDEX($CZ$5:$DF$201,INDEX($U$4:$U$11,1,1),$AC$2):INDEX($CZ$5:$DF$201,INDEX($U$4:$U$11,1,1)+ROW()-5,$AC$2),FM$3))</f>
        <v>0</v>
      </c>
      <c r="FN9">
        <f>IF(OR(ROW()-4&gt;INDEX($U$4:$U$11,$AC$2+1,1)-INDEX($U$4:$U$11,$AC$2,1),ROW()-4&gt;$AD$2),NA(),COUNTIF(INDEX($CZ$5:$DF$201,INDEX($U$4:$U$11,1,1),$AC$2):INDEX($CZ$5:$DF$201,INDEX($U$4:$U$11,1,1)+ROW()-5,$AC$2),FN$3))</f>
        <v>0</v>
      </c>
      <c r="FO9">
        <f>IF(OR(ROW()-4&gt;INDEX($U$4:$U$11,$AC$2+1,1)-INDEX($U$4:$U$11,$AC$2,1),ROW()-4&gt;$AD$2),NA(),COUNTIF(INDEX($CZ$5:$DF$201,INDEX($U$4:$U$11,1,1),$AC$2):INDEX($CZ$5:$DF$201,INDEX($U$4:$U$11,1,1)+ROW()-5,$AC$2),FO$3))</f>
        <v>2</v>
      </c>
      <c r="FP9">
        <f>IF(OR(ROW()-4&gt;INDEX($U$4:$U$11,$AC$2+1,1)-INDEX($U$4:$U$11,$AC$2,1),ROW()-4&gt;$AD$2),NA(),COUNTIF(INDEX($CZ$5:$DF$201,INDEX($U$4:$U$11,1,1),$AC$2):INDEX($CZ$5:$DF$201,INDEX($U$4:$U$11,1,1)+ROW()-5,$AC$2),FP$3))</f>
        <v>0</v>
      </c>
      <c r="FQ9">
        <f>IF(OR(ROW()-4&gt;INDEX($U$4:$U$11,$AC$2+1,1)-INDEX($U$4:$U$11,$AC$2,1),ROW()-4&gt;$AD$2),NA(),COUNTIF(INDEX($CZ$5:$DF$201,INDEX($U$4:$U$11,1,1),$AC$2):INDEX($CZ$5:$DF$201,INDEX($U$4:$U$11,1,1)+ROW()-5,$AC$2),FQ$3))</f>
        <v>0</v>
      </c>
      <c r="FR9">
        <f>IF(OR(ROW()-4&gt;INDEX($U$4:$U$11,$AC$2+1,1)-INDEX($U$4:$U$11,$AC$2,1),ROW()-4&gt;$AD$2),NA(),COUNTIF(INDEX($CZ$5:$DF$201,INDEX($U$4:$U$11,1,1),$AC$2):INDEX($CZ$5:$DF$201,INDEX($U$4:$U$11,1,1)+ROW()-5,$AC$2),FR$3))</f>
        <v>0</v>
      </c>
      <c r="FS9">
        <f>IF(OR(ROW()-4&gt;INDEX($U$4:$U$11,$AC$2+1,1)-INDEX($U$4:$U$11,$AC$2,1),ROW()-4&gt;$AD$2),NA(),COUNTIF(INDEX($CZ$5:$DF$201,INDEX($U$4:$U$11,1,1),$AC$2):INDEX($CZ$5:$DF$201,INDEX($U$4:$U$11,1,1)+ROW()-5,$AC$2),FS$3))</f>
        <v>0</v>
      </c>
      <c r="FT9">
        <f>IF(OR(ROW()-4&gt;INDEX($U$4:$U$11,$AC$2+1,1)-INDEX($U$4:$U$11,$AC$2,1),ROW()-4&gt;$AD$2),NA(),COUNTIF(INDEX($CZ$5:$DF$201,INDEX($U$4:$U$11,1,1),$AC$2):INDEX($CZ$5:$DF$201,INDEX($U$4:$U$11,1,1)+ROW()-5,$AC$2),FT$3))</f>
        <v>0</v>
      </c>
      <c r="FU9">
        <f>IF(OR(ROW()-4&gt;INDEX($U$4:$U$11,$AC$2+1,1)-INDEX($U$4:$U$11,$AC$2,1),ROW()-4&gt;$AD$2),NA(),COUNTIF(INDEX($CZ$5:$DF$201,INDEX($U$4:$U$11,1,1),$AC$2):INDEX($CZ$5:$DF$201,INDEX($U$4:$U$11,1,1)+ROW()-5,$AC$2),FU$3))</f>
        <v>0</v>
      </c>
      <c r="FW9">
        <f>IF(OR(ROW()-4&gt;INDEX($U$4:$U$11,$AC$2+1,1)-INDEX($U$4:$U$11,$AC$2,1),ROW()-4&gt;$AD$2),NA(),COUNTIF(INDEX($CZ$5:$DF$201,INDEX($U$4:$U$11,1,1),$AC$2):INDEX($CZ$5:$DF$201,INDEX($U$4:$U$11,1,1)+ROW()-5,$AC$2),FW$3))</f>
        <v>0</v>
      </c>
      <c r="FX9">
        <f>IF(OR(ROW()-4&gt;INDEX($U$4:$U$11,$AC$2+1,1)-INDEX($U$4:$U$11,$AC$2,1),ROW()-4&gt;$AD$2),NA(),COUNTIF(INDEX($CZ$5:$DF$201,INDEX($U$4:$U$11,1,1),$AC$2):INDEX($CZ$5:$DF$201,INDEX($U$4:$U$11,1,1)+ROW()-5,$AC$2),FX$3))</f>
        <v>1</v>
      </c>
      <c r="FY9">
        <f>IF(OR(ROW()-4&gt;INDEX($U$4:$U$11,$AC$2+1,1)-INDEX($U$4:$U$11,$AC$2,1),ROW()-4&gt;$AD$2),NA(),COUNTIF(INDEX($CZ$5:$DF$201,INDEX($U$4:$U$11,1,1),$AC$2):INDEX($CZ$5:$DF$201,INDEX($U$4:$U$11,1,1)+ROW()-5,$AC$2),FY$3))</f>
        <v>0</v>
      </c>
      <c r="FZ9">
        <f>IF(OR(ROW()-4&gt;INDEX($U$4:$U$11,$AC$2+1,1)-INDEX($U$4:$U$11,$AC$2,1),ROW()-4&gt;$AD$2),NA(),COUNTIF(INDEX($CZ$5:$DF$201,INDEX($U$4:$U$11,1,1),$AC$2):INDEX($CZ$5:$DF$201,INDEX($U$4:$U$11,1,1)+ROW()-5,$AC$2),FZ$3))</f>
        <v>0</v>
      </c>
      <c r="GA9">
        <f>IF(OR(ROW()-4&gt;INDEX($U$4:$U$11,$AC$2+1,1)-INDEX($U$4:$U$11,$AC$2,1),ROW()-4&gt;$AD$2),NA(),COUNTIF(INDEX($CZ$5:$DF$201,INDEX($U$4:$U$11,1,1),$AC$2):INDEX($CZ$5:$DF$201,INDEX($U$4:$U$11,1,1)+ROW()-5,$AC$2),GA$3))</f>
        <v>0</v>
      </c>
      <c r="GB9">
        <f>IF(OR(ROW()-4&gt;INDEX($U$4:$U$11,$AC$2+1,1)-INDEX($U$4:$U$11,$AC$2,1),ROW()-4&gt;$AD$2),NA(),COUNTIF(INDEX($CZ$5:$DF$201,INDEX($U$4:$U$11,1,1),$AC$2):INDEX($CZ$5:$DF$201,INDEX($U$4:$U$11,1,1)+ROW()-5,$AC$2),GB$3))</f>
        <v>0</v>
      </c>
      <c r="GC9">
        <f>IF(OR(ROW()-4&gt;INDEX($U$4:$U$11,$AC$2+1,1)-INDEX($U$4:$U$11,$AC$2,1),ROW()-4&gt;$AD$2),NA(),COUNTIF(INDEX($CZ$5:$DF$201,INDEX($U$4:$U$11,1,1),$AC$2):INDEX($CZ$5:$DF$201,INDEX($U$4:$U$11,1,1)+ROW()-5,$AC$2),GC$3))</f>
        <v>1</v>
      </c>
      <c r="GD9">
        <f>IF(OR(ROW()-4&gt;INDEX($U$4:$U$11,$AC$2+1,1)-INDEX($U$4:$U$11,$AC$2,1),ROW()-4&gt;$AD$2),NA(),COUNTIF(INDEX($CZ$5:$DF$201,INDEX($U$4:$U$11,1,1),$AC$2):INDEX($CZ$5:$DF$201,INDEX($U$4:$U$11,1,1)+ROW()-5,$AC$2),GD$3))</f>
        <v>0</v>
      </c>
      <c r="GE9">
        <f>IF(OR(ROW()-4&gt;INDEX($U$4:$U$11,$AC$2+1,1)-INDEX($U$4:$U$11,$AC$2,1),ROW()-4&gt;$AD$2),NA(),COUNTIF(INDEX($CZ$5:$DF$201,INDEX($U$4:$U$11,1,1),$AC$2):INDEX($CZ$5:$DF$201,INDEX($U$4:$U$11,1,1)+ROW()-5,$AC$2),GE$3))</f>
        <v>0</v>
      </c>
      <c r="GF9">
        <f>IF(OR(ROW()-4&gt;INDEX($U$4:$U$11,$AC$2+1,1)-INDEX($U$4:$U$11,$AC$2,1),ROW()-4&gt;$AD$2),NA(),COUNTIF(INDEX($CZ$5:$DF$201,INDEX($U$4:$U$11,1,1),$AC$2):INDEX($CZ$5:$DF$201,INDEX($U$4:$U$11,1,1)+ROW()-5,$AC$2),GF$3))</f>
        <v>0</v>
      </c>
      <c r="GQ9" s="66" t="str">
        <f>DV1</f>
        <v>F</v>
      </c>
      <c r="GR9" s="66" t="str">
        <f t="shared" ref="GR9:GT9" si="126">DW1</f>
        <v>FM</v>
      </c>
      <c r="GS9" s="66" t="str">
        <f t="shared" si="126"/>
        <v>BM</v>
      </c>
      <c r="GT9" s="66" t="str">
        <f t="shared" si="126"/>
        <v>B</v>
      </c>
      <c r="GV9" s="67" t="str">
        <f>EE1</f>
        <v>F</v>
      </c>
      <c r="GW9" s="67" t="str">
        <f t="shared" ref="GW9:GY9" si="127">EF1</f>
        <v>FM</v>
      </c>
      <c r="GX9" s="67" t="str">
        <f t="shared" si="127"/>
        <v>BM</v>
      </c>
      <c r="GY9" s="67" t="str">
        <f t="shared" si="127"/>
        <v>B</v>
      </c>
      <c r="GZ9" t="s">
        <v>51</v>
      </c>
      <c r="HA9">
        <f>INDEX($DL$5:$DL$40,$AD$2)</f>
        <v>0</v>
      </c>
      <c r="HB9">
        <f>INDEX($DL$4:$DL$40,$AD$2+1)-INDEX($DL$4:$DL$40,$AD$2)</f>
        <v>0</v>
      </c>
      <c r="HC9" s="59">
        <f>INDEX($DL$55:$DL$90,$AD$2)</f>
        <v>0</v>
      </c>
      <c r="HD9" s="59">
        <f t="shared" ref="HD9:HD10" si="128">HA9-HC9</f>
        <v>0</v>
      </c>
      <c r="HE9" t="s">
        <v>61</v>
      </c>
      <c r="HF9">
        <f>INDEX($FA$5:$FA$40,$AD$2)</f>
        <v>0</v>
      </c>
      <c r="HG9" t="e">
        <f>INDEX($FA$4:$FA$40,$AD$2+1)-INDEX($FA$40:$FA$52,$AD$2)</f>
        <v>#REF!</v>
      </c>
      <c r="HH9" s="59">
        <f>INDEX($FA$55:$FA$90,$AD$2)</f>
        <v>0</v>
      </c>
      <c r="HI9" s="59">
        <f t="shared" si="0"/>
        <v>0</v>
      </c>
      <c r="HM9" s="68">
        <f>INDEX($FL$4:$FL$40,$AD$2+1)-INDEX($FL$4:$FL$40,$AD$2)</f>
        <v>0</v>
      </c>
      <c r="HN9" s="68">
        <f>INDEX($FM$4:$FM$40,$AD$2+1)-INDEX($FM$4:$FM$40,$AD$2)</f>
        <v>0</v>
      </c>
      <c r="HO9" s="68">
        <f>INDEX($FN$4:$FN$40,$AD$2+1)-INDEX($FN$4:$FN$40,$AD$2)</f>
        <v>0</v>
      </c>
      <c r="HP9" s="68">
        <f>INDEX($FO$4:$FO$40,$AD$2+1)-INDEX($FO$4:$FO$40,$AD$2)</f>
        <v>1</v>
      </c>
    </row>
    <row r="10" spans="1:224" x14ac:dyDescent="0.45">
      <c r="A10" t="str">
        <f>データの貼付!A8</f>
        <v>KIHARA Miyuu</v>
      </c>
      <c r="B10">
        <f>データの貼付!B8</f>
        <v>1.9591319444444443E-3</v>
      </c>
      <c r="C10">
        <f>データの貼付!C8</f>
        <v>7.0277777777777775E-5</v>
      </c>
      <c r="D10">
        <f>データの貼付!D8</f>
        <v>0</v>
      </c>
      <c r="E10" t="str">
        <f>データの貼付!F8</f>
        <v>KIHARA Miyuu</v>
      </c>
      <c r="F10">
        <f>データの貼付!E8</f>
        <v>0</v>
      </c>
      <c r="G10" t="str">
        <f>データの貼付!G8</f>
        <v>#03</v>
      </c>
      <c r="H10" t="str">
        <f>データの貼付!H8</f>
        <v>KIHARA Miyuu</v>
      </c>
      <c r="I10" t="str">
        <f>データの貼付!I8</f>
        <v>(Side)</v>
      </c>
      <c r="J10" t="str">
        <f>データの貼付!J8</f>
        <v>B</v>
      </c>
      <c r="K10" t="str">
        <f>データの貼付!K8</f>
        <v>FMS</v>
      </c>
      <c r="L10" t="str">
        <f>データの貼付!L8</f>
        <v>B</v>
      </c>
      <c r="M10" t="str">
        <f>データの貼付!M8</f>
        <v>Push</v>
      </c>
      <c r="N10" t="str">
        <f>データの貼付!N8</f>
        <v>B</v>
      </c>
      <c r="R10">
        <f t="shared" si="59"/>
        <v>0</v>
      </c>
      <c r="S10">
        <f>SUM(R$4:R10)</f>
        <v>1</v>
      </c>
      <c r="T10" t="str">
        <f t="shared" si="60"/>
        <v/>
      </c>
      <c r="U10" t="str">
        <f>IF(TYPE(U9+MATCH(1,INDEX(R$4:R$200,U9+1):INDEX(R$4:R$200,197),0))=16,"",U9+MATCH(1,INDEX(R$4:R$200,U9+1):INDEX(R$4:R$200,197),0))</f>
        <v/>
      </c>
      <c r="V10" t="e">
        <f t="shared" si="61"/>
        <v>#VALUE!</v>
      </c>
      <c r="W10" t="str">
        <f t="shared" si="57"/>
        <v>KIHARA Miyuu_KIHARA Miyuu</v>
      </c>
      <c r="X10" t="str">
        <f t="shared" si="58"/>
        <v>KIHARA Miyuu_#03</v>
      </c>
      <c r="Z10">
        <f>graph!L2</f>
        <v>8</v>
      </c>
      <c r="AC10" s="8">
        <f>IF(OR(ROW()-4&gt;INDEX($U$4:$U$11,AC$2+1)-INDEX($U$4:$U$11,AC$2),ROW()-4&gt;AD$2),NA(),COUNTIF(INDEX($W$4:$W$200,INDEX($U$4:$U$11,AC$2)):INDEX($W$4:$W$200,INDEX($U$4:$U$11,AC$2)+ROW()-5),AC$3&amp;"_"&amp;AC$3)/(COUNTIF(INDEX($W$4:$W$200,INDEX($U$4:$U$11,AC$2)):INDEX($W$4:$W$200,INDEX($U$4:$U$11,AC$2)+ROW()-5),AC$3&amp;"_"&amp;AC$3)+COUNTIF(INDEX($W$4:$W$200,INDEX($U$4:$U$11,AC$2)):INDEX($W$4:$W$200,INDEX($U$4:$U$11,AC$2)+ROW()-5),AD$3&amp;"_"&amp;AC$3)))</f>
        <v>0.5</v>
      </c>
      <c r="AD10" s="8">
        <f>IF(OR(ROW()-4&gt;INDEX($U$4:$U$11,AC$2+1)-INDEX($U$4:$U$11,AC$2),ROW()-4&gt;AD$2),NA(),COUNTIF(INDEX($W$4:$W$200,INDEX($U$4:$U$11,AC$2)):INDEX($W$4:$W$200,INDEX($U$4:$U$11,AC$2)+ROW()-5),AD$3&amp;"_"&amp;AD$3)/(COUNTIF(INDEX($W$4:$W$200,INDEX($U$4:$U$11,AC$2)):INDEX($W$4:$W$200,INDEX($U$4:$U$11,AC$2)+ROW()-5),AD$3&amp;"_"&amp;AD$3)+COUNTIF(INDEX($W$4:$W$200,INDEX($U$4:$U$11,AC$2)):INDEX($W$4:$W$200,INDEX($U$4:$U$11,AC$2)+ROW()-5),AC$3&amp;"_"&amp;AD$3)))</f>
        <v>0.5</v>
      </c>
      <c r="AE10" s="10">
        <f>IF(OR(ROW()-4&gt;INDEX($U$4:$U$11,AC$2+1)-INDEX($U$4:$U$11,AC$2),ROW()-4&gt;AD$2),NA(),COUNTIF(INDEX($W$4:$W$200,INDEX($U$4:$U$11,AC$2)):INDEX($W$4:$W$200,INDEX($U$4:$U$11,AC$2)+ROW()-5),AC$3&amp;"_"&amp;AD$3)/(COUNTIF(INDEX($W$4:$W$200,INDEX($U$4:$U$11,AC$2)):INDEX($W$4:$W$200,INDEX($U$4:$U$11,AC$2)+ROW()-5),AC$3&amp;"_"&amp;AD$3)+COUNTIF(INDEX($W$4:$W$200,INDEX($U$4:$U$11,AC$2)):INDEX($W$4:$W$200,INDEX($U$4:$U$11,AC$2)+ROW()-5),AD$3&amp;"_"&amp;AD$3)))</f>
        <v>0.5</v>
      </c>
      <c r="AF10" s="10">
        <f>IF(OR(ROW()-4&gt;INDEX($U$4:$U$11,AC$2+1)-INDEX($U$4:$U$11,AC$2),ROW()-4&gt;AD$2),NA(),COUNTIF(INDEX($W$4:$W$200,INDEX($U$4:$U$11,AC$2)):INDEX($W$4:$W$200,INDEX($U$4:$U$11,AC$2)+ROW()-5),AD$3&amp;"_"&amp;AC$3)/(COUNTIF(INDEX($W$4:$W$200,INDEX($U$4:$U$11,AC$2)):INDEX($W$4:$W$200,INDEX($U$4:$U$11,AC$2)+ROW()-5),AD$3&amp;"_"&amp;AC$3)+COUNTIF(INDEX($W$4:$W$200,INDEX($U$4:$U$11,AC$2)):INDEX($W$4:$W$200,INDEX($U$4:$U$11,AC$2)+ROW()-5),AC$3&amp;"_"&amp;AC$3)))</f>
        <v>0.5</v>
      </c>
      <c r="AG10" s="10">
        <f>IF(OR(ROW()-4&gt;INDEX($U$4:$U$11,AC$2+1)-INDEX($U$4:$U$11,AC$2),ROW()-4&gt;AD$2),NA(),COUNTIF(INDEX($X$4:$X$200,INDEX($U$4:$U$11,AC$2)):INDEX($X$4:$X$200,INDEX($U$4:$U$11,AC$2)+ROW()-5),AC$3&amp;"_#03")/(COUNTIF(INDEX($W$4:$W$200,INDEX($U$4:$U$11,AC$2)):INDEX($W$4:$W$200,INDEX($U$4:$U$11,AC$2)+ROW()-5),AC$3&amp;"_"&amp;AC$3)+COUNTIF(INDEX($W$4:$W$200,INDEX($U$4:$U$11,AC$2)):INDEX($W$4:$W$200,INDEX($U$4:$U$11,AC$2)+ROW()-5),AD$3&amp;"_"&amp;AC$3)))</f>
        <v>0</v>
      </c>
      <c r="AH10" s="10">
        <f>IF(OR(ROW()-4&gt;INDEX($U$4:$U$11,AC$2+1)-INDEX($U$4:$U$11,AC$2),ROW()-4&gt;AD$2),NA(),COUNTIF(INDEX($X$4:$X$200,INDEX($U$4:$U$11,AC$2)):INDEX($X$4:$X$200,INDEX($U$4:$U$11,AC$2)+ROW()-5),AD$3&amp;"_#03")/(COUNTIF(INDEX($W$4:$W$200,INDEX($U$4:$U$11,AC$2)):INDEX($W$4:$W$200,INDEX($U$4:$U$11,AC$2)+ROW()-5),AD$3&amp;"_"&amp;AD$3)+COUNTIF(INDEX($W$4:$W$200,INDEX($U$4:$U$11,AC$2)):INDEX($W$4:$W$200,INDEX($U$4:$U$11,AC$2)+ROW()-5),AC$3&amp;"_"&amp;AD$3)))</f>
        <v>0</v>
      </c>
      <c r="AI10" s="10">
        <f>IF(OR(ROW()-4&gt;INDEX($U$4:$U$11,AC$2+1)-INDEX($U$4:$U$11,AC$2),ROW()-4&gt;AD$2),NA(),(COUNTIF(INDEX($X$4:$X$200,INDEX($U$4:$U$11,AC$2)):INDEX($X$4:$X$200,INDEX($U$4:$U$11,AC$2)+ROW()-5),AC$3&amp;"_#03")-COUNTIF(INDEX($X$4:$X$200,INDEX($U$4:$U$11,AC$2)):INDEX($X$4:$X$200,INDEX($U$4:$U$11,AC$2)+ROW()-5),AD$3&amp;"_#02"))/(COUNTIF(INDEX($W$4:$W$200,INDEX($U$4:$U$11,AC$2)):INDEX($W$4:$W$200,INDEX($U$4:$U$11,AC$2)+ROW()-5),AC$3&amp;"_"&amp;AC$3)+COUNTIF(INDEX($W$4:$W$200,INDEX($U$4:$U$11,AC$2)):INDEX($W$4:$W$200,INDEX($U$4:$U$11,AC$2)+ROW()-5),AD$3&amp;"_"&amp;AC$3)))</f>
        <v>-0.25</v>
      </c>
      <c r="AJ10" s="10">
        <f>IF(OR(ROW()-4&gt;INDEX($U$4:$U$11,AC$2+1)-INDEX($U$4:$U$11,AC$2),ROW()-4&gt;AD$2),NA(),(COUNTIF(INDEX($X$4:$X$200,INDEX($U$4:$U$11,AC$2)):INDEX($X$4:$X$200,INDEX($U$4:$U$11,AC$2)+ROW()-5),AD$3&amp;"_#03")-COUNTIF(INDEX($X$4:$X$200,INDEX($U$4:$U$11,AC$2)):INDEX($X$4:$X$200,INDEX($U$4:$U$11,AC$2)+ROW()-5),AC$3&amp;"_#02"))/(COUNTIF(INDEX($W$4:$W$200,INDEX($U$4:$U$11,AC$2)):INDEX($W$4:$W$200,INDEX($U$4:$U$11,AC$2)+ROW()-5),AD$3&amp;"_"&amp;AD$3)+COUNTIF(INDEX($W$4:$W$200,INDEX($U$4:$U$11,AC$2)):INDEX($W$4:$W$200,INDEX($U$4:$U$11,AC$2)+ROW()-5),AC$3&amp;"_"&amp;AD$3)))</f>
        <v>0</v>
      </c>
      <c r="AK10" s="10">
        <f>IF(OR(ROW()-4&gt;INDEX($U$4:$U$11,AC$2+1)-INDEX($U$4:$U$11,AC$2),ROW()-4&gt;AD$2),NA(),(COUNTIF(INDEX($X$4:$X$200,INDEX($U$4:$U$11,AC$2)):INDEX($X$4:$X$200,INDEX($U$4:$U$11,AC$2)+ROW()-5),AC$3&amp;"_#01")+COUNTIF(INDEX($X$4:$X$200,INDEX($U$4:$U$11,AC$2)):INDEX($X$4:$X$200,INDEX($U$4:$U$11,AC$2)+ROW()-5),AC$3&amp;"_#03"))/(COUNTIF(INDEX($W$4:$W$200,INDEX($U$4:$U$11,AC$2)):INDEX($W$4:$W$200,INDEX($U$4:$U$11,AC$2)+ROW()-5),AC$3&amp;"_"&amp;AC$3)+COUNTIF(INDEX($W$4:$W$200,INDEX($U$4:$U$11,AC$2)):INDEX($W$4:$W$200,INDEX($U$4:$U$11,AC$2)+ROW()-5),AD$3&amp;"_"&amp;AC$3)))</f>
        <v>0.25</v>
      </c>
      <c r="AL10" s="10">
        <f>IF(OR(ROW()-4&gt;INDEX($U$4:$U$11,AC$2+1)-INDEX($U$4:$U$11,AC$2),ROW()-4&gt;AD$2),NA(),(COUNTIF(INDEX($X$4:$X$200,INDEX($U$4:$U$11,AC$2)):INDEX($X$4:$X$200,INDEX($U$4:$U$11,AC$2)+ROW()-5),AD$3&amp;"_#01")+COUNTIF(INDEX($X$4:$X$200,INDEX($U$4:$U$11,AC$2)):INDEX($X$4:$X$200,INDEX($U$4:$U$11,AC$2)+ROW()-5),AD$3&amp;"_#03"))/(COUNTIF(INDEX($W$4:$W$200,INDEX($U$4:$U$11,AC$2)):INDEX($W$4:$W$200,INDEX($U$4:$U$11,AC$2)+ROW()-5),AD$3&amp;"_"&amp;AD$3)+COUNTIF(INDEX($W$4:$W$200,INDEX($U$4:$U$11,AC$2)):INDEX($W$4:$W$200,INDEX($U$4:$U$11,AC$2)+ROW()-5),AC$3&amp;"_"&amp;AD$3)))</f>
        <v>0</v>
      </c>
      <c r="AN10">
        <f t="shared" si="125"/>
        <v>6</v>
      </c>
      <c r="AO10">
        <f t="shared" si="111"/>
        <v>23</v>
      </c>
      <c r="AP10">
        <f t="shared" si="112"/>
        <v>38</v>
      </c>
      <c r="AQ10">
        <f t="shared" si="113"/>
        <v>54</v>
      </c>
      <c r="AR10">
        <f t="shared" si="114"/>
        <v>73</v>
      </c>
      <c r="AS10" t="e">
        <f t="shared" si="115"/>
        <v>#VALUE!</v>
      </c>
      <c r="AT10" t="e">
        <f t="shared" si="116"/>
        <v>#VALUE!</v>
      </c>
      <c r="AV10" t="str">
        <f t="shared" si="117"/>
        <v>FENG Tianwei</v>
      </c>
      <c r="AW10" t="str">
        <f t="shared" si="63"/>
        <v>KIHARA Miyuu</v>
      </c>
      <c r="AX10" t="str">
        <f t="shared" si="64"/>
        <v>FENG Tianwei</v>
      </c>
      <c r="AY10" t="str">
        <f t="shared" si="65"/>
        <v>FENG Tianwei</v>
      </c>
      <c r="AZ10" t="str">
        <f t="shared" si="66"/>
        <v>FENG Tianwei</v>
      </c>
      <c r="BA10" t="e">
        <f t="shared" si="67"/>
        <v>#VALUE!</v>
      </c>
      <c r="BB10" t="e">
        <f t="shared" si="68"/>
        <v>#VALUE!</v>
      </c>
      <c r="BD10" t="str">
        <f t="shared" si="118"/>
        <v>FENG Tianwei</v>
      </c>
      <c r="BE10" t="str">
        <f t="shared" si="69"/>
        <v>KIHARA Miyuu</v>
      </c>
      <c r="BF10" t="str">
        <f t="shared" si="70"/>
        <v>FENG Tianwei</v>
      </c>
      <c r="BG10" t="str">
        <f t="shared" si="71"/>
        <v>KIHARA Miyuu</v>
      </c>
      <c r="BH10" t="str">
        <f t="shared" si="72"/>
        <v>FENG Tianwei</v>
      </c>
      <c r="BI10" t="e">
        <f t="shared" si="73"/>
        <v>#VALUE!</v>
      </c>
      <c r="BJ10" t="e">
        <f t="shared" si="74"/>
        <v>#VALUE!</v>
      </c>
      <c r="BL10" t="str">
        <f t="shared" si="119"/>
        <v>FENG Tianwei_Side</v>
      </c>
      <c r="BM10" t="str">
        <f t="shared" si="75"/>
        <v>KIHARA Miyuu_(Side)</v>
      </c>
      <c r="BN10" t="str">
        <f t="shared" si="76"/>
        <v>FENG Tianwei_Side</v>
      </c>
      <c r="BO10" t="str">
        <f t="shared" si="77"/>
        <v>KIHARA Miyuu_(Side)</v>
      </c>
      <c r="BP10" t="str">
        <f t="shared" si="78"/>
        <v>FENG Tianwei_Side</v>
      </c>
      <c r="BQ10" t="e">
        <f t="shared" si="79"/>
        <v>#VALUE!</v>
      </c>
      <c r="BR10" t="e">
        <f t="shared" si="80"/>
        <v>#VALUE!</v>
      </c>
      <c r="BT10" t="str">
        <f t="shared" si="120"/>
        <v>FENG Tianwei_B</v>
      </c>
      <c r="BU10" t="str">
        <f t="shared" si="81"/>
        <v>KIHARA Miyuu_B</v>
      </c>
      <c r="BV10" t="str">
        <f t="shared" si="82"/>
        <v>FENG Tianwei_B</v>
      </c>
      <c r="BW10" t="str">
        <f t="shared" si="83"/>
        <v>KIHARA Miyuu_B</v>
      </c>
      <c r="BX10" t="str">
        <f t="shared" si="84"/>
        <v>FENG Tianwei_B</v>
      </c>
      <c r="BY10" t="e">
        <f t="shared" si="85"/>
        <v>#VALUE!</v>
      </c>
      <c r="BZ10" t="e">
        <f t="shared" si="86"/>
        <v>#VALUE!</v>
      </c>
      <c r="CB10" t="str">
        <f t="shared" si="121"/>
        <v>FENG Tianwei_BM</v>
      </c>
      <c r="CC10" t="str">
        <f t="shared" si="87"/>
        <v>KIHARA Miyuu_FMS</v>
      </c>
      <c r="CD10" t="str">
        <f t="shared" si="88"/>
        <v>FENG Tianwei_BM</v>
      </c>
      <c r="CE10" t="str">
        <f t="shared" si="89"/>
        <v>KIHARA Miyuu_FS</v>
      </c>
      <c r="CF10" t="str">
        <f t="shared" si="90"/>
        <v>FENG Tianwei_BM</v>
      </c>
      <c r="CG10" t="e">
        <f t="shared" si="91"/>
        <v>#VALUE!</v>
      </c>
      <c r="CH10" t="e">
        <f t="shared" si="92"/>
        <v>#VALUE!</v>
      </c>
      <c r="CJ10" t="str">
        <f t="shared" si="122"/>
        <v>KIHARA Miyuu_B</v>
      </c>
      <c r="CK10" t="str">
        <f t="shared" si="93"/>
        <v>FENG Tianwei_F</v>
      </c>
      <c r="CL10" t="str">
        <f t="shared" si="94"/>
        <v>KIHARA Miyuu_B</v>
      </c>
      <c r="CM10" t="str">
        <f t="shared" si="95"/>
        <v>FENG Tianwei_F</v>
      </c>
      <c r="CN10" t="str">
        <f t="shared" si="96"/>
        <v>KIHARA Miyuu_B</v>
      </c>
      <c r="CO10" t="e">
        <f t="shared" si="97"/>
        <v>#VALUE!</v>
      </c>
      <c r="CP10" t="e">
        <f t="shared" si="98"/>
        <v>#VALUE!</v>
      </c>
      <c r="CR10" t="str">
        <f t="shared" si="123"/>
        <v>KIHARA Miyuu_ドライブ</v>
      </c>
      <c r="CS10" t="str">
        <f t="shared" si="99"/>
        <v>FENG Tianwei_Stop</v>
      </c>
      <c r="CT10" t="str">
        <f t="shared" si="100"/>
        <v>KIHARA Miyuu_ドライブ</v>
      </c>
      <c r="CU10" t="str">
        <f t="shared" si="101"/>
        <v>FENG Tianwei_Push</v>
      </c>
      <c r="CV10" t="str">
        <f t="shared" si="102"/>
        <v>KIHARA Miyuu_ドライブ</v>
      </c>
      <c r="CW10" t="e">
        <f t="shared" si="103"/>
        <v>#VALUE!</v>
      </c>
      <c r="CX10" t="e">
        <f t="shared" si="104"/>
        <v>#VALUE!</v>
      </c>
      <c r="CZ10" t="str">
        <f t="shared" si="124"/>
        <v>KIHARA Miyuu_BM</v>
      </c>
      <c r="DA10" t="str">
        <f t="shared" si="105"/>
        <v>FENG Tianwei_FMS</v>
      </c>
      <c r="DB10" t="str">
        <f t="shared" si="106"/>
        <v>KIHARA Miyuu_BS</v>
      </c>
      <c r="DC10" t="str">
        <f t="shared" si="107"/>
        <v>FENG Tianwei_BM</v>
      </c>
      <c r="DD10" t="str">
        <f t="shared" si="108"/>
        <v>KIHARA Miyuu_BM</v>
      </c>
      <c r="DE10" t="e">
        <f t="shared" si="109"/>
        <v>#VALUE!</v>
      </c>
      <c r="DF10" t="e">
        <f t="shared" si="110"/>
        <v>#VALUE!</v>
      </c>
      <c r="DH10">
        <f>IF(OR(ROW()-4&gt;INDEX($U$4:$U$11,$AC$2+1,1)-INDEX($U$4:$U$11,$AC$2,1),ROW()-4&gt;$AD$2),NA(),COUNTIF(INDEX($BL$5:$BR$50,INDEX($U$4:$U$11,1,1),$AC$2):INDEX($BL$5:$BR$50,INDEX($U$4:$U$11,1,1)+ROW()-5,$AC$2),DH$3))</f>
        <v>1</v>
      </c>
      <c r="DI10">
        <f>IF(OR(ROW()-4&gt;INDEX($U$4:$U$11,$AC$2+1,1)-INDEX($U$4:$U$11,$AC$2,1),ROW()-4&gt;$AD$2),NA(),COUNTIF(INDEX($BL$5:$BR$50,INDEX($U$4:$U$11,1,1),$AC$2):INDEX($BL$5:$BR$50,INDEX($U$4:$U$11,1,1)+ROW()-5,$AC$2),DI$3))</f>
        <v>3</v>
      </c>
      <c r="DJ10">
        <f>IF(OR(ROW()-4&gt;INDEX($U$4:$U$11,$AC$2+1,1)-INDEX($U$4:$U$11,$AC$2,1),ROW()-4&gt;$AD$2),NA(),COUNTIF(INDEX($BL$5:$BR$50,INDEX($U$4:$U$11,1,1),$AC$2):INDEX($BL$5:$BR$50,INDEX($U$4:$U$11,1,1)+ROW()-5,$AC$2),DJ$3))</f>
        <v>0</v>
      </c>
      <c r="DL10">
        <f>IF(OR(ROW()-4&gt;INDEX($U$4:$U$11,$AC$2+1,1)-INDEX($U$4:$U$11,$AC$2,1),ROW()-4&gt;$AD$2),NA(),COUNTIF(INDEX($BL$5:$BR$50,INDEX($U$4:$U$11,1,1),$AC$2):INDEX($BL$5:$BR$50,INDEX($U$4:$U$11,1,1)+ROW()-5,$AC$2),DL$3))</f>
        <v>0</v>
      </c>
      <c r="DM10">
        <f>IF(OR(ROW()-4&gt;INDEX($U$4:$U$11,$AC$2+1,1)-INDEX($U$4:$U$11,$AC$2,1),ROW()-4&gt;$AD$2),NA(),COUNTIF(INDEX($BL$5:$BR$50,INDEX($U$4:$U$11,1,1),$AC$2):INDEX($BL$5:$BR$50,INDEX($U$4:$U$11,1,1)+ROW()-5,$AC$2),DM$3))</f>
        <v>0</v>
      </c>
      <c r="DN10">
        <f>IF(OR(ROW()-4&gt;INDEX($U$4:$U$11,$AC$2+1,1)-INDEX($U$4:$U$11,$AC$2,1),ROW()-4&gt;$AD$2),NA(),COUNTIF(INDEX($BL$5:$BR$50,INDEX($U$4:$U$11,1,1),$AC$2):INDEX($BL$5:$BR$50,INDEX($U$4:$U$11,1,1)+ROW()-5,$AC$2),DN$3))</f>
        <v>2</v>
      </c>
      <c r="DP10">
        <f>IF(OR(ROW()-4&gt;INDEX($U$4:$U$11,$AC$2+1,1)-INDEX($U$4:$U$11,$AC$2,1),ROW()-4&gt;$AD$2),NA(),COUNTIF(INDEX($BT$5:$BZ$201,INDEX($U$4:$U$11,1,1),$AC$2):INDEX($BT$5:$BZ$201,INDEX($U$4:$U$11,1,1)+ROW()-5,$AC$2),DP$3))</f>
        <v>4</v>
      </c>
      <c r="DQ10">
        <f>IF(OR(ROW()-4&gt;INDEX($U$4:$U$11,$AC$2+1,1)-INDEX($U$4:$U$11,$AC$2,1),ROW()-4&gt;$AD$2),NA(),COUNTIF(INDEX($BT$5:$BZ$201,INDEX($U$4:$U$11,1,1),$AC$2):INDEX($BT$5:$BZ$201,INDEX($U$4:$U$11,1,1)+ROW()-5,$AC$2),DQ$3))</f>
        <v>0</v>
      </c>
      <c r="DS10">
        <f>IF(OR(ROW()-4&gt;INDEX($U$4:$U$11,$AC$2+1,1)-INDEX($U$4:$U$11,$AC$2,1),ROW()-4&gt;$AD$2),NA(),COUNTIF(INDEX($BT$5:$BZ$201,INDEX($U$4:$U$11,1,1),$AC$2):INDEX($BT$5:$BZ$201,INDEX($U$4:$U$11,1,1)+ROW()-5,$AC$2),DS$3))</f>
        <v>2</v>
      </c>
      <c r="DT10">
        <f>IF(OR(ROW()-4&gt;INDEX($U$4:$U$11,$AC$2+1,1)-INDEX($U$4:$U$11,$AC$2,1),ROW()-4&gt;$AD$2),NA(),COUNTIF(INDEX($BT$5:$BZ$201,INDEX($U$4:$U$11,1,1),$AC$2):INDEX($BT$5:$BZ$201,INDEX($U$4:$U$11,1,1)+ROW()-5,$AC$2),DT$3))</f>
        <v>0</v>
      </c>
      <c r="DV10">
        <f>IF(OR(ROW()-4&gt;INDEX($U$4:$U$11,$AC$2+1,1)-INDEX($U$4:$U$11,$AC$2,1),ROW()-4&gt;$AD$2),NA(),COUNTIF(INDEX($CB$5:$CH$201,INDEX($U$4:$U$11,1,1),$AC$2):INDEX($CB$5:$CH$201,INDEX($U$4:$U$11,1,1)+ROW()-5,$AC$2),DV$3))</f>
        <v>0</v>
      </c>
      <c r="DW10">
        <f>IF(OR(ROW()-4&gt;INDEX($U$4:$U$11,$AC$2+1,1)-INDEX($U$4:$U$11,$AC$2,1),ROW()-4&gt;$AD$2),NA(),COUNTIF(INDEX($CB$5:$CH$201,INDEX($U$4:$U$11,1,1),$AC$2):INDEX($CB$5:$CH$201,INDEX($U$4:$U$11,1,1)+ROW()-5,$AC$2),DW$3))</f>
        <v>0</v>
      </c>
      <c r="DX10">
        <f>IF(OR(ROW()-4&gt;INDEX($U$4:$U$11,$AC$2+1,1)-INDEX($U$4:$U$11,$AC$2,1),ROW()-4&gt;$AD$2),NA(),COUNTIF(INDEX($CB$5:$CH$201,INDEX($U$4:$U$11,1,1),$AC$2):INDEX($CB$5:$CH$201,INDEX($U$4:$U$11,1,1)+ROW()-5,$AC$2),DX$3))</f>
        <v>3</v>
      </c>
      <c r="DY10">
        <f>IF(OR(ROW()-4&gt;INDEX($U$4:$U$11,$AC$2+1,1)-INDEX($U$4:$U$11,$AC$2,1),ROW()-4&gt;$AD$2),NA(),COUNTIF(INDEX($CB$5:$CH$201,INDEX($U$4:$U$11,1,1),$AC$2):INDEX($CB$5:$CH$201,INDEX($U$4:$U$11,1,1)+ROW()-5,$AC$2),DY$3))</f>
        <v>0</v>
      </c>
      <c r="DZ10">
        <f>IF(OR(ROW()-4&gt;INDEX($U$4:$U$11,$AC$2+1,1)-INDEX($U$4:$U$11,$AC$2,1),ROW()-4&gt;$AD$2),NA(),COUNTIF(INDEX($CB$5:$CH$201,INDEX($U$4:$U$11,1,1),$AC$2):INDEX($CB$5:$CH$201,INDEX($U$4:$U$11,1,1)+ROW()-5,$AC$2),DZ$3))</f>
        <v>0</v>
      </c>
      <c r="EA10">
        <f>IF(OR(ROW()-4&gt;INDEX($U$4:$U$11,$AC$2+1,1)-INDEX($U$4:$U$11,$AC$2,1),ROW()-4&gt;$AD$2),NA(),COUNTIF(INDEX($CB$5:$CH$201,INDEX($U$4:$U$11,1,1),$AC$2):INDEX($CB$5:$CH$201,INDEX($U$4:$U$11,1,1)+ROW()-5,$AC$2),EA$3))</f>
        <v>1</v>
      </c>
      <c r="EB10">
        <f>IF(OR(ROW()-4&gt;INDEX($U$4:$U$11,$AC$2+1,1)-INDEX($U$4:$U$11,$AC$2,1),ROW()-4&gt;$AD$2),NA(),COUNTIF(INDEX($CB$5:$CH$201,INDEX($U$4:$U$11,1,1),$AC$2):INDEX($CB$5:$CH$201,INDEX($U$4:$U$11,1,1)+ROW()-5,$AC$2),EB$3))</f>
        <v>0</v>
      </c>
      <c r="EC10">
        <f>IF(OR(ROW()-4&gt;INDEX($U$4:$U$11,$AC$2+1,1)-INDEX($U$4:$U$11,$AC$2,1),ROW()-4&gt;$AD$2),NA(),COUNTIF(INDEX($CB$5:$CH$201,INDEX($U$4:$U$11,1,1),$AC$2):INDEX($CB$5:$CH$201,INDEX($U$4:$U$11,1,1)+ROW()-5,$AC$2),EC$3))</f>
        <v>0</v>
      </c>
      <c r="EE10">
        <f>IF(OR(ROW()-4&gt;INDEX($U$4:$U$11,$AC$2+1,1)-INDEX($U$4:$U$11,$AC$2,1),ROW()-4&gt;$AD$2),NA(),COUNTIF(INDEX($CB$5:$CH$201,INDEX($U$4:$U$11,1,1),$AC$2):INDEX($CB$5:$CH$201,INDEX($U$4:$U$11,1,1)+ROW()-5,$AC$2),EE$3))</f>
        <v>0</v>
      </c>
      <c r="EF10">
        <f>IF(OR(ROW()-4&gt;INDEX($U$4:$U$11,$AC$2+1,1)-INDEX($U$4:$U$11,$AC$2,1),ROW()-4&gt;$AD$2),NA(),COUNTIF(INDEX($CB$5:$CH$201,INDEX($U$4:$U$11,1,1),$AC$2):INDEX($CB$5:$CH$201,INDEX($U$4:$U$11,1,1)+ROW()-5,$AC$2),EF$3))</f>
        <v>0</v>
      </c>
      <c r="EG10">
        <f>IF(OR(ROW()-4&gt;INDEX($U$4:$U$11,$AC$2+1,1)-INDEX($U$4:$U$11,$AC$2,1),ROW()-4&gt;$AD$2),NA(),COUNTIF(INDEX($CB$5:$CH$201,INDEX($U$4:$U$11,1,1),$AC$2):INDEX($CB$5:$CH$201,INDEX($U$4:$U$11,1,1)+ROW()-5,$AC$2),EG$3))</f>
        <v>0</v>
      </c>
      <c r="EH10">
        <f>IF(OR(ROW()-4&gt;INDEX($U$4:$U$11,$AC$2+1,1)-INDEX($U$4:$U$11,$AC$2,1),ROW()-4&gt;$AD$2),NA(),COUNTIF(INDEX($CB$5:$CH$201,INDEX($U$4:$U$11,1,1),$AC$2):INDEX($CB$5:$CH$201,INDEX($U$4:$U$11,1,1)+ROW()-5,$AC$2),EH$3))</f>
        <v>1</v>
      </c>
      <c r="EI10">
        <f>IF(OR(ROW()-4&gt;INDEX($U$4:$U$11,$AC$2+1,1)-INDEX($U$4:$U$11,$AC$2,1),ROW()-4&gt;$AD$2),NA(),COUNTIF(INDEX($CB$5:$CH$201,INDEX($U$4:$U$11,1,1),$AC$2):INDEX($CB$5:$CH$201,INDEX($U$4:$U$11,1,1)+ROW()-5,$AC$2),EI$3))</f>
        <v>1</v>
      </c>
      <c r="EJ10">
        <f>IF(OR(ROW()-4&gt;INDEX($U$4:$U$11,$AC$2+1,1)-INDEX($U$4:$U$11,$AC$2,1),ROW()-4&gt;$AD$2),NA(),COUNTIF(INDEX($CB$5:$CH$201,INDEX($U$4:$U$11,1,1),$AC$2):INDEX($CB$5:$CH$201,INDEX($U$4:$U$11,1,1)+ROW()-5,$AC$2),EJ$3))</f>
        <v>0</v>
      </c>
      <c r="EK10">
        <f>IF(OR(ROW()-4&gt;INDEX($U$4:$U$11,$AC$2+1,1)-INDEX($U$4:$U$11,$AC$2,1),ROW()-4&gt;$AD$2),NA(),COUNTIF(INDEX($CB$5:$CH$201,INDEX($U$4:$U$11,1,1),$AC$2):INDEX($CB$5:$CH$201,INDEX($U$4:$U$11,1,1)+ROW()-5,$AC$2),EK$3))</f>
        <v>0</v>
      </c>
      <c r="EL10">
        <f>IF(OR(ROW()-4&gt;INDEX($U$4:$U$11,$AC$2+1,1)-INDEX($U$4:$U$11,$AC$2,1),ROW()-4&gt;$AD$2),NA(),COUNTIF(INDEX($CB$5:$CH$201,INDEX($U$4:$U$11,1,1),$AC$2):INDEX($CB$5:$CH$201,INDEX($U$4:$U$11,1,1)+ROW()-5,$AC$2),EL$3))</f>
        <v>0</v>
      </c>
      <c r="EN10">
        <f>IF(OR(ROW()-4&gt;INDEX($U$4:$U$11,$AC$2+1,1)-INDEX($U$4:$U$11,$AC$2,1),ROW()-4&gt;$AD$2),NA(),COUNTIF(INDEX($CJ$5:$CP$201,INDEX($U$4:$U$11,1,1),$AC$2):INDEX($CJ$5:$CP$201,INDEX($U$4:$U$11,1,1)+ROW()-5,$AC$2),EN$3))</f>
        <v>2</v>
      </c>
      <c r="EO10">
        <f>IF(OR(ROW()-4&gt;INDEX($U$4:$U$11,$AC$2+1,1)-INDEX($U$4:$U$11,$AC$2,1),ROW()-4&gt;$AD$2),NA(),COUNTIF(INDEX($CJ$5:$CP$201,INDEX($U$4:$U$11,1,1),$AC$2):INDEX($CJ$5:$CP$201,INDEX($U$4:$U$11,1,1)+ROW()-5,$AC$2),EO$3))</f>
        <v>0</v>
      </c>
      <c r="EQ10">
        <f>IF(OR(ROW()-4&gt;INDEX($U$4:$U$11,$AC$2+1,1)-INDEX($U$4:$U$11,$AC$2,1),ROW()-4&gt;$AD$2),NA(),COUNTIF(INDEX($CJ$5:$CP$201,INDEX($U$4:$U$11,1,1),$AC$2):INDEX($CJ$5:$CP$201,INDEX($U$4:$U$11,1,1)+ROW()-5,$AC$2),EQ$3))</f>
        <v>3</v>
      </c>
      <c r="ER10">
        <f>IF(OR(ROW()-4&gt;INDEX($U$4:$U$11,$AC$2+1,1)-INDEX($U$4:$U$11,$AC$2,1),ROW()-4&gt;$AD$2),NA(),COUNTIF(INDEX($CJ$5:$CP$201,INDEX($U$4:$U$11,1,1),$AC$2):INDEX($CJ$5:$CP$201,INDEX($U$4:$U$11,1,1)+ROW()-5,$AC$2),ER$3))</f>
        <v>1</v>
      </c>
      <c r="ET10">
        <f>IF(OR(ROW()-4&gt;INDEX($U$4:$U$11,$AC$2+1,1)-INDEX($U$4:$U$11,$AC$2,1),ROW()-4&gt;$AD$2),NA(),COUNTIF(INDEX($CR$5:$CX$201,INDEX($U$4:$U$11,1,1),$AC$2):INDEX($CR$5:$CX$201,INDEX($U$4:$U$11,1,1)+ROW()-5,$AC$2),ET$3))</f>
        <v>1</v>
      </c>
      <c r="EU10">
        <f>IF(OR(ROW()-4&gt;INDEX($U$4:$U$11,$AC$2+1,1)-INDEX($U$4:$U$11,$AC$2,1),ROW()-4&gt;$AD$2),NA(),COUNTIF(INDEX($CR$5:$CX$201,INDEX($U$4:$U$11,1,1),$AC$2):INDEX($CR$5:$CX$201,INDEX($U$4:$U$11,1,1)+ROW()-5,$AC$2),EU$3))</f>
        <v>0</v>
      </c>
      <c r="EV10">
        <f>IF(OR(ROW()-4&gt;INDEX($U$4:$U$11,$AC$2+1,1)-INDEX($U$4:$U$11,$AC$2,1),ROW()-4&gt;$AD$2),NA(),COUNTIF(INDEX($CR$5:$CX$201,INDEX($U$4:$U$11,1,1),$AC$2):INDEX($CR$5:$CX$201,INDEX($U$4:$U$11,1,1)+ROW()-5,$AC$2),EV$3))</f>
        <v>0</v>
      </c>
      <c r="EW10">
        <f>IF(OR(ROW()-4&gt;INDEX($U$4:$U$11,$AC$2+1,1)-INDEX($U$4:$U$11,$AC$2,1),ROW()-4&gt;$AD$2),NA(),COUNTIF(INDEX($CR$5:$CX$201,INDEX($U$4:$U$11,1,1),$AC$2):INDEX($CR$5:$CX$201,INDEX($U$4:$U$11,1,1)+ROW()-5,$AC$2),EW$3))</f>
        <v>0</v>
      </c>
      <c r="EX10">
        <f>IF(OR(ROW()-4&gt;INDEX($U$4:$U$11,$AC$2+1,1)-INDEX($U$4:$U$11,$AC$2,1),ROW()-4&gt;$AD$2),NA(),COUNTIF(INDEX($CR$5:$CX$201,INDEX($U$4:$U$11,1,1),$AC$2):INDEX($CR$5:$CX$201,INDEX($U$4:$U$11,1,1)+ROW()-5,$AC$2),EX$3))</f>
        <v>0</v>
      </c>
      <c r="EY10">
        <f>IF(OR(ROW()-4&gt;INDEX($U$4:$U$11,$AC$2+1,1)-INDEX($U$4:$U$11,$AC$2,1),ROW()-4&gt;$AD$2),NA(),COUNTIF(INDEX($CR$5:$CX$201,INDEX($U$4:$U$11,1,1),$AC$2):INDEX($CR$5:$CX$201,INDEX($U$4:$U$11,1,1)+ROW()-5,$AC$2),EY$3))</f>
        <v>1</v>
      </c>
      <c r="EZ10">
        <f>IF(OR(ROW()-4&gt;INDEX($U$4:$U$11,$AC$2+1,1)-INDEX($U$4:$U$11,$AC$2,1),ROW()-4&gt;$AD$2),NA(),COUNTIF(INDEX($CR$5:$CX$201,INDEX($U$4:$U$11,1,1),$AC$2):INDEX($CR$5:$CX$201,INDEX($U$4:$U$11,1,1)+ROW()-5,$AC$2),EZ$3))</f>
        <v>0</v>
      </c>
      <c r="FA10">
        <f>IF(OR(ROW()-4&gt;INDEX($U$4:$U$11,$AC$2+1,1)-INDEX($U$4:$U$11,$AC$2,1),ROW()-4&gt;$AD$2),NA(),COUNTIF(INDEX($CR$5:$CX$201,INDEX($U$4:$U$11,1,1),$AC$2):INDEX($CR$5:$CX$201,INDEX($U$4:$U$11,1,1)+ROW()-5,$AC$2),FA$3))</f>
        <v>0</v>
      </c>
      <c r="FC10">
        <f>IF(OR(ROW()-4&gt;INDEX($U$4:$U$11,$AC$2+1,1)-INDEX($U$4:$U$11,$AC$2,1),ROW()-4&gt;$AD$2),NA(),COUNTIF(INDEX($CR$5:$CX$201,INDEX($U$4:$U$11,1,1),$AC$2):INDEX($CR$5:$CX$201,INDEX($U$4:$U$11,1,1)+ROW()-5,$AC$2),FC$3))</f>
        <v>0</v>
      </c>
      <c r="FD10">
        <f>IF(OR(ROW()-4&gt;INDEX($U$4:$U$11,$AC$2+1,1)-INDEX($U$4:$U$11,$AC$2,1),ROW()-4&gt;$AD$2),NA(),COUNTIF(INDEX($CR$5:$CX$201,INDEX($U$4:$U$11,1,1),$AC$2):INDEX($CR$5:$CX$201,INDEX($U$4:$U$11,1,1)+ROW()-5,$AC$2),FD$3))</f>
        <v>0</v>
      </c>
      <c r="FE10">
        <f>IF(OR(ROW()-4&gt;INDEX($U$4:$U$11,$AC$2+1,1)-INDEX($U$4:$U$11,$AC$2,1),ROW()-4&gt;$AD$2),NA(),COUNTIF(INDEX($CR$5:$CX$201,INDEX($U$4:$U$11,1,1),$AC$2):INDEX($CR$5:$CX$201,INDEX($U$4:$U$11,1,1)+ROW()-5,$AC$2),FE$3))</f>
        <v>0</v>
      </c>
      <c r="FF10">
        <f>IF(OR(ROW()-4&gt;INDEX($U$4:$U$11,$AC$2+1,1)-INDEX($U$4:$U$11,$AC$2,1),ROW()-4&gt;$AD$2),NA(),COUNTIF(INDEX($CR$5:$CX$201,INDEX($U$4:$U$11,1,1),$AC$2):INDEX($CR$5:$CX$201,INDEX($U$4:$U$11,1,1)+ROW()-5,$AC$2),FF$3))</f>
        <v>1</v>
      </c>
      <c r="FG10">
        <f>IF(OR(ROW()-4&gt;INDEX($U$4:$U$11,$AC$2+1,1)-INDEX($U$4:$U$11,$AC$2,1),ROW()-4&gt;$AD$2),NA(),COUNTIF(INDEX($CR$5:$CX$201,INDEX($U$4:$U$11,1,1),$AC$2):INDEX($CR$5:$CX$201,INDEX($U$4:$U$11,1,1)+ROW()-5,$AC$2),FG$3))</f>
        <v>0</v>
      </c>
      <c r="FH10">
        <f>IF(OR(ROW()-4&gt;INDEX($U$4:$U$11,$AC$2+1,1)-INDEX($U$4:$U$11,$AC$2,1),ROW()-4&gt;$AD$2),NA(),COUNTIF(INDEX($CR$5:$CX$201,INDEX($U$4:$U$11,1,1),$AC$2):INDEX($CR$5:$CX$201,INDEX($U$4:$U$11,1,1)+ROW()-5,$AC$2),FH$3))</f>
        <v>3</v>
      </c>
      <c r="FI10">
        <f>IF(OR(ROW()-4&gt;INDEX($U$4:$U$11,$AC$2+1,1)-INDEX($U$4:$U$11,$AC$2,1),ROW()-4&gt;$AD$2),NA(),COUNTIF(INDEX($CR$5:$CX$201,INDEX($U$4:$U$11,1,1),$AC$2):INDEX($CR$5:$CX$201,INDEX($U$4:$U$11,1,1)+ROW()-5,$AC$2),FI$3))</f>
        <v>0</v>
      </c>
      <c r="FJ10">
        <f>IF(OR(ROW()-4&gt;INDEX($U$4:$U$11,$AC$2+1,1)-INDEX($U$4:$U$11,$AC$2,1),ROW()-4&gt;$AD$2),NA(),COUNTIF(INDEX($CR$5:$CX$201,INDEX($U$4:$U$11,1,1),$AC$2):INDEX($CR$5:$CX$201,INDEX($U$4:$U$11,1,1)+ROW()-5,$AC$2),FJ$3))</f>
        <v>0</v>
      </c>
      <c r="FL10">
        <f>IF(OR(ROW()-4&gt;INDEX($U$4:$U$11,$AC$2+1,1)-INDEX($U$4:$U$11,$AC$2,1),ROW()-4&gt;$AD$2),NA(),COUNTIF(INDEX($CZ$5:$DF$201,INDEX($U$4:$U$11,1,1),$AC$2):INDEX($CZ$5:$DF$201,INDEX($U$4:$U$11,1,1)+ROW()-5,$AC$2),FL$3))</f>
        <v>0</v>
      </c>
      <c r="FM10">
        <f>IF(OR(ROW()-4&gt;INDEX($U$4:$U$11,$AC$2+1,1)-INDEX($U$4:$U$11,$AC$2,1),ROW()-4&gt;$AD$2),NA(),COUNTIF(INDEX($CZ$5:$DF$201,INDEX($U$4:$U$11,1,1),$AC$2):INDEX($CZ$5:$DF$201,INDEX($U$4:$U$11,1,1)+ROW()-5,$AC$2),FM$3))</f>
        <v>0</v>
      </c>
      <c r="FN10">
        <f>IF(OR(ROW()-4&gt;INDEX($U$4:$U$11,$AC$2+1,1)-INDEX($U$4:$U$11,$AC$2,1),ROW()-4&gt;$AD$2),NA(),COUNTIF(INDEX($CZ$5:$DF$201,INDEX($U$4:$U$11,1,1),$AC$2):INDEX($CZ$5:$DF$201,INDEX($U$4:$U$11,1,1)+ROW()-5,$AC$2),FN$3))</f>
        <v>0</v>
      </c>
      <c r="FO10">
        <f>IF(OR(ROW()-4&gt;INDEX($U$4:$U$11,$AC$2+1,1)-INDEX($U$4:$U$11,$AC$2,1),ROW()-4&gt;$AD$2),NA(),COUNTIF(INDEX($CZ$5:$DF$201,INDEX($U$4:$U$11,1,1),$AC$2):INDEX($CZ$5:$DF$201,INDEX($U$4:$U$11,1,1)+ROW()-5,$AC$2),FO$3))</f>
        <v>2</v>
      </c>
      <c r="FP10">
        <f>IF(OR(ROW()-4&gt;INDEX($U$4:$U$11,$AC$2+1,1)-INDEX($U$4:$U$11,$AC$2,1),ROW()-4&gt;$AD$2),NA(),COUNTIF(INDEX($CZ$5:$DF$201,INDEX($U$4:$U$11,1,1),$AC$2):INDEX($CZ$5:$DF$201,INDEX($U$4:$U$11,1,1)+ROW()-5,$AC$2),FP$3))</f>
        <v>0</v>
      </c>
      <c r="FQ10">
        <f>IF(OR(ROW()-4&gt;INDEX($U$4:$U$11,$AC$2+1,1)-INDEX($U$4:$U$11,$AC$2,1),ROW()-4&gt;$AD$2),NA(),COUNTIF(INDEX($CZ$5:$DF$201,INDEX($U$4:$U$11,1,1),$AC$2):INDEX($CZ$5:$DF$201,INDEX($U$4:$U$11,1,1)+ROW()-5,$AC$2),FQ$3))</f>
        <v>0</v>
      </c>
      <c r="FR10">
        <f>IF(OR(ROW()-4&gt;INDEX($U$4:$U$11,$AC$2+1,1)-INDEX($U$4:$U$11,$AC$2,1),ROW()-4&gt;$AD$2),NA(),COUNTIF(INDEX($CZ$5:$DF$201,INDEX($U$4:$U$11,1,1),$AC$2):INDEX($CZ$5:$DF$201,INDEX($U$4:$U$11,1,1)+ROW()-5,$AC$2),FR$3))</f>
        <v>0</v>
      </c>
      <c r="FS10">
        <f>IF(OR(ROW()-4&gt;INDEX($U$4:$U$11,$AC$2+1,1)-INDEX($U$4:$U$11,$AC$2,1),ROW()-4&gt;$AD$2),NA(),COUNTIF(INDEX($CZ$5:$DF$201,INDEX($U$4:$U$11,1,1),$AC$2):INDEX($CZ$5:$DF$201,INDEX($U$4:$U$11,1,1)+ROW()-5,$AC$2),FS$3))</f>
        <v>0</v>
      </c>
      <c r="FT10">
        <f>IF(OR(ROW()-4&gt;INDEX($U$4:$U$11,$AC$2+1,1)-INDEX($U$4:$U$11,$AC$2,1),ROW()-4&gt;$AD$2),NA(),COUNTIF(INDEX($CZ$5:$DF$201,INDEX($U$4:$U$11,1,1),$AC$2):INDEX($CZ$5:$DF$201,INDEX($U$4:$U$11,1,1)+ROW()-5,$AC$2),FT$3))</f>
        <v>0</v>
      </c>
      <c r="FU10">
        <f>IF(OR(ROW()-4&gt;INDEX($U$4:$U$11,$AC$2+1,1)-INDEX($U$4:$U$11,$AC$2,1),ROW()-4&gt;$AD$2),NA(),COUNTIF(INDEX($CZ$5:$DF$201,INDEX($U$4:$U$11,1,1),$AC$2):INDEX($CZ$5:$DF$201,INDEX($U$4:$U$11,1,1)+ROW()-5,$AC$2),FU$3))</f>
        <v>0</v>
      </c>
      <c r="FW10">
        <f>IF(OR(ROW()-4&gt;INDEX($U$4:$U$11,$AC$2+1,1)-INDEX($U$4:$U$11,$AC$2,1),ROW()-4&gt;$AD$2),NA(),COUNTIF(INDEX($CZ$5:$DF$201,INDEX($U$4:$U$11,1,1),$AC$2):INDEX($CZ$5:$DF$201,INDEX($U$4:$U$11,1,1)+ROW()-5,$AC$2),FW$3))</f>
        <v>0</v>
      </c>
      <c r="FX10">
        <f>IF(OR(ROW()-4&gt;INDEX($U$4:$U$11,$AC$2+1,1)-INDEX($U$4:$U$11,$AC$2,1),ROW()-4&gt;$AD$2),NA(),COUNTIF(INDEX($CZ$5:$DF$201,INDEX($U$4:$U$11,1,1),$AC$2):INDEX($CZ$5:$DF$201,INDEX($U$4:$U$11,1,1)+ROW()-5,$AC$2),FX$3))</f>
        <v>1</v>
      </c>
      <c r="FY10">
        <f>IF(OR(ROW()-4&gt;INDEX($U$4:$U$11,$AC$2+1,1)-INDEX($U$4:$U$11,$AC$2,1),ROW()-4&gt;$AD$2),NA(),COUNTIF(INDEX($CZ$5:$DF$201,INDEX($U$4:$U$11,1,1),$AC$2):INDEX($CZ$5:$DF$201,INDEX($U$4:$U$11,1,1)+ROW()-5,$AC$2),FY$3))</f>
        <v>0</v>
      </c>
      <c r="FZ10">
        <f>IF(OR(ROW()-4&gt;INDEX($U$4:$U$11,$AC$2+1,1)-INDEX($U$4:$U$11,$AC$2,1),ROW()-4&gt;$AD$2),NA(),COUNTIF(INDEX($CZ$5:$DF$201,INDEX($U$4:$U$11,1,1),$AC$2):INDEX($CZ$5:$DF$201,INDEX($U$4:$U$11,1,1)+ROW()-5,$AC$2),FZ$3))</f>
        <v>0</v>
      </c>
      <c r="GA10">
        <f>IF(OR(ROW()-4&gt;INDEX($U$4:$U$11,$AC$2+1,1)-INDEX($U$4:$U$11,$AC$2,1),ROW()-4&gt;$AD$2),NA(),COUNTIF(INDEX($CZ$5:$DF$201,INDEX($U$4:$U$11,1,1),$AC$2):INDEX($CZ$5:$DF$201,INDEX($U$4:$U$11,1,1)+ROW()-5,$AC$2),GA$3))</f>
        <v>1</v>
      </c>
      <c r="GB10">
        <f>IF(OR(ROW()-4&gt;INDEX($U$4:$U$11,$AC$2+1,1)-INDEX($U$4:$U$11,$AC$2,1),ROW()-4&gt;$AD$2),NA(),COUNTIF(INDEX($CZ$5:$DF$201,INDEX($U$4:$U$11,1,1),$AC$2):INDEX($CZ$5:$DF$201,INDEX($U$4:$U$11,1,1)+ROW()-5,$AC$2),GB$3))</f>
        <v>0</v>
      </c>
      <c r="GC10">
        <f>IF(OR(ROW()-4&gt;INDEX($U$4:$U$11,$AC$2+1,1)-INDEX($U$4:$U$11,$AC$2,1),ROW()-4&gt;$AD$2),NA(),COUNTIF(INDEX($CZ$5:$DF$201,INDEX($U$4:$U$11,1,1),$AC$2):INDEX($CZ$5:$DF$201,INDEX($U$4:$U$11,1,1)+ROW()-5,$AC$2),GC$3))</f>
        <v>1</v>
      </c>
      <c r="GD10">
        <f>IF(OR(ROW()-4&gt;INDEX($U$4:$U$11,$AC$2+1,1)-INDEX($U$4:$U$11,$AC$2,1),ROW()-4&gt;$AD$2),NA(),COUNTIF(INDEX($CZ$5:$DF$201,INDEX($U$4:$U$11,1,1),$AC$2):INDEX($CZ$5:$DF$201,INDEX($U$4:$U$11,1,1)+ROW()-5,$AC$2),GD$3))</f>
        <v>0</v>
      </c>
      <c r="GE10">
        <f>IF(OR(ROW()-4&gt;INDEX($U$4:$U$11,$AC$2+1,1)-INDEX($U$4:$U$11,$AC$2,1),ROW()-4&gt;$AD$2),NA(),COUNTIF(INDEX($CZ$5:$DF$201,INDEX($U$4:$U$11,1,1),$AC$2):INDEX($CZ$5:$DF$201,INDEX($U$4:$U$11,1,1)+ROW()-5,$AC$2),GE$3))</f>
        <v>0</v>
      </c>
      <c r="GF10">
        <f>IF(OR(ROW()-4&gt;INDEX($U$4:$U$11,$AC$2+1,1)-INDEX($U$4:$U$11,$AC$2,1),ROW()-4&gt;$AD$2),NA(),COUNTIF(INDEX($CZ$5:$DF$201,INDEX($U$4:$U$11,1,1),$AC$2):INDEX($CZ$5:$DF$201,INDEX($U$4:$U$11,1,1)+ROW()-5,$AC$2),GF$3))</f>
        <v>0</v>
      </c>
      <c r="GJ10" t="s">
        <v>9</v>
      </c>
      <c r="GK10" t="s">
        <v>33</v>
      </c>
      <c r="GQ10" s="66" t="str">
        <f>DZ1</f>
        <v>FS</v>
      </c>
      <c r="GR10" s="66" t="str">
        <f>EA1</f>
        <v>FMS</v>
      </c>
      <c r="GS10" s="66" t="str">
        <f>EB1</f>
        <v>BMS</v>
      </c>
      <c r="GT10" s="66" t="str">
        <f>EC1</f>
        <v>BS</v>
      </c>
      <c r="GV10" s="67" t="str">
        <f>EI1</f>
        <v>FS</v>
      </c>
      <c r="GW10" s="67" t="str">
        <f t="shared" ref="GW10:GY10" si="129">EJ1</f>
        <v>FMS</v>
      </c>
      <c r="GX10" s="67" t="str">
        <f t="shared" si="129"/>
        <v>BMS</v>
      </c>
      <c r="GY10" s="67" t="str">
        <f t="shared" si="129"/>
        <v>BS</v>
      </c>
      <c r="GZ10" t="s">
        <v>52</v>
      </c>
      <c r="HA10">
        <f>INDEX($DM$5:$DM$40,$AD$2)</f>
        <v>0</v>
      </c>
      <c r="HB10">
        <f>INDEX($DM$4:$DM$40,$AD$2+1)-INDEX($DM$4:$DM$40,$AD$2)</f>
        <v>0</v>
      </c>
      <c r="HC10" s="59">
        <f>INDEX($DM$55:$DM$90,$AD$2)</f>
        <v>0</v>
      </c>
      <c r="HD10" s="59">
        <f t="shared" si="128"/>
        <v>0</v>
      </c>
      <c r="HK10" t="str">
        <f>$AC$3</f>
        <v>FENG Tianwei</v>
      </c>
      <c r="HM10" s="68" t="str">
        <f>FP1</f>
        <v>BS</v>
      </c>
      <c r="HN10" s="68" t="str">
        <f>FQ1</f>
        <v>BMS</v>
      </c>
      <c r="HO10" s="68" t="str">
        <f>FR1</f>
        <v>FMS</v>
      </c>
      <c r="HP10" s="68" t="str">
        <f>FS1</f>
        <v>FS</v>
      </c>
    </row>
    <row r="11" spans="1:224" x14ac:dyDescent="0.45">
      <c r="A11" t="str">
        <f>データの貼付!A9</f>
        <v>KIHARA Miyuu</v>
      </c>
      <c r="B11">
        <f>データの貼付!B9</f>
        <v>2.1599421296296297E-3</v>
      </c>
      <c r="C11">
        <f>データの貼付!C9</f>
        <v>8.4178240740740744E-5</v>
      </c>
      <c r="D11">
        <f>データの貼付!D9</f>
        <v>0</v>
      </c>
      <c r="E11" t="str">
        <f>データの貼付!F9</f>
        <v>KIHARA Miyuu</v>
      </c>
      <c r="F11">
        <f>データの貼付!E9</f>
        <v>0</v>
      </c>
      <c r="G11" t="str">
        <f>データの貼付!G9</f>
        <v>#05</v>
      </c>
      <c r="H11" t="str">
        <f>データの貼付!H9</f>
        <v>KIHARA Miyuu</v>
      </c>
      <c r="I11" t="str">
        <f>データの貼付!I9</f>
        <v>(Side)</v>
      </c>
      <c r="J11" t="str">
        <f>データの貼付!J9</f>
        <v>B</v>
      </c>
      <c r="K11" t="str">
        <f>データの貼付!K9</f>
        <v>B</v>
      </c>
      <c r="L11" t="str">
        <f>データの貼付!L9</f>
        <v>B</v>
      </c>
      <c r="M11" t="str">
        <f>データの貼付!M9</f>
        <v>ドライブ</v>
      </c>
      <c r="N11" t="str">
        <f>データの貼付!N9</f>
        <v>B</v>
      </c>
      <c r="R11">
        <f t="shared" si="59"/>
        <v>0</v>
      </c>
      <c r="S11">
        <f>SUM(R$4:R11)</f>
        <v>1</v>
      </c>
      <c r="T11" t="str">
        <f t="shared" si="60"/>
        <v/>
      </c>
      <c r="U11" t="str">
        <f>IF(TYPE(U10+MATCH(1,INDEX(R$4:R$200,U10+1):INDEX(R$4:R$200,197),0))=16,"",U10+MATCH(1,INDEX(R$4:R$200,U10+1):INDEX(R$4:R$200,197),0))</f>
        <v/>
      </c>
      <c r="V11" t="e">
        <f t="shared" si="61"/>
        <v>#VALUE!</v>
      </c>
      <c r="W11" t="str">
        <f t="shared" si="57"/>
        <v>KIHARA Miyuu_KIHARA Miyuu</v>
      </c>
      <c r="X11" t="str">
        <f t="shared" si="58"/>
        <v>KIHARA Miyuu_#05</v>
      </c>
      <c r="AC11" s="8">
        <f>IF(OR(ROW()-4&gt;INDEX($U$4:$U$11,AC$2+1)-INDEX($U$4:$U$11,AC$2),ROW()-4&gt;AD$2),NA(),COUNTIF(INDEX($W$4:$W$200,INDEX($U$4:$U$11,AC$2)):INDEX($W$4:$W$200,INDEX($U$4:$U$11,AC$2)+ROW()-5),AC$3&amp;"_"&amp;AC$3)/(COUNTIF(INDEX($W$4:$W$200,INDEX($U$4:$U$11,AC$2)):INDEX($W$4:$W$200,INDEX($U$4:$U$11,AC$2)+ROW()-5),AC$3&amp;"_"&amp;AC$3)+COUNTIF(INDEX($W$4:$W$200,INDEX($U$4:$U$11,AC$2)):INDEX($W$4:$W$200,INDEX($U$4:$U$11,AC$2)+ROW()-5),AD$3&amp;"_"&amp;AC$3)))</f>
        <v>0.5</v>
      </c>
      <c r="AD11" s="8">
        <f>IF(OR(ROW()-4&gt;INDEX($U$4:$U$11,AC$2+1)-INDEX($U$4:$U$11,AC$2),ROW()-4&gt;AD$2),NA(),COUNTIF(INDEX($W$4:$W$200,INDEX($U$4:$U$11,AC$2)):INDEX($W$4:$W$200,INDEX($U$4:$U$11,AC$2)+ROW()-5),AD$3&amp;"_"&amp;AD$3)/(COUNTIF(INDEX($W$4:$W$200,INDEX($U$4:$U$11,AC$2)):INDEX($W$4:$W$200,INDEX($U$4:$U$11,AC$2)+ROW()-5),AD$3&amp;"_"&amp;AD$3)+COUNTIF(INDEX($W$4:$W$200,INDEX($U$4:$U$11,AC$2)):INDEX($W$4:$W$200,INDEX($U$4:$U$11,AC$2)+ROW()-5),AC$3&amp;"_"&amp;AD$3)))</f>
        <v>0.33333333333333331</v>
      </c>
      <c r="AE11" s="10">
        <f>IF(OR(ROW()-4&gt;INDEX($U$4:$U$11,AC$2+1)-INDEX($U$4:$U$11,AC$2),ROW()-4&gt;AD$2),NA(),COUNTIF(INDEX($W$4:$W$200,INDEX($U$4:$U$11,AC$2)):INDEX($W$4:$W$200,INDEX($U$4:$U$11,AC$2)+ROW()-5),AC$3&amp;"_"&amp;AD$3)/(COUNTIF(INDEX($W$4:$W$200,INDEX($U$4:$U$11,AC$2)):INDEX($W$4:$W$200,INDEX($U$4:$U$11,AC$2)+ROW()-5),AC$3&amp;"_"&amp;AD$3)+COUNTIF(INDEX($W$4:$W$200,INDEX($U$4:$U$11,AC$2)):INDEX($W$4:$W$200,INDEX($U$4:$U$11,AC$2)+ROW()-5),AD$3&amp;"_"&amp;AD$3)))</f>
        <v>0.66666666666666663</v>
      </c>
      <c r="AF11" s="10">
        <f>IF(OR(ROW()-4&gt;INDEX($U$4:$U$11,AC$2+1)-INDEX($U$4:$U$11,AC$2),ROW()-4&gt;AD$2),NA(),COUNTIF(INDEX($W$4:$W$200,INDEX($U$4:$U$11,AC$2)):INDEX($W$4:$W$200,INDEX($U$4:$U$11,AC$2)+ROW()-5),AD$3&amp;"_"&amp;AC$3)/(COUNTIF(INDEX($W$4:$W$200,INDEX($U$4:$U$11,AC$2)):INDEX($W$4:$W$200,INDEX($U$4:$U$11,AC$2)+ROW()-5),AD$3&amp;"_"&amp;AC$3)+COUNTIF(INDEX($W$4:$W$200,INDEX($U$4:$U$11,AC$2)):INDEX($W$4:$W$200,INDEX($U$4:$U$11,AC$2)+ROW()-5),AC$3&amp;"_"&amp;AC$3)))</f>
        <v>0.5</v>
      </c>
      <c r="AG11" s="10">
        <f>IF(OR(ROW()-4&gt;INDEX($U$4:$U$11,AC$2+1)-INDEX($U$4:$U$11,AC$2),ROW()-4&gt;AD$2),NA(),COUNTIF(INDEX($X$4:$X$200,INDEX($U$4:$U$11,AC$2)):INDEX($X$4:$X$200,INDEX($U$4:$U$11,AC$2)+ROW()-5),AC$3&amp;"_#03")/(COUNTIF(INDEX($W$4:$W$200,INDEX($U$4:$U$11,AC$2)):INDEX($W$4:$W$200,INDEX($U$4:$U$11,AC$2)+ROW()-5),AC$3&amp;"_"&amp;AC$3)+COUNTIF(INDEX($W$4:$W$200,INDEX($U$4:$U$11,AC$2)):INDEX($W$4:$W$200,INDEX($U$4:$U$11,AC$2)+ROW()-5),AD$3&amp;"_"&amp;AC$3)))</f>
        <v>0</v>
      </c>
      <c r="AH11" s="10">
        <f>IF(OR(ROW()-4&gt;INDEX($U$4:$U$11,AC$2+1)-INDEX($U$4:$U$11,AC$2),ROW()-4&gt;AD$2),NA(),COUNTIF(INDEX($X$4:$X$200,INDEX($U$4:$U$11,AC$2)):INDEX($X$4:$X$200,INDEX($U$4:$U$11,AC$2)+ROW()-5),AD$3&amp;"_#03")/(COUNTIF(INDEX($W$4:$W$200,INDEX($U$4:$U$11,AC$2)):INDEX($W$4:$W$200,INDEX($U$4:$U$11,AC$2)+ROW()-5),AD$3&amp;"_"&amp;AD$3)+COUNTIF(INDEX($W$4:$W$200,INDEX($U$4:$U$11,AC$2)):INDEX($W$4:$W$200,INDEX($U$4:$U$11,AC$2)+ROW()-5),AC$3&amp;"_"&amp;AD$3)))</f>
        <v>0</v>
      </c>
      <c r="AI11" s="10">
        <f>IF(OR(ROW()-4&gt;INDEX($U$4:$U$11,AC$2+1)-INDEX($U$4:$U$11,AC$2),ROW()-4&gt;AD$2),NA(),(COUNTIF(INDEX($X$4:$X$200,INDEX($U$4:$U$11,AC$2)):INDEX($X$4:$X$200,INDEX($U$4:$U$11,AC$2)+ROW()-5),AC$3&amp;"_#03")-COUNTIF(INDEX($X$4:$X$200,INDEX($U$4:$U$11,AC$2)):INDEX($X$4:$X$200,INDEX($U$4:$U$11,AC$2)+ROW()-5),AD$3&amp;"_#02"))/(COUNTIF(INDEX($W$4:$W$200,INDEX($U$4:$U$11,AC$2)):INDEX($W$4:$W$200,INDEX($U$4:$U$11,AC$2)+ROW()-5),AC$3&amp;"_"&amp;AC$3)+COUNTIF(INDEX($W$4:$W$200,INDEX($U$4:$U$11,AC$2)):INDEX($W$4:$W$200,INDEX($U$4:$U$11,AC$2)+ROW()-5),AD$3&amp;"_"&amp;AC$3)))</f>
        <v>-0.25</v>
      </c>
      <c r="AJ11" s="10">
        <f>IF(OR(ROW()-4&gt;INDEX($U$4:$U$11,AC$2+1)-INDEX($U$4:$U$11,AC$2),ROW()-4&gt;AD$2),NA(),(COUNTIF(INDEX($X$4:$X$200,INDEX($U$4:$U$11,AC$2)):INDEX($X$4:$X$200,INDEX($U$4:$U$11,AC$2)+ROW()-5),AD$3&amp;"_#03")-COUNTIF(INDEX($X$4:$X$200,INDEX($U$4:$U$11,AC$2)):INDEX($X$4:$X$200,INDEX($U$4:$U$11,AC$2)+ROW()-5),AC$3&amp;"_#02"))/(COUNTIF(INDEX($W$4:$W$200,INDEX($U$4:$U$11,AC$2)):INDEX($W$4:$W$200,INDEX($U$4:$U$11,AC$2)+ROW()-5),AD$3&amp;"_"&amp;AD$3)+COUNTIF(INDEX($W$4:$W$200,INDEX($U$4:$U$11,AC$2)):INDEX($W$4:$W$200,INDEX($U$4:$U$11,AC$2)+ROW()-5),AC$3&amp;"_"&amp;AD$3)))</f>
        <v>0</v>
      </c>
      <c r="AK11" s="10">
        <f>IF(OR(ROW()-4&gt;INDEX($U$4:$U$11,AC$2+1)-INDEX($U$4:$U$11,AC$2),ROW()-4&gt;AD$2),NA(),(COUNTIF(INDEX($X$4:$X$200,INDEX($U$4:$U$11,AC$2)):INDEX($X$4:$X$200,INDEX($U$4:$U$11,AC$2)+ROW()-5),AC$3&amp;"_#01")+COUNTIF(INDEX($X$4:$X$200,INDEX($U$4:$U$11,AC$2)):INDEX($X$4:$X$200,INDEX($U$4:$U$11,AC$2)+ROW()-5),AC$3&amp;"_#03"))/(COUNTIF(INDEX($W$4:$W$200,INDEX($U$4:$U$11,AC$2)):INDEX($W$4:$W$200,INDEX($U$4:$U$11,AC$2)+ROW()-5),AC$3&amp;"_"&amp;AC$3)+COUNTIF(INDEX($W$4:$W$200,INDEX($U$4:$U$11,AC$2)):INDEX($W$4:$W$200,INDEX($U$4:$U$11,AC$2)+ROW()-5),AD$3&amp;"_"&amp;AC$3)))</f>
        <v>0.25</v>
      </c>
      <c r="AL11" s="10">
        <f>IF(OR(ROW()-4&gt;INDEX($U$4:$U$11,AC$2+1)-INDEX($U$4:$U$11,AC$2),ROW()-4&gt;AD$2),NA(),(COUNTIF(INDEX($X$4:$X$200,INDEX($U$4:$U$11,AC$2)):INDEX($X$4:$X$200,INDEX($U$4:$U$11,AC$2)+ROW()-5),AD$3&amp;"_#01")+COUNTIF(INDEX($X$4:$X$200,INDEX($U$4:$U$11,AC$2)):INDEX($X$4:$X$200,INDEX($U$4:$U$11,AC$2)+ROW()-5),AD$3&amp;"_#03"))/(COUNTIF(INDEX($W$4:$W$200,INDEX($U$4:$U$11,AC$2)):INDEX($W$4:$W$200,INDEX($U$4:$U$11,AC$2)+ROW()-5),AD$3&amp;"_"&amp;AD$3)+COUNTIF(INDEX($W$4:$W$200,INDEX($U$4:$U$11,AC$2)):INDEX($W$4:$W$200,INDEX($U$4:$U$11,AC$2)+ROW()-5),AC$3&amp;"_"&amp;AD$3)))</f>
        <v>0</v>
      </c>
      <c r="AN11">
        <f t="shared" si="125"/>
        <v>7</v>
      </c>
      <c r="AO11">
        <f t="shared" si="111"/>
        <v>24</v>
      </c>
      <c r="AP11">
        <f t="shared" si="112"/>
        <v>39</v>
      </c>
      <c r="AQ11">
        <f t="shared" si="113"/>
        <v>55</v>
      </c>
      <c r="AR11">
        <f t="shared" si="114"/>
        <v>74</v>
      </c>
      <c r="AS11" t="e">
        <f t="shared" si="115"/>
        <v>#VALUE!</v>
      </c>
      <c r="AT11" t="e">
        <f t="shared" si="116"/>
        <v>#VALUE!</v>
      </c>
      <c r="AV11" t="str">
        <f t="shared" si="117"/>
        <v>KIHARA Miyuu</v>
      </c>
      <c r="AW11" t="str">
        <f t="shared" si="63"/>
        <v>KIHARA Miyuu</v>
      </c>
      <c r="AX11" t="str">
        <f t="shared" si="64"/>
        <v>FENG Tianwei</v>
      </c>
      <c r="AY11" t="str">
        <f t="shared" si="65"/>
        <v>FENG Tianwei</v>
      </c>
      <c r="AZ11" t="str">
        <f t="shared" si="66"/>
        <v>FENG Tianwei</v>
      </c>
      <c r="BA11" t="e">
        <f t="shared" si="67"/>
        <v>#VALUE!</v>
      </c>
      <c r="BB11" t="e">
        <f t="shared" si="68"/>
        <v>#VALUE!</v>
      </c>
      <c r="BD11" t="str">
        <f t="shared" si="118"/>
        <v>KIHARA Miyuu</v>
      </c>
      <c r="BE11" t="str">
        <f t="shared" si="69"/>
        <v>FENG Tianwei</v>
      </c>
      <c r="BF11" t="str">
        <f t="shared" si="70"/>
        <v>KIHARA Miyuu</v>
      </c>
      <c r="BG11" t="str">
        <f t="shared" si="71"/>
        <v>FENG Tianwei</v>
      </c>
      <c r="BH11" t="str">
        <f t="shared" si="72"/>
        <v>KIHARA Miyuu</v>
      </c>
      <c r="BI11" t="e">
        <f t="shared" si="73"/>
        <v>#VALUE!</v>
      </c>
      <c r="BJ11" t="e">
        <f t="shared" si="74"/>
        <v>#VALUE!</v>
      </c>
      <c r="BL11" t="str">
        <f t="shared" si="119"/>
        <v>KIHARA Miyuu_(Side)</v>
      </c>
      <c r="BM11" t="str">
        <f t="shared" si="75"/>
        <v>FENG Tianwei_(Side)</v>
      </c>
      <c r="BN11" t="str">
        <f t="shared" si="76"/>
        <v>KIHARA Miyuu_(Side)</v>
      </c>
      <c r="BO11" t="str">
        <f t="shared" si="77"/>
        <v>FENG Tianwei_Back</v>
      </c>
      <c r="BP11" t="str">
        <f t="shared" si="78"/>
        <v>KIHARA Miyuu_(Side)</v>
      </c>
      <c r="BQ11" t="e">
        <f t="shared" si="79"/>
        <v>#VALUE!</v>
      </c>
      <c r="BR11" t="e">
        <f t="shared" si="80"/>
        <v>#VALUE!</v>
      </c>
      <c r="BT11" t="str">
        <f t="shared" si="120"/>
        <v>KIHARA Miyuu_B</v>
      </c>
      <c r="BU11" t="str">
        <f t="shared" si="81"/>
        <v>FENG Tianwei_B</v>
      </c>
      <c r="BV11" t="str">
        <f t="shared" si="82"/>
        <v>KIHARA Miyuu_B</v>
      </c>
      <c r="BW11" t="str">
        <f t="shared" si="83"/>
        <v>FENG Tianwei_B</v>
      </c>
      <c r="BX11" t="str">
        <f t="shared" si="84"/>
        <v>KIHARA Miyuu_B</v>
      </c>
      <c r="BY11" t="e">
        <f t="shared" si="85"/>
        <v>#VALUE!</v>
      </c>
      <c r="BZ11" t="e">
        <f t="shared" si="86"/>
        <v>#VALUE!</v>
      </c>
      <c r="CB11" t="str">
        <f t="shared" si="121"/>
        <v>KIHARA Miyuu_FMS</v>
      </c>
      <c r="CC11" t="str">
        <f t="shared" si="87"/>
        <v>FENG Tianwei_FS</v>
      </c>
      <c r="CD11" t="str">
        <f t="shared" si="88"/>
        <v>KIHARA Miyuu_FS</v>
      </c>
      <c r="CE11" t="str">
        <f t="shared" si="89"/>
        <v>FENG Tianwei_FS</v>
      </c>
      <c r="CF11" t="str">
        <f t="shared" si="90"/>
        <v>KIHARA Miyuu_FS</v>
      </c>
      <c r="CG11" t="e">
        <f t="shared" si="91"/>
        <v>#VALUE!</v>
      </c>
      <c r="CH11" t="e">
        <f t="shared" si="92"/>
        <v>#VALUE!</v>
      </c>
      <c r="CJ11" t="str">
        <f t="shared" si="122"/>
        <v>FENG Tianwei_B</v>
      </c>
      <c r="CK11" t="str">
        <f t="shared" si="93"/>
        <v>KIHARA Miyuu_F</v>
      </c>
      <c r="CL11" t="str">
        <f t="shared" si="94"/>
        <v>FENG Tianwei_0</v>
      </c>
      <c r="CM11" t="str">
        <f t="shared" si="95"/>
        <v>KIHARA Miyuu_F</v>
      </c>
      <c r="CN11" t="str">
        <f t="shared" si="96"/>
        <v>FENG Tianwei_F</v>
      </c>
      <c r="CO11" t="e">
        <f t="shared" si="97"/>
        <v>#VALUE!</v>
      </c>
      <c r="CP11" t="e">
        <f t="shared" si="98"/>
        <v>#VALUE!</v>
      </c>
      <c r="CR11" t="str">
        <f t="shared" si="123"/>
        <v>FENG Tianwei_Push</v>
      </c>
      <c r="CS11" t="str">
        <f t="shared" si="99"/>
        <v>KIHARA Miyuu_Stop</v>
      </c>
      <c r="CT11" t="str">
        <f t="shared" si="100"/>
        <v>FENG Tianwei_Stop</v>
      </c>
      <c r="CU11" t="str">
        <f t="shared" si="101"/>
        <v>KIHARA Miyuu_Push</v>
      </c>
      <c r="CV11" t="str">
        <f t="shared" si="102"/>
        <v>FENG Tianwei_ドライブ</v>
      </c>
      <c r="CW11" t="e">
        <f t="shared" si="103"/>
        <v>#VALUE!</v>
      </c>
      <c r="CX11" t="e">
        <f t="shared" si="104"/>
        <v>#VALUE!</v>
      </c>
      <c r="CZ11" t="str">
        <f t="shared" si="124"/>
        <v>FENG Tianwei_B</v>
      </c>
      <c r="DA11" t="str">
        <f t="shared" si="105"/>
        <v>KIHARA Miyuu_FMS</v>
      </c>
      <c r="DB11" t="str">
        <f t="shared" si="106"/>
        <v>FENG Tianwei_BMS</v>
      </c>
      <c r="DC11" t="str">
        <f t="shared" si="107"/>
        <v>KIHARA Miyuu_F</v>
      </c>
      <c r="DD11" t="str">
        <f t="shared" si="108"/>
        <v>FENG Tianwei_BM</v>
      </c>
      <c r="DE11" t="e">
        <f t="shared" si="109"/>
        <v>#VALUE!</v>
      </c>
      <c r="DF11" t="e">
        <f t="shared" si="110"/>
        <v>#VALUE!</v>
      </c>
      <c r="DH11">
        <f>IF(OR(ROW()-4&gt;INDEX($U$4:$U$11,$AC$2+1,1)-INDEX($U$4:$U$11,$AC$2,1),ROW()-4&gt;$AD$2),NA(),COUNTIF(INDEX($BL$5:$BR$50,INDEX($U$4:$U$11,1,1),$AC$2):INDEX($BL$5:$BR$50,INDEX($U$4:$U$11,1,1)+ROW()-5,$AC$2),DH$3))</f>
        <v>1</v>
      </c>
      <c r="DI11">
        <f>IF(OR(ROW()-4&gt;INDEX($U$4:$U$11,$AC$2+1,1)-INDEX($U$4:$U$11,$AC$2,1),ROW()-4&gt;$AD$2),NA(),COUNTIF(INDEX($BL$5:$BR$50,INDEX($U$4:$U$11,1,1),$AC$2):INDEX($BL$5:$BR$50,INDEX($U$4:$U$11,1,1)+ROW()-5,$AC$2),DI$3))</f>
        <v>3</v>
      </c>
      <c r="DJ11">
        <f>IF(OR(ROW()-4&gt;INDEX($U$4:$U$11,$AC$2+1,1)-INDEX($U$4:$U$11,$AC$2,1),ROW()-4&gt;$AD$2),NA(),COUNTIF(INDEX($BL$5:$BR$50,INDEX($U$4:$U$11,1,1),$AC$2):INDEX($BL$5:$BR$50,INDEX($U$4:$U$11,1,1)+ROW()-5,$AC$2),DJ$3))</f>
        <v>0</v>
      </c>
      <c r="DL11">
        <f>IF(OR(ROW()-4&gt;INDEX($U$4:$U$11,$AC$2+1,1)-INDEX($U$4:$U$11,$AC$2,1),ROW()-4&gt;$AD$2),NA(),COUNTIF(INDEX($BL$5:$BR$50,INDEX($U$4:$U$11,1,1),$AC$2):INDEX($BL$5:$BR$50,INDEX($U$4:$U$11,1,1)+ROW()-5,$AC$2),DL$3))</f>
        <v>0</v>
      </c>
      <c r="DM11">
        <f>IF(OR(ROW()-4&gt;INDEX($U$4:$U$11,$AC$2+1,1)-INDEX($U$4:$U$11,$AC$2,1),ROW()-4&gt;$AD$2),NA(),COUNTIF(INDEX($BL$5:$BR$50,INDEX($U$4:$U$11,1,1),$AC$2):INDEX($BL$5:$BR$50,INDEX($U$4:$U$11,1,1)+ROW()-5,$AC$2),DM$3))</f>
        <v>0</v>
      </c>
      <c r="DN11">
        <f>IF(OR(ROW()-4&gt;INDEX($U$4:$U$11,$AC$2+1,1)-INDEX($U$4:$U$11,$AC$2,1),ROW()-4&gt;$AD$2),NA(),COUNTIF(INDEX($BL$5:$BR$50,INDEX($U$4:$U$11,1,1),$AC$2):INDEX($BL$5:$BR$50,INDEX($U$4:$U$11,1,1)+ROW()-5,$AC$2),DN$3))</f>
        <v>3</v>
      </c>
      <c r="DP11">
        <f>IF(OR(ROW()-4&gt;INDEX($U$4:$U$11,$AC$2+1,1)-INDEX($U$4:$U$11,$AC$2,1),ROW()-4&gt;$AD$2),NA(),COUNTIF(INDEX($BT$5:$BZ$201,INDEX($U$4:$U$11,1,1),$AC$2):INDEX($BT$5:$BZ$201,INDEX($U$4:$U$11,1,1)+ROW()-5,$AC$2),DP$3))</f>
        <v>4</v>
      </c>
      <c r="DQ11">
        <f>IF(OR(ROW()-4&gt;INDEX($U$4:$U$11,$AC$2+1,1)-INDEX($U$4:$U$11,$AC$2,1),ROW()-4&gt;$AD$2),NA(),COUNTIF(INDEX($BT$5:$BZ$201,INDEX($U$4:$U$11,1,1),$AC$2):INDEX($BT$5:$BZ$201,INDEX($U$4:$U$11,1,1)+ROW()-5,$AC$2),DQ$3))</f>
        <v>0</v>
      </c>
      <c r="DS11">
        <f>IF(OR(ROW()-4&gt;INDEX($U$4:$U$11,$AC$2+1,1)-INDEX($U$4:$U$11,$AC$2,1),ROW()-4&gt;$AD$2),NA(),COUNTIF(INDEX($BT$5:$BZ$201,INDEX($U$4:$U$11,1,1),$AC$2):INDEX($BT$5:$BZ$201,INDEX($U$4:$U$11,1,1)+ROW()-5,$AC$2),DS$3))</f>
        <v>3</v>
      </c>
      <c r="DT11">
        <f>IF(OR(ROW()-4&gt;INDEX($U$4:$U$11,$AC$2+1,1)-INDEX($U$4:$U$11,$AC$2,1),ROW()-4&gt;$AD$2),NA(),COUNTIF(INDEX($BT$5:$BZ$201,INDEX($U$4:$U$11,1,1),$AC$2):INDEX($BT$5:$BZ$201,INDEX($U$4:$U$11,1,1)+ROW()-5,$AC$2),DT$3))</f>
        <v>0</v>
      </c>
      <c r="DV11">
        <f>IF(OR(ROW()-4&gt;INDEX($U$4:$U$11,$AC$2+1,1)-INDEX($U$4:$U$11,$AC$2,1),ROW()-4&gt;$AD$2),NA(),COUNTIF(INDEX($CB$5:$CH$201,INDEX($U$4:$U$11,1,1),$AC$2):INDEX($CB$5:$CH$201,INDEX($U$4:$U$11,1,1)+ROW()-5,$AC$2),DV$3))</f>
        <v>0</v>
      </c>
      <c r="DW11">
        <f>IF(OR(ROW()-4&gt;INDEX($U$4:$U$11,$AC$2+1,1)-INDEX($U$4:$U$11,$AC$2,1),ROW()-4&gt;$AD$2),NA(),COUNTIF(INDEX($CB$5:$CH$201,INDEX($U$4:$U$11,1,1),$AC$2):INDEX($CB$5:$CH$201,INDEX($U$4:$U$11,1,1)+ROW()-5,$AC$2),DW$3))</f>
        <v>0</v>
      </c>
      <c r="DX11">
        <f>IF(OR(ROW()-4&gt;INDEX($U$4:$U$11,$AC$2+1,1)-INDEX($U$4:$U$11,$AC$2,1),ROW()-4&gt;$AD$2),NA(),COUNTIF(INDEX($CB$5:$CH$201,INDEX($U$4:$U$11,1,1),$AC$2):INDEX($CB$5:$CH$201,INDEX($U$4:$U$11,1,1)+ROW()-5,$AC$2),DX$3))</f>
        <v>3</v>
      </c>
      <c r="DY11">
        <f>IF(OR(ROW()-4&gt;INDEX($U$4:$U$11,$AC$2+1,1)-INDEX($U$4:$U$11,$AC$2,1),ROW()-4&gt;$AD$2),NA(),COUNTIF(INDEX($CB$5:$CH$201,INDEX($U$4:$U$11,1,1),$AC$2):INDEX($CB$5:$CH$201,INDEX($U$4:$U$11,1,1)+ROW()-5,$AC$2),DY$3))</f>
        <v>0</v>
      </c>
      <c r="DZ11">
        <f>IF(OR(ROW()-4&gt;INDEX($U$4:$U$11,$AC$2+1,1)-INDEX($U$4:$U$11,$AC$2,1),ROW()-4&gt;$AD$2),NA(),COUNTIF(INDEX($CB$5:$CH$201,INDEX($U$4:$U$11,1,1),$AC$2):INDEX($CB$5:$CH$201,INDEX($U$4:$U$11,1,1)+ROW()-5,$AC$2),DZ$3))</f>
        <v>0</v>
      </c>
      <c r="EA11">
        <f>IF(OR(ROW()-4&gt;INDEX($U$4:$U$11,$AC$2+1,1)-INDEX($U$4:$U$11,$AC$2,1),ROW()-4&gt;$AD$2),NA(),COUNTIF(INDEX($CB$5:$CH$201,INDEX($U$4:$U$11,1,1),$AC$2):INDEX($CB$5:$CH$201,INDEX($U$4:$U$11,1,1)+ROW()-5,$AC$2),EA$3))</f>
        <v>1</v>
      </c>
      <c r="EB11">
        <f>IF(OR(ROW()-4&gt;INDEX($U$4:$U$11,$AC$2+1,1)-INDEX($U$4:$U$11,$AC$2,1),ROW()-4&gt;$AD$2),NA(),COUNTIF(INDEX($CB$5:$CH$201,INDEX($U$4:$U$11,1,1),$AC$2):INDEX($CB$5:$CH$201,INDEX($U$4:$U$11,1,1)+ROW()-5,$AC$2),EB$3))</f>
        <v>0</v>
      </c>
      <c r="EC11">
        <f>IF(OR(ROW()-4&gt;INDEX($U$4:$U$11,$AC$2+1,1)-INDEX($U$4:$U$11,$AC$2,1),ROW()-4&gt;$AD$2),NA(),COUNTIF(INDEX($CB$5:$CH$201,INDEX($U$4:$U$11,1,1),$AC$2):INDEX($CB$5:$CH$201,INDEX($U$4:$U$11,1,1)+ROW()-5,$AC$2),EC$3))</f>
        <v>0</v>
      </c>
      <c r="EE11">
        <f>IF(OR(ROW()-4&gt;INDEX($U$4:$U$11,$AC$2+1,1)-INDEX($U$4:$U$11,$AC$2,1),ROW()-4&gt;$AD$2),NA(),COUNTIF(INDEX($CB$5:$CH$201,INDEX($U$4:$U$11,1,1),$AC$2):INDEX($CB$5:$CH$201,INDEX($U$4:$U$11,1,1)+ROW()-5,$AC$2),EE$3))</f>
        <v>0</v>
      </c>
      <c r="EF11">
        <f>IF(OR(ROW()-4&gt;INDEX($U$4:$U$11,$AC$2+1,1)-INDEX($U$4:$U$11,$AC$2,1),ROW()-4&gt;$AD$2),NA(),COUNTIF(INDEX($CB$5:$CH$201,INDEX($U$4:$U$11,1,1),$AC$2):INDEX($CB$5:$CH$201,INDEX($U$4:$U$11,1,1)+ROW()-5,$AC$2),EF$3))</f>
        <v>0</v>
      </c>
      <c r="EG11">
        <f>IF(OR(ROW()-4&gt;INDEX($U$4:$U$11,$AC$2+1,1)-INDEX($U$4:$U$11,$AC$2,1),ROW()-4&gt;$AD$2),NA(),COUNTIF(INDEX($CB$5:$CH$201,INDEX($U$4:$U$11,1,1),$AC$2):INDEX($CB$5:$CH$201,INDEX($U$4:$U$11,1,1)+ROW()-5,$AC$2),EG$3))</f>
        <v>0</v>
      </c>
      <c r="EH11">
        <f>IF(OR(ROW()-4&gt;INDEX($U$4:$U$11,$AC$2+1,1)-INDEX($U$4:$U$11,$AC$2,1),ROW()-4&gt;$AD$2),NA(),COUNTIF(INDEX($CB$5:$CH$201,INDEX($U$4:$U$11,1,1),$AC$2):INDEX($CB$5:$CH$201,INDEX($U$4:$U$11,1,1)+ROW()-5,$AC$2),EH$3))</f>
        <v>1</v>
      </c>
      <c r="EI11">
        <f>IF(OR(ROW()-4&gt;INDEX($U$4:$U$11,$AC$2+1,1)-INDEX($U$4:$U$11,$AC$2,1),ROW()-4&gt;$AD$2),NA(),COUNTIF(INDEX($CB$5:$CH$201,INDEX($U$4:$U$11,1,1),$AC$2):INDEX($CB$5:$CH$201,INDEX($U$4:$U$11,1,1)+ROW()-5,$AC$2),EI$3))</f>
        <v>2</v>
      </c>
      <c r="EJ11">
        <f>IF(OR(ROW()-4&gt;INDEX($U$4:$U$11,$AC$2+1,1)-INDEX($U$4:$U$11,$AC$2,1),ROW()-4&gt;$AD$2),NA(),COUNTIF(INDEX($CB$5:$CH$201,INDEX($U$4:$U$11,1,1),$AC$2):INDEX($CB$5:$CH$201,INDEX($U$4:$U$11,1,1)+ROW()-5,$AC$2),EJ$3))</f>
        <v>0</v>
      </c>
      <c r="EK11">
        <f>IF(OR(ROW()-4&gt;INDEX($U$4:$U$11,$AC$2+1,1)-INDEX($U$4:$U$11,$AC$2,1),ROW()-4&gt;$AD$2),NA(),COUNTIF(INDEX($CB$5:$CH$201,INDEX($U$4:$U$11,1,1),$AC$2):INDEX($CB$5:$CH$201,INDEX($U$4:$U$11,1,1)+ROW()-5,$AC$2),EK$3))</f>
        <v>0</v>
      </c>
      <c r="EL11">
        <f>IF(OR(ROW()-4&gt;INDEX($U$4:$U$11,$AC$2+1,1)-INDEX($U$4:$U$11,$AC$2,1),ROW()-4&gt;$AD$2),NA(),COUNTIF(INDEX($CB$5:$CH$201,INDEX($U$4:$U$11,1,1),$AC$2):INDEX($CB$5:$CH$201,INDEX($U$4:$U$11,1,1)+ROW()-5,$AC$2),EL$3))</f>
        <v>0</v>
      </c>
      <c r="EN11">
        <f>IF(OR(ROW()-4&gt;INDEX($U$4:$U$11,$AC$2+1,1)-INDEX($U$4:$U$11,$AC$2,1),ROW()-4&gt;$AD$2),NA(),COUNTIF(INDEX($CJ$5:$CP$201,INDEX($U$4:$U$11,1,1),$AC$2):INDEX($CJ$5:$CP$201,INDEX($U$4:$U$11,1,1)+ROW()-5,$AC$2),EN$3))</f>
        <v>2</v>
      </c>
      <c r="EO11">
        <f>IF(OR(ROW()-4&gt;INDEX($U$4:$U$11,$AC$2+1,1)-INDEX($U$4:$U$11,$AC$2,1),ROW()-4&gt;$AD$2),NA(),COUNTIF(INDEX($CJ$5:$CP$201,INDEX($U$4:$U$11,1,1),$AC$2):INDEX($CJ$5:$CP$201,INDEX($U$4:$U$11,1,1)+ROW()-5,$AC$2),EO$3))</f>
        <v>0</v>
      </c>
      <c r="EQ11">
        <f>IF(OR(ROW()-4&gt;INDEX($U$4:$U$11,$AC$2+1,1)-INDEX($U$4:$U$11,$AC$2,1),ROW()-4&gt;$AD$2),NA(),COUNTIF(INDEX($CJ$5:$CP$201,INDEX($U$4:$U$11,1,1),$AC$2):INDEX($CJ$5:$CP$201,INDEX($U$4:$U$11,1,1)+ROW()-5,$AC$2),EQ$3))</f>
        <v>3</v>
      </c>
      <c r="ER11">
        <f>IF(OR(ROW()-4&gt;INDEX($U$4:$U$11,$AC$2+1,1)-INDEX($U$4:$U$11,$AC$2,1),ROW()-4&gt;$AD$2),NA(),COUNTIF(INDEX($CJ$5:$CP$201,INDEX($U$4:$U$11,1,1),$AC$2):INDEX($CJ$5:$CP$201,INDEX($U$4:$U$11,1,1)+ROW()-5,$AC$2),ER$3))</f>
        <v>1</v>
      </c>
      <c r="ET11">
        <f>IF(OR(ROW()-4&gt;INDEX($U$4:$U$11,$AC$2+1,1)-INDEX($U$4:$U$11,$AC$2,1),ROW()-4&gt;$AD$2),NA(),COUNTIF(INDEX($CR$5:$CX$201,INDEX($U$4:$U$11,1,1),$AC$2):INDEX($CR$5:$CX$201,INDEX($U$4:$U$11,1,1)+ROW()-5,$AC$2),ET$3))</f>
        <v>1</v>
      </c>
      <c r="EU11">
        <f>IF(OR(ROW()-4&gt;INDEX($U$4:$U$11,$AC$2+1,1)-INDEX($U$4:$U$11,$AC$2,1),ROW()-4&gt;$AD$2),NA(),COUNTIF(INDEX($CR$5:$CX$201,INDEX($U$4:$U$11,1,1),$AC$2):INDEX($CR$5:$CX$201,INDEX($U$4:$U$11,1,1)+ROW()-5,$AC$2),EU$3))</f>
        <v>0</v>
      </c>
      <c r="EV11">
        <f>IF(OR(ROW()-4&gt;INDEX($U$4:$U$11,$AC$2+1,1)-INDEX($U$4:$U$11,$AC$2,1),ROW()-4&gt;$AD$2),NA(),COUNTIF(INDEX($CR$5:$CX$201,INDEX($U$4:$U$11,1,1),$AC$2):INDEX($CR$5:$CX$201,INDEX($U$4:$U$11,1,1)+ROW()-5,$AC$2),EV$3))</f>
        <v>0</v>
      </c>
      <c r="EW11">
        <f>IF(OR(ROW()-4&gt;INDEX($U$4:$U$11,$AC$2+1,1)-INDEX($U$4:$U$11,$AC$2,1),ROW()-4&gt;$AD$2),NA(),COUNTIF(INDEX($CR$5:$CX$201,INDEX($U$4:$U$11,1,1),$AC$2):INDEX($CR$5:$CX$201,INDEX($U$4:$U$11,1,1)+ROW()-5,$AC$2),EW$3))</f>
        <v>1</v>
      </c>
      <c r="EX11">
        <f>IF(OR(ROW()-4&gt;INDEX($U$4:$U$11,$AC$2+1,1)-INDEX($U$4:$U$11,$AC$2,1),ROW()-4&gt;$AD$2),NA(),COUNTIF(INDEX($CR$5:$CX$201,INDEX($U$4:$U$11,1,1),$AC$2):INDEX($CR$5:$CX$201,INDEX($U$4:$U$11,1,1)+ROW()-5,$AC$2),EX$3))</f>
        <v>0</v>
      </c>
      <c r="EY11">
        <f>IF(OR(ROW()-4&gt;INDEX($U$4:$U$11,$AC$2+1,1)-INDEX($U$4:$U$11,$AC$2,1),ROW()-4&gt;$AD$2),NA(),COUNTIF(INDEX($CR$5:$CX$201,INDEX($U$4:$U$11,1,1),$AC$2):INDEX($CR$5:$CX$201,INDEX($U$4:$U$11,1,1)+ROW()-5,$AC$2),EY$3))</f>
        <v>1</v>
      </c>
      <c r="EZ11">
        <f>IF(OR(ROW()-4&gt;INDEX($U$4:$U$11,$AC$2+1,1)-INDEX($U$4:$U$11,$AC$2,1),ROW()-4&gt;$AD$2),NA(),COUNTIF(INDEX($CR$5:$CX$201,INDEX($U$4:$U$11,1,1),$AC$2):INDEX($CR$5:$CX$201,INDEX($U$4:$U$11,1,1)+ROW()-5,$AC$2),EZ$3))</f>
        <v>0</v>
      </c>
      <c r="FA11">
        <f>IF(OR(ROW()-4&gt;INDEX($U$4:$U$11,$AC$2+1,1)-INDEX($U$4:$U$11,$AC$2,1),ROW()-4&gt;$AD$2),NA(),COUNTIF(INDEX($CR$5:$CX$201,INDEX($U$4:$U$11,1,1),$AC$2):INDEX($CR$5:$CX$201,INDEX($U$4:$U$11,1,1)+ROW()-5,$AC$2),FA$3))</f>
        <v>0</v>
      </c>
      <c r="FC11">
        <f>IF(OR(ROW()-4&gt;INDEX($U$4:$U$11,$AC$2+1,1)-INDEX($U$4:$U$11,$AC$2,1),ROW()-4&gt;$AD$2),NA(),COUNTIF(INDEX($CR$5:$CX$201,INDEX($U$4:$U$11,1,1),$AC$2):INDEX($CR$5:$CX$201,INDEX($U$4:$U$11,1,1)+ROW()-5,$AC$2),FC$3))</f>
        <v>0</v>
      </c>
      <c r="FD11">
        <f>IF(OR(ROW()-4&gt;INDEX($U$4:$U$11,$AC$2+1,1)-INDEX($U$4:$U$11,$AC$2,1),ROW()-4&gt;$AD$2),NA(),COUNTIF(INDEX($CR$5:$CX$201,INDEX($U$4:$U$11,1,1),$AC$2):INDEX($CR$5:$CX$201,INDEX($U$4:$U$11,1,1)+ROW()-5,$AC$2),FD$3))</f>
        <v>0</v>
      </c>
      <c r="FE11">
        <f>IF(OR(ROW()-4&gt;INDEX($U$4:$U$11,$AC$2+1,1)-INDEX($U$4:$U$11,$AC$2,1),ROW()-4&gt;$AD$2),NA(),COUNTIF(INDEX($CR$5:$CX$201,INDEX($U$4:$U$11,1,1),$AC$2):INDEX($CR$5:$CX$201,INDEX($U$4:$U$11,1,1)+ROW()-5,$AC$2),FE$3))</f>
        <v>0</v>
      </c>
      <c r="FF11">
        <f>IF(OR(ROW()-4&gt;INDEX($U$4:$U$11,$AC$2+1,1)-INDEX($U$4:$U$11,$AC$2,1),ROW()-4&gt;$AD$2),NA(),COUNTIF(INDEX($CR$5:$CX$201,INDEX($U$4:$U$11,1,1),$AC$2):INDEX($CR$5:$CX$201,INDEX($U$4:$U$11,1,1)+ROW()-5,$AC$2),FF$3))</f>
        <v>1</v>
      </c>
      <c r="FG11">
        <f>IF(OR(ROW()-4&gt;INDEX($U$4:$U$11,$AC$2+1,1)-INDEX($U$4:$U$11,$AC$2,1),ROW()-4&gt;$AD$2),NA(),COUNTIF(INDEX($CR$5:$CX$201,INDEX($U$4:$U$11,1,1),$AC$2):INDEX($CR$5:$CX$201,INDEX($U$4:$U$11,1,1)+ROW()-5,$AC$2),FG$3))</f>
        <v>0</v>
      </c>
      <c r="FH11">
        <f>IF(OR(ROW()-4&gt;INDEX($U$4:$U$11,$AC$2+1,1)-INDEX($U$4:$U$11,$AC$2,1),ROW()-4&gt;$AD$2),NA(),COUNTIF(INDEX($CR$5:$CX$201,INDEX($U$4:$U$11,1,1),$AC$2):INDEX($CR$5:$CX$201,INDEX($U$4:$U$11,1,1)+ROW()-5,$AC$2),FH$3))</f>
        <v>3</v>
      </c>
      <c r="FI11">
        <f>IF(OR(ROW()-4&gt;INDEX($U$4:$U$11,$AC$2+1,1)-INDEX($U$4:$U$11,$AC$2,1),ROW()-4&gt;$AD$2),NA(),COUNTIF(INDEX($CR$5:$CX$201,INDEX($U$4:$U$11,1,1),$AC$2):INDEX($CR$5:$CX$201,INDEX($U$4:$U$11,1,1)+ROW()-5,$AC$2),FI$3))</f>
        <v>0</v>
      </c>
      <c r="FJ11">
        <f>IF(OR(ROW()-4&gt;INDEX($U$4:$U$11,$AC$2+1,1)-INDEX($U$4:$U$11,$AC$2,1),ROW()-4&gt;$AD$2),NA(),COUNTIF(INDEX($CR$5:$CX$201,INDEX($U$4:$U$11,1,1),$AC$2):INDEX($CR$5:$CX$201,INDEX($U$4:$U$11,1,1)+ROW()-5,$AC$2),FJ$3))</f>
        <v>0</v>
      </c>
      <c r="FL11">
        <f>IF(OR(ROW()-4&gt;INDEX($U$4:$U$11,$AC$2+1,1)-INDEX($U$4:$U$11,$AC$2,1),ROW()-4&gt;$AD$2),NA(),COUNTIF(INDEX($CZ$5:$DF$201,INDEX($U$4:$U$11,1,1),$AC$2):INDEX($CZ$5:$DF$201,INDEX($U$4:$U$11,1,1)+ROW()-5,$AC$2),FL$3))</f>
        <v>0</v>
      </c>
      <c r="FM11">
        <f>IF(OR(ROW()-4&gt;INDEX($U$4:$U$11,$AC$2+1,1)-INDEX($U$4:$U$11,$AC$2,1),ROW()-4&gt;$AD$2),NA(),COUNTIF(INDEX($CZ$5:$DF$201,INDEX($U$4:$U$11,1,1),$AC$2):INDEX($CZ$5:$DF$201,INDEX($U$4:$U$11,1,1)+ROW()-5,$AC$2),FM$3))</f>
        <v>0</v>
      </c>
      <c r="FN11">
        <f>IF(OR(ROW()-4&gt;INDEX($U$4:$U$11,$AC$2+1,1)-INDEX($U$4:$U$11,$AC$2,1),ROW()-4&gt;$AD$2),NA(),COUNTIF(INDEX($CZ$5:$DF$201,INDEX($U$4:$U$11,1,1),$AC$2):INDEX($CZ$5:$DF$201,INDEX($U$4:$U$11,1,1)+ROW()-5,$AC$2),FN$3))</f>
        <v>0</v>
      </c>
      <c r="FO11">
        <f>IF(OR(ROW()-4&gt;INDEX($U$4:$U$11,$AC$2+1,1)-INDEX($U$4:$U$11,$AC$2,1),ROW()-4&gt;$AD$2),NA(),COUNTIF(INDEX($CZ$5:$DF$201,INDEX($U$4:$U$11,1,1),$AC$2):INDEX($CZ$5:$DF$201,INDEX($U$4:$U$11,1,1)+ROW()-5,$AC$2),FO$3))</f>
        <v>2</v>
      </c>
      <c r="FP11">
        <f>IF(OR(ROW()-4&gt;INDEX($U$4:$U$11,$AC$2+1,1)-INDEX($U$4:$U$11,$AC$2,1),ROW()-4&gt;$AD$2),NA(),COUNTIF(INDEX($CZ$5:$DF$201,INDEX($U$4:$U$11,1,1),$AC$2):INDEX($CZ$5:$DF$201,INDEX($U$4:$U$11,1,1)+ROW()-5,$AC$2),FP$3))</f>
        <v>0</v>
      </c>
      <c r="FQ11">
        <f>IF(OR(ROW()-4&gt;INDEX($U$4:$U$11,$AC$2+1,1)-INDEX($U$4:$U$11,$AC$2,1),ROW()-4&gt;$AD$2),NA(),COUNTIF(INDEX($CZ$5:$DF$201,INDEX($U$4:$U$11,1,1),$AC$2):INDEX($CZ$5:$DF$201,INDEX($U$4:$U$11,1,1)+ROW()-5,$AC$2),FQ$3))</f>
        <v>1</v>
      </c>
      <c r="FR11">
        <f>IF(OR(ROW()-4&gt;INDEX($U$4:$U$11,$AC$2+1,1)-INDEX($U$4:$U$11,$AC$2,1),ROW()-4&gt;$AD$2),NA(),COUNTIF(INDEX($CZ$5:$DF$201,INDEX($U$4:$U$11,1,1),$AC$2):INDEX($CZ$5:$DF$201,INDEX($U$4:$U$11,1,1)+ROW()-5,$AC$2),FR$3))</f>
        <v>0</v>
      </c>
      <c r="FS11">
        <f>IF(OR(ROW()-4&gt;INDEX($U$4:$U$11,$AC$2+1,1)-INDEX($U$4:$U$11,$AC$2,1),ROW()-4&gt;$AD$2),NA(),COUNTIF(INDEX($CZ$5:$DF$201,INDEX($U$4:$U$11,1,1),$AC$2):INDEX($CZ$5:$DF$201,INDEX($U$4:$U$11,1,1)+ROW()-5,$AC$2),FS$3))</f>
        <v>0</v>
      </c>
      <c r="FT11">
        <f>IF(OR(ROW()-4&gt;INDEX($U$4:$U$11,$AC$2+1,1)-INDEX($U$4:$U$11,$AC$2,1),ROW()-4&gt;$AD$2),NA(),COUNTIF(INDEX($CZ$5:$DF$201,INDEX($U$4:$U$11,1,1),$AC$2):INDEX($CZ$5:$DF$201,INDEX($U$4:$U$11,1,1)+ROW()-5,$AC$2),FT$3))</f>
        <v>0</v>
      </c>
      <c r="FU11">
        <f>IF(OR(ROW()-4&gt;INDEX($U$4:$U$11,$AC$2+1,1)-INDEX($U$4:$U$11,$AC$2,1),ROW()-4&gt;$AD$2),NA(),COUNTIF(INDEX($CZ$5:$DF$201,INDEX($U$4:$U$11,1,1),$AC$2):INDEX($CZ$5:$DF$201,INDEX($U$4:$U$11,1,1)+ROW()-5,$AC$2),FU$3))</f>
        <v>0</v>
      </c>
      <c r="FW11">
        <f>IF(OR(ROW()-4&gt;INDEX($U$4:$U$11,$AC$2+1,1)-INDEX($U$4:$U$11,$AC$2,1),ROW()-4&gt;$AD$2),NA(),COUNTIF(INDEX($CZ$5:$DF$201,INDEX($U$4:$U$11,1,1),$AC$2):INDEX($CZ$5:$DF$201,INDEX($U$4:$U$11,1,1)+ROW()-5,$AC$2),FW$3))</f>
        <v>0</v>
      </c>
      <c r="FX11">
        <f>IF(OR(ROW()-4&gt;INDEX($U$4:$U$11,$AC$2+1,1)-INDEX($U$4:$U$11,$AC$2,1),ROW()-4&gt;$AD$2),NA(),COUNTIF(INDEX($CZ$5:$DF$201,INDEX($U$4:$U$11,1,1),$AC$2):INDEX($CZ$5:$DF$201,INDEX($U$4:$U$11,1,1)+ROW()-5,$AC$2),FX$3))</f>
        <v>1</v>
      </c>
      <c r="FY11">
        <f>IF(OR(ROW()-4&gt;INDEX($U$4:$U$11,$AC$2+1,1)-INDEX($U$4:$U$11,$AC$2,1),ROW()-4&gt;$AD$2),NA(),COUNTIF(INDEX($CZ$5:$DF$201,INDEX($U$4:$U$11,1,1),$AC$2):INDEX($CZ$5:$DF$201,INDEX($U$4:$U$11,1,1)+ROW()-5,$AC$2),FY$3))</f>
        <v>0</v>
      </c>
      <c r="FZ11">
        <f>IF(OR(ROW()-4&gt;INDEX($U$4:$U$11,$AC$2+1,1)-INDEX($U$4:$U$11,$AC$2,1),ROW()-4&gt;$AD$2),NA(),COUNTIF(INDEX($CZ$5:$DF$201,INDEX($U$4:$U$11,1,1),$AC$2):INDEX($CZ$5:$DF$201,INDEX($U$4:$U$11,1,1)+ROW()-5,$AC$2),FZ$3))</f>
        <v>0</v>
      </c>
      <c r="GA11">
        <f>IF(OR(ROW()-4&gt;INDEX($U$4:$U$11,$AC$2+1,1)-INDEX($U$4:$U$11,$AC$2,1),ROW()-4&gt;$AD$2),NA(),COUNTIF(INDEX($CZ$5:$DF$201,INDEX($U$4:$U$11,1,1),$AC$2):INDEX($CZ$5:$DF$201,INDEX($U$4:$U$11,1,1)+ROW()-5,$AC$2),GA$3))</f>
        <v>1</v>
      </c>
      <c r="GB11">
        <f>IF(OR(ROW()-4&gt;INDEX($U$4:$U$11,$AC$2+1,1)-INDEX($U$4:$U$11,$AC$2,1),ROW()-4&gt;$AD$2),NA(),COUNTIF(INDEX($CZ$5:$DF$201,INDEX($U$4:$U$11,1,1),$AC$2):INDEX($CZ$5:$DF$201,INDEX($U$4:$U$11,1,1)+ROW()-5,$AC$2),GB$3))</f>
        <v>0</v>
      </c>
      <c r="GC11">
        <f>IF(OR(ROW()-4&gt;INDEX($U$4:$U$11,$AC$2+1,1)-INDEX($U$4:$U$11,$AC$2,1),ROW()-4&gt;$AD$2),NA(),COUNTIF(INDEX($CZ$5:$DF$201,INDEX($U$4:$U$11,1,1),$AC$2):INDEX($CZ$5:$DF$201,INDEX($U$4:$U$11,1,1)+ROW()-5,$AC$2),GC$3))</f>
        <v>1</v>
      </c>
      <c r="GD11">
        <f>IF(OR(ROW()-4&gt;INDEX($U$4:$U$11,$AC$2+1,1)-INDEX($U$4:$U$11,$AC$2,1),ROW()-4&gt;$AD$2),NA(),COUNTIF(INDEX($CZ$5:$DF$201,INDEX($U$4:$U$11,1,1),$AC$2):INDEX($CZ$5:$DF$201,INDEX($U$4:$U$11,1,1)+ROW()-5,$AC$2),GD$3))</f>
        <v>0</v>
      </c>
      <c r="GE11">
        <f>IF(OR(ROW()-4&gt;INDEX($U$4:$U$11,$AC$2+1,1)-INDEX($U$4:$U$11,$AC$2,1),ROW()-4&gt;$AD$2),NA(),COUNTIF(INDEX($CZ$5:$DF$201,INDEX($U$4:$U$11,1,1),$AC$2):INDEX($CZ$5:$DF$201,INDEX($U$4:$U$11,1,1)+ROW()-5,$AC$2),GE$3))</f>
        <v>0</v>
      </c>
      <c r="GF11">
        <f>IF(OR(ROW()-4&gt;INDEX($U$4:$U$11,$AC$2+1,1)-INDEX($U$4:$U$11,$AC$2,1),ROW()-4&gt;$AD$2),NA(),COUNTIF(INDEX($CZ$5:$DF$201,INDEX($U$4:$U$11,1,1),$AC$2):INDEX($CZ$5:$DF$201,INDEX($U$4:$U$11,1,1)+ROW()-5,$AC$2),GF$3))</f>
        <v>0</v>
      </c>
      <c r="GK11" t="s">
        <v>34</v>
      </c>
      <c r="GQ11" s="66">
        <f>INDEX($DV$5:$DV$40,$AD$2)</f>
        <v>0</v>
      </c>
      <c r="GR11" s="66">
        <f>INDEX($DW$5:$DW$40,$AD$2)</f>
        <v>0</v>
      </c>
      <c r="GS11" s="66">
        <f>INDEX($DX$5:$DX$40,$AD$2)</f>
        <v>3</v>
      </c>
      <c r="GT11" s="66">
        <f>INDEX($DY$5:$DY$40,$AD$2)</f>
        <v>2</v>
      </c>
      <c r="GV11" s="67">
        <f>INDEX($EE$5:$EE$40,$AD$2)</f>
        <v>0</v>
      </c>
      <c r="GW11" s="67">
        <f>INDEX($EF$5:$EF$40,$AD$2)</f>
        <v>0</v>
      </c>
      <c r="GX11" s="67">
        <f>INDEX($EG$5:$EG$40,$AD$2)</f>
        <v>0</v>
      </c>
      <c r="GY11" s="67">
        <f>INDEX($EH$5:$EH$40,$AD$2)</f>
        <v>3</v>
      </c>
      <c r="GZ11" t="s">
        <v>53</v>
      </c>
      <c r="HA11">
        <f>INDEX($DN$5:$DN$40,$AD$2)</f>
        <v>8</v>
      </c>
      <c r="HB11">
        <f>INDEX($DN$4:$DN$40,$AD$2+1)-INDEX($DN$4:$DN$40,$AD$2)</f>
        <v>1</v>
      </c>
      <c r="HC11" s="59">
        <f>INDEX($DN$55:$DN$90,$AD$2)</f>
        <v>3</v>
      </c>
      <c r="HD11" s="59">
        <f>HA11-HC11</f>
        <v>5</v>
      </c>
      <c r="HJ11" t="s">
        <v>67</v>
      </c>
      <c r="HM11" s="68" t="str">
        <f>FL1</f>
        <v>B</v>
      </c>
      <c r="HN11" s="68" t="str">
        <f>FM1</f>
        <v>BM</v>
      </c>
      <c r="HO11" s="68" t="str">
        <f>FN1</f>
        <v>FM</v>
      </c>
      <c r="HP11" s="68" t="str">
        <f>FO1</f>
        <v>F</v>
      </c>
    </row>
    <row r="12" spans="1:224" x14ac:dyDescent="0.45">
      <c r="A12" t="str">
        <f>データの貼付!A10</f>
        <v>FENG Tianwei</v>
      </c>
      <c r="B12">
        <f>データの貼付!B10</f>
        <v>2.3731249999999998E-3</v>
      </c>
      <c r="C12">
        <f>データの貼付!C10</f>
        <v>9.1134259259259269E-5</v>
      </c>
      <c r="D12">
        <f>データの貼付!D10</f>
        <v>0</v>
      </c>
      <c r="E12" t="str">
        <f>データの貼付!F10</f>
        <v>FENG Tianwei</v>
      </c>
      <c r="F12">
        <f>データの貼付!E10</f>
        <v>0</v>
      </c>
      <c r="G12" t="str">
        <f>データの貼付!G10</f>
        <v>#07</v>
      </c>
      <c r="H12" t="str">
        <f>データの貼付!H10</f>
        <v>FENG Tianwei</v>
      </c>
      <c r="I12" t="str">
        <f>データの貼付!I10</f>
        <v>(Side)</v>
      </c>
      <c r="J12" t="str">
        <f>データの貼付!J10</f>
        <v>B</v>
      </c>
      <c r="K12" t="str">
        <f>データの貼付!K10</f>
        <v>FS</v>
      </c>
      <c r="L12" t="str">
        <f>データの貼付!L10</f>
        <v>F</v>
      </c>
      <c r="M12" t="str">
        <f>データの貼付!M10</f>
        <v>Stop</v>
      </c>
      <c r="N12" t="str">
        <f>データの貼付!N10</f>
        <v>FMS</v>
      </c>
      <c r="R12">
        <f t="shared" si="59"/>
        <v>0</v>
      </c>
      <c r="S12">
        <f>SUM(R$4:R12)</f>
        <v>1</v>
      </c>
      <c r="T12" t="str">
        <f t="shared" si="60"/>
        <v/>
      </c>
      <c r="W12" t="str">
        <f t="shared" si="57"/>
        <v>FENG Tianwei_FENG Tianwei</v>
      </c>
      <c r="X12" t="str">
        <f t="shared" si="58"/>
        <v>FENG Tianwei_#07</v>
      </c>
      <c r="Y12" t="str">
        <f>G3</f>
        <v>打球回数</v>
      </c>
      <c r="Z12" t="str">
        <f>INDEX(G$4:G$200,INDEX(U$4:U$11,AC$2)+AD2-1)</f>
        <v>#06</v>
      </c>
      <c r="AC12" s="8">
        <f>IF(OR(ROW()-4&gt;INDEX($U$4:$U$11,AC$2+1)-INDEX($U$4:$U$11,AC$2),ROW()-4&gt;AD$2),NA(),COUNTIF(INDEX($W$4:$W$200,INDEX($U$4:$U$11,AC$2)):INDEX($W$4:$W$200,INDEX($U$4:$U$11,AC$2)+ROW()-5),AC$3&amp;"_"&amp;AC$3)/(COUNTIF(INDEX($W$4:$W$200,INDEX($U$4:$U$11,AC$2)):INDEX($W$4:$W$200,INDEX($U$4:$U$11,AC$2)+ROW()-5),AC$3&amp;"_"&amp;AC$3)+COUNTIF(INDEX($W$4:$W$200,INDEX($U$4:$U$11,AC$2)):INDEX($W$4:$W$200,INDEX($U$4:$U$11,AC$2)+ROW()-5),AD$3&amp;"_"&amp;AC$3)))</f>
        <v>0.5</v>
      </c>
      <c r="AD12" s="8">
        <f>IF(OR(ROW()-4&gt;INDEX($U$4:$U$11,AC$2+1)-INDEX($U$4:$U$11,AC$2),ROW()-4&gt;AD$2),NA(),COUNTIF(INDEX($W$4:$W$200,INDEX($U$4:$U$11,AC$2)):INDEX($W$4:$W$200,INDEX($U$4:$U$11,AC$2)+ROW()-5),AD$3&amp;"_"&amp;AD$3)/(COUNTIF(INDEX($W$4:$W$200,INDEX($U$4:$U$11,AC$2)):INDEX($W$4:$W$200,INDEX($U$4:$U$11,AC$2)+ROW()-5),AD$3&amp;"_"&amp;AD$3)+COUNTIF(INDEX($W$4:$W$200,INDEX($U$4:$U$11,AC$2)):INDEX($W$4:$W$200,INDEX($U$4:$U$11,AC$2)+ROW()-5),AC$3&amp;"_"&amp;AD$3)))</f>
        <v>0.25</v>
      </c>
      <c r="AE12" s="10">
        <f>IF(OR(ROW()-4&gt;INDEX($U$4:$U$11,AC$2+1)-INDEX($U$4:$U$11,AC$2),ROW()-4&gt;AD$2),NA(),COUNTIF(INDEX($W$4:$W$200,INDEX($U$4:$U$11,AC$2)):INDEX($W$4:$W$200,INDEX($U$4:$U$11,AC$2)+ROW()-5),AC$3&amp;"_"&amp;AD$3)/(COUNTIF(INDEX($W$4:$W$200,INDEX($U$4:$U$11,AC$2)):INDEX($W$4:$W$200,INDEX($U$4:$U$11,AC$2)+ROW()-5),AC$3&amp;"_"&amp;AD$3)+COUNTIF(INDEX($W$4:$W$200,INDEX($U$4:$U$11,AC$2)):INDEX($W$4:$W$200,INDEX($U$4:$U$11,AC$2)+ROW()-5),AD$3&amp;"_"&amp;AD$3)))</f>
        <v>0.75</v>
      </c>
      <c r="AF12" s="10">
        <f>IF(OR(ROW()-4&gt;INDEX($U$4:$U$11,AC$2+1)-INDEX($U$4:$U$11,AC$2),ROW()-4&gt;AD$2),NA(),COUNTIF(INDEX($W$4:$W$200,INDEX($U$4:$U$11,AC$2)):INDEX($W$4:$W$200,INDEX($U$4:$U$11,AC$2)+ROW()-5),AD$3&amp;"_"&amp;AC$3)/(COUNTIF(INDEX($W$4:$W$200,INDEX($U$4:$U$11,AC$2)):INDEX($W$4:$W$200,INDEX($U$4:$U$11,AC$2)+ROW()-5),AD$3&amp;"_"&amp;AC$3)+COUNTIF(INDEX($W$4:$W$200,INDEX($U$4:$U$11,AC$2)):INDEX($W$4:$W$200,INDEX($U$4:$U$11,AC$2)+ROW()-5),AC$3&amp;"_"&amp;AC$3)))</f>
        <v>0.5</v>
      </c>
      <c r="AG12" s="10">
        <f>IF(OR(ROW()-4&gt;INDEX($U$4:$U$11,AC$2+1)-INDEX($U$4:$U$11,AC$2),ROW()-4&gt;AD$2),NA(),COUNTIF(INDEX($X$4:$X$200,INDEX($U$4:$U$11,AC$2)):INDEX($X$4:$X$200,INDEX($U$4:$U$11,AC$2)+ROW()-5),AC$3&amp;"_#03")/(COUNTIF(INDEX($W$4:$W$200,INDEX($U$4:$U$11,AC$2)):INDEX($W$4:$W$200,INDEX($U$4:$U$11,AC$2)+ROW()-5),AC$3&amp;"_"&amp;AC$3)+COUNTIF(INDEX($W$4:$W$200,INDEX($U$4:$U$11,AC$2)):INDEX($W$4:$W$200,INDEX($U$4:$U$11,AC$2)+ROW()-5),AD$3&amp;"_"&amp;AC$3)))</f>
        <v>0</v>
      </c>
      <c r="AH12" s="10">
        <f>IF(OR(ROW()-4&gt;INDEX($U$4:$U$11,AC$2+1)-INDEX($U$4:$U$11,AC$2),ROW()-4&gt;AD$2),NA(),COUNTIF(INDEX($X$4:$X$200,INDEX($U$4:$U$11,AC$2)):INDEX($X$4:$X$200,INDEX($U$4:$U$11,AC$2)+ROW()-5),AD$3&amp;"_#03")/(COUNTIF(INDEX($W$4:$W$200,INDEX($U$4:$U$11,AC$2)):INDEX($W$4:$W$200,INDEX($U$4:$U$11,AC$2)+ROW()-5),AD$3&amp;"_"&amp;AD$3)+COUNTIF(INDEX($W$4:$W$200,INDEX($U$4:$U$11,AC$2)):INDEX($W$4:$W$200,INDEX($U$4:$U$11,AC$2)+ROW()-5),AC$3&amp;"_"&amp;AD$3)))</f>
        <v>0</v>
      </c>
      <c r="AI12" s="10">
        <f>IF(OR(ROW()-4&gt;INDEX($U$4:$U$11,AC$2+1)-INDEX($U$4:$U$11,AC$2),ROW()-4&gt;AD$2),NA(),(COUNTIF(INDEX($X$4:$X$200,INDEX($U$4:$U$11,AC$2)):INDEX($X$4:$X$200,INDEX($U$4:$U$11,AC$2)+ROW()-5),AC$3&amp;"_#03")-COUNTIF(INDEX($X$4:$X$200,INDEX($U$4:$U$11,AC$2)):INDEX($X$4:$X$200,INDEX($U$4:$U$11,AC$2)+ROW()-5),AD$3&amp;"_#02"))/(COUNTIF(INDEX($W$4:$W$200,INDEX($U$4:$U$11,AC$2)):INDEX($W$4:$W$200,INDEX($U$4:$U$11,AC$2)+ROW()-5),AC$3&amp;"_"&amp;AC$3)+COUNTIF(INDEX($W$4:$W$200,INDEX($U$4:$U$11,AC$2)):INDEX($W$4:$W$200,INDEX($U$4:$U$11,AC$2)+ROW()-5),AD$3&amp;"_"&amp;AC$3)))</f>
        <v>-0.25</v>
      </c>
      <c r="AJ12" s="10">
        <f>IF(OR(ROW()-4&gt;INDEX($U$4:$U$11,AC$2+1)-INDEX($U$4:$U$11,AC$2),ROW()-4&gt;AD$2),NA(),(COUNTIF(INDEX($X$4:$X$200,INDEX($U$4:$U$11,AC$2)):INDEX($X$4:$X$200,INDEX($U$4:$U$11,AC$2)+ROW()-5),AD$3&amp;"_#03")-COUNTIF(INDEX($X$4:$X$200,INDEX($U$4:$U$11,AC$2)):INDEX($X$4:$X$200,INDEX($U$4:$U$11,AC$2)+ROW()-5),AC$3&amp;"_#02"))/(COUNTIF(INDEX($W$4:$W$200,INDEX($U$4:$U$11,AC$2)):INDEX($W$4:$W$200,INDEX($U$4:$U$11,AC$2)+ROW()-5),AD$3&amp;"_"&amp;AD$3)+COUNTIF(INDEX($W$4:$W$200,INDEX($U$4:$U$11,AC$2)):INDEX($W$4:$W$200,INDEX($U$4:$U$11,AC$2)+ROW()-5),AC$3&amp;"_"&amp;AD$3)))</f>
        <v>-0.25</v>
      </c>
      <c r="AK12" s="10">
        <f>IF(OR(ROW()-4&gt;INDEX($U$4:$U$11,AC$2+1)-INDEX($U$4:$U$11,AC$2),ROW()-4&gt;AD$2),NA(),(COUNTIF(INDEX($X$4:$X$200,INDEX($U$4:$U$11,AC$2)):INDEX($X$4:$X$200,INDEX($U$4:$U$11,AC$2)+ROW()-5),AC$3&amp;"_#01")+COUNTIF(INDEX($X$4:$X$200,INDEX($U$4:$U$11,AC$2)):INDEX($X$4:$X$200,INDEX($U$4:$U$11,AC$2)+ROW()-5),AC$3&amp;"_#03"))/(COUNTIF(INDEX($W$4:$W$200,INDEX($U$4:$U$11,AC$2)):INDEX($W$4:$W$200,INDEX($U$4:$U$11,AC$2)+ROW()-5),AC$3&amp;"_"&amp;AC$3)+COUNTIF(INDEX($W$4:$W$200,INDEX($U$4:$U$11,AC$2)):INDEX($W$4:$W$200,INDEX($U$4:$U$11,AC$2)+ROW()-5),AD$3&amp;"_"&amp;AC$3)))</f>
        <v>0.25</v>
      </c>
      <c r="AL12" s="10">
        <f>IF(OR(ROW()-4&gt;INDEX($U$4:$U$11,AC$2+1)-INDEX($U$4:$U$11,AC$2),ROW()-4&gt;AD$2),NA(),(COUNTIF(INDEX($X$4:$X$200,INDEX($U$4:$U$11,AC$2)):INDEX($X$4:$X$200,INDEX($U$4:$U$11,AC$2)+ROW()-5),AD$3&amp;"_#01")+COUNTIF(INDEX($X$4:$X$200,INDEX($U$4:$U$11,AC$2)):INDEX($X$4:$X$200,INDEX($U$4:$U$11,AC$2)+ROW()-5),AD$3&amp;"_#03"))/(COUNTIF(INDEX($W$4:$W$200,INDEX($U$4:$U$11,AC$2)):INDEX($W$4:$W$200,INDEX($U$4:$U$11,AC$2)+ROW()-5),AD$3&amp;"_"&amp;AD$3)+COUNTIF(INDEX($W$4:$W$200,INDEX($U$4:$U$11,AC$2)):INDEX($W$4:$W$200,INDEX($U$4:$U$11,AC$2)+ROW()-5),AC$3&amp;"_"&amp;AD$3)))</f>
        <v>0</v>
      </c>
      <c r="AN12">
        <f t="shared" si="125"/>
        <v>8</v>
      </c>
      <c r="AO12">
        <f t="shared" si="111"/>
        <v>25</v>
      </c>
      <c r="AP12">
        <f t="shared" si="112"/>
        <v>40</v>
      </c>
      <c r="AQ12">
        <f t="shared" si="113"/>
        <v>56</v>
      </c>
      <c r="AR12">
        <f t="shared" si="114"/>
        <v>75</v>
      </c>
      <c r="AS12" t="e">
        <f t="shared" si="115"/>
        <v>#VALUE!</v>
      </c>
      <c r="AT12" t="e">
        <f t="shared" si="116"/>
        <v>#VALUE!</v>
      </c>
      <c r="AV12" t="str">
        <f t="shared" si="117"/>
        <v>KIHARA Miyuu</v>
      </c>
      <c r="AW12" t="str">
        <f t="shared" si="63"/>
        <v>FENG Tianwei</v>
      </c>
      <c r="AX12" t="str">
        <f t="shared" si="64"/>
        <v>FENG Tianwei</v>
      </c>
      <c r="AY12" t="str">
        <f t="shared" si="65"/>
        <v>KIHARA Miyuu</v>
      </c>
      <c r="AZ12" t="str">
        <f t="shared" si="66"/>
        <v>FENG Tianwei</v>
      </c>
      <c r="BA12" t="e">
        <f t="shared" si="67"/>
        <v>#VALUE!</v>
      </c>
      <c r="BB12" t="e">
        <f t="shared" si="68"/>
        <v>#VALUE!</v>
      </c>
      <c r="BD12" t="str">
        <f t="shared" si="118"/>
        <v>KIHARA Miyuu</v>
      </c>
      <c r="BE12" t="str">
        <f t="shared" si="69"/>
        <v>FENG Tianwei</v>
      </c>
      <c r="BF12" t="str">
        <f t="shared" si="70"/>
        <v>KIHARA Miyuu</v>
      </c>
      <c r="BG12" t="str">
        <f t="shared" si="71"/>
        <v>FENG Tianwei</v>
      </c>
      <c r="BH12" t="str">
        <f t="shared" si="72"/>
        <v>KIHARA Miyuu</v>
      </c>
      <c r="BI12" t="e">
        <f t="shared" si="73"/>
        <v>#VALUE!</v>
      </c>
      <c r="BJ12" t="e">
        <f t="shared" si="74"/>
        <v>#VALUE!</v>
      </c>
      <c r="BL12" t="str">
        <f t="shared" si="119"/>
        <v>KIHARA Miyuu_(Side)</v>
      </c>
      <c r="BM12" t="str">
        <f t="shared" si="75"/>
        <v>FENG Tianwei_Side</v>
      </c>
      <c r="BN12" t="str">
        <f t="shared" si="76"/>
        <v>KIHARA Miyuu_(Side)</v>
      </c>
      <c r="BO12" t="str">
        <f t="shared" si="77"/>
        <v>FENG Tianwei_Back</v>
      </c>
      <c r="BP12" t="str">
        <f t="shared" si="78"/>
        <v>KIHARA Miyuu_(Side)</v>
      </c>
      <c r="BQ12" t="e">
        <f t="shared" si="79"/>
        <v>#VALUE!</v>
      </c>
      <c r="BR12" t="e">
        <f t="shared" si="80"/>
        <v>#VALUE!</v>
      </c>
      <c r="BT12" t="str">
        <f t="shared" si="120"/>
        <v>KIHARA Miyuu_B</v>
      </c>
      <c r="BU12" t="str">
        <f t="shared" si="81"/>
        <v>FENG Tianwei_F</v>
      </c>
      <c r="BV12" t="str">
        <f t="shared" si="82"/>
        <v>KIHARA Miyuu_B</v>
      </c>
      <c r="BW12" t="str">
        <f t="shared" si="83"/>
        <v>FENG Tianwei_B</v>
      </c>
      <c r="BX12" t="str">
        <f t="shared" si="84"/>
        <v>KIHARA Miyuu_B</v>
      </c>
      <c r="BY12" t="e">
        <f t="shared" si="85"/>
        <v>#VALUE!</v>
      </c>
      <c r="BZ12" t="e">
        <f t="shared" si="86"/>
        <v>#VALUE!</v>
      </c>
      <c r="CB12" t="str">
        <f t="shared" si="121"/>
        <v>KIHARA Miyuu_B</v>
      </c>
      <c r="CC12" t="str">
        <f t="shared" si="87"/>
        <v>FENG Tianwei_B</v>
      </c>
      <c r="CD12" t="str">
        <f t="shared" si="88"/>
        <v>KIHARA Miyuu_FMS</v>
      </c>
      <c r="CE12" t="str">
        <f t="shared" si="89"/>
        <v>FENG Tianwei_BM</v>
      </c>
      <c r="CF12" t="str">
        <f t="shared" si="90"/>
        <v>KIHARA Miyuu_FS</v>
      </c>
      <c r="CG12" t="e">
        <f t="shared" si="91"/>
        <v>#VALUE!</v>
      </c>
      <c r="CH12" t="e">
        <f t="shared" si="92"/>
        <v>#VALUE!</v>
      </c>
      <c r="CJ12" t="str">
        <f t="shared" si="122"/>
        <v>FENG Tianwei_B</v>
      </c>
      <c r="CK12" t="str">
        <f t="shared" si="93"/>
        <v>KIHARA Miyuu_B</v>
      </c>
      <c r="CL12" t="str">
        <f t="shared" si="94"/>
        <v>FENG Tianwei_F</v>
      </c>
      <c r="CM12" t="str">
        <f t="shared" si="95"/>
        <v>KIHARA Miyuu_B</v>
      </c>
      <c r="CN12" t="str">
        <f t="shared" si="96"/>
        <v>FENG Tianwei_B</v>
      </c>
      <c r="CO12" t="e">
        <f t="shared" si="97"/>
        <v>#VALUE!</v>
      </c>
      <c r="CP12" t="e">
        <f t="shared" si="98"/>
        <v>#VALUE!</v>
      </c>
      <c r="CR12" t="str">
        <f t="shared" si="123"/>
        <v>FENG Tianwei_ドライブ</v>
      </c>
      <c r="CS12" t="str">
        <f t="shared" si="99"/>
        <v>KIHARA Miyuu_空振り</v>
      </c>
      <c r="CT12" t="str">
        <f t="shared" si="100"/>
        <v>FENG Tianwei_Push</v>
      </c>
      <c r="CU12" t="str">
        <f t="shared" si="101"/>
        <v>KIHARA Miyuu_ドライブ</v>
      </c>
      <c r="CV12" t="str">
        <f t="shared" si="102"/>
        <v>FENG Tianwei_Chiquita</v>
      </c>
      <c r="CW12" t="e">
        <f t="shared" si="103"/>
        <v>#VALUE!</v>
      </c>
      <c r="CX12" t="e">
        <f t="shared" si="104"/>
        <v>#VALUE!</v>
      </c>
      <c r="CZ12" t="str">
        <f t="shared" si="124"/>
        <v>FENG Tianwei_B</v>
      </c>
      <c r="DA12" t="str">
        <f t="shared" si="105"/>
        <v>KIHARA Miyuu_0</v>
      </c>
      <c r="DB12" t="str">
        <f t="shared" si="106"/>
        <v>FENG Tianwei_BM</v>
      </c>
      <c r="DC12" t="str">
        <f t="shared" si="107"/>
        <v>KIHARA Miyuu_B</v>
      </c>
      <c r="DD12" t="str">
        <f t="shared" si="108"/>
        <v>FENG Tianwei_B</v>
      </c>
      <c r="DE12" t="e">
        <f t="shared" si="109"/>
        <v>#VALUE!</v>
      </c>
      <c r="DF12" t="e">
        <f t="shared" si="110"/>
        <v>#VALUE!</v>
      </c>
      <c r="DH12">
        <f>IF(OR(ROW()-4&gt;INDEX($U$4:$U$11,$AC$2+1,1)-INDEX($U$4:$U$11,$AC$2,1),ROW()-4&gt;$AD$2),NA(),COUNTIF(INDEX($BL$5:$BR$50,INDEX($U$4:$U$11,1,1),$AC$2):INDEX($BL$5:$BR$50,INDEX($U$4:$U$11,1,1)+ROW()-5,$AC$2),DH$3))</f>
        <v>1</v>
      </c>
      <c r="DI12">
        <f>IF(OR(ROW()-4&gt;INDEX($U$4:$U$11,$AC$2+1,1)-INDEX($U$4:$U$11,$AC$2,1),ROW()-4&gt;$AD$2),NA(),COUNTIF(INDEX($BL$5:$BR$50,INDEX($U$4:$U$11,1,1),$AC$2):INDEX($BL$5:$BR$50,INDEX($U$4:$U$11,1,1)+ROW()-5,$AC$2),DI$3))</f>
        <v>3</v>
      </c>
      <c r="DJ12">
        <f>IF(OR(ROW()-4&gt;INDEX($U$4:$U$11,$AC$2+1,1)-INDEX($U$4:$U$11,$AC$2,1),ROW()-4&gt;$AD$2),NA(),COUNTIF(INDEX($BL$5:$BR$50,INDEX($U$4:$U$11,1,1),$AC$2):INDEX($BL$5:$BR$50,INDEX($U$4:$U$11,1,1)+ROW()-5,$AC$2),DJ$3))</f>
        <v>0</v>
      </c>
      <c r="DL12">
        <f>IF(OR(ROW()-4&gt;INDEX($U$4:$U$11,$AC$2+1,1)-INDEX($U$4:$U$11,$AC$2,1),ROW()-4&gt;$AD$2),NA(),COUNTIF(INDEX($BL$5:$BR$50,INDEX($U$4:$U$11,1,1),$AC$2):INDEX($BL$5:$BR$50,INDEX($U$4:$U$11,1,1)+ROW()-5,$AC$2),DL$3))</f>
        <v>0</v>
      </c>
      <c r="DM12">
        <f>IF(OR(ROW()-4&gt;INDEX($U$4:$U$11,$AC$2+1,1)-INDEX($U$4:$U$11,$AC$2,1),ROW()-4&gt;$AD$2),NA(),COUNTIF(INDEX($BL$5:$BR$50,INDEX($U$4:$U$11,1,1),$AC$2):INDEX($BL$5:$BR$50,INDEX($U$4:$U$11,1,1)+ROW()-5,$AC$2),DM$3))</f>
        <v>0</v>
      </c>
      <c r="DN12">
        <f>IF(OR(ROW()-4&gt;INDEX($U$4:$U$11,$AC$2+1,1)-INDEX($U$4:$U$11,$AC$2,1),ROW()-4&gt;$AD$2),NA(),COUNTIF(INDEX($BL$5:$BR$50,INDEX($U$4:$U$11,1,1),$AC$2):INDEX($BL$5:$BR$50,INDEX($U$4:$U$11,1,1)+ROW()-5,$AC$2),DN$3))</f>
        <v>4</v>
      </c>
      <c r="DP12">
        <f>IF(OR(ROW()-4&gt;INDEX($U$4:$U$11,$AC$2+1,1)-INDEX($U$4:$U$11,$AC$2,1),ROW()-4&gt;$AD$2),NA(),COUNTIF(INDEX($BT$5:$BZ$201,INDEX($U$4:$U$11,1,1),$AC$2):INDEX($BT$5:$BZ$201,INDEX($U$4:$U$11,1,1)+ROW()-5,$AC$2),DP$3))</f>
        <v>4</v>
      </c>
      <c r="DQ12">
        <f>IF(OR(ROW()-4&gt;INDEX($U$4:$U$11,$AC$2+1,1)-INDEX($U$4:$U$11,$AC$2,1),ROW()-4&gt;$AD$2),NA(),COUNTIF(INDEX($BT$5:$BZ$201,INDEX($U$4:$U$11,1,1),$AC$2):INDEX($BT$5:$BZ$201,INDEX($U$4:$U$11,1,1)+ROW()-5,$AC$2),DQ$3))</f>
        <v>0</v>
      </c>
      <c r="DS12">
        <f>IF(OR(ROW()-4&gt;INDEX($U$4:$U$11,$AC$2+1,1)-INDEX($U$4:$U$11,$AC$2,1),ROW()-4&gt;$AD$2),NA(),COUNTIF(INDEX($BT$5:$BZ$201,INDEX($U$4:$U$11,1,1),$AC$2):INDEX($BT$5:$BZ$201,INDEX($U$4:$U$11,1,1)+ROW()-5,$AC$2),DS$3))</f>
        <v>4</v>
      </c>
      <c r="DT12">
        <f>IF(OR(ROW()-4&gt;INDEX($U$4:$U$11,$AC$2+1,1)-INDEX($U$4:$U$11,$AC$2,1),ROW()-4&gt;$AD$2),NA(),COUNTIF(INDEX($BT$5:$BZ$201,INDEX($U$4:$U$11,1,1),$AC$2):INDEX($BT$5:$BZ$201,INDEX($U$4:$U$11,1,1)+ROW()-5,$AC$2),DT$3))</f>
        <v>0</v>
      </c>
      <c r="DV12">
        <f>IF(OR(ROW()-4&gt;INDEX($U$4:$U$11,$AC$2+1,1)-INDEX($U$4:$U$11,$AC$2,1),ROW()-4&gt;$AD$2),NA(),COUNTIF(INDEX($CB$5:$CH$201,INDEX($U$4:$U$11,1,1),$AC$2):INDEX($CB$5:$CH$201,INDEX($U$4:$U$11,1,1)+ROW()-5,$AC$2),DV$3))</f>
        <v>0</v>
      </c>
      <c r="DW12">
        <f>IF(OR(ROW()-4&gt;INDEX($U$4:$U$11,$AC$2+1,1)-INDEX($U$4:$U$11,$AC$2,1),ROW()-4&gt;$AD$2),NA(),COUNTIF(INDEX($CB$5:$CH$201,INDEX($U$4:$U$11,1,1),$AC$2):INDEX($CB$5:$CH$201,INDEX($U$4:$U$11,1,1)+ROW()-5,$AC$2),DW$3))</f>
        <v>0</v>
      </c>
      <c r="DX12">
        <f>IF(OR(ROW()-4&gt;INDEX($U$4:$U$11,$AC$2+1,1)-INDEX($U$4:$U$11,$AC$2,1),ROW()-4&gt;$AD$2),NA(),COUNTIF(INDEX($CB$5:$CH$201,INDEX($U$4:$U$11,1,1),$AC$2):INDEX($CB$5:$CH$201,INDEX($U$4:$U$11,1,1)+ROW()-5,$AC$2),DX$3))</f>
        <v>3</v>
      </c>
      <c r="DY12">
        <f>IF(OR(ROW()-4&gt;INDEX($U$4:$U$11,$AC$2+1,1)-INDEX($U$4:$U$11,$AC$2,1),ROW()-4&gt;$AD$2),NA(),COUNTIF(INDEX($CB$5:$CH$201,INDEX($U$4:$U$11,1,1),$AC$2):INDEX($CB$5:$CH$201,INDEX($U$4:$U$11,1,1)+ROW()-5,$AC$2),DY$3))</f>
        <v>0</v>
      </c>
      <c r="DZ12">
        <f>IF(OR(ROW()-4&gt;INDEX($U$4:$U$11,$AC$2+1,1)-INDEX($U$4:$U$11,$AC$2,1),ROW()-4&gt;$AD$2),NA(),COUNTIF(INDEX($CB$5:$CH$201,INDEX($U$4:$U$11,1,1),$AC$2):INDEX($CB$5:$CH$201,INDEX($U$4:$U$11,1,1)+ROW()-5,$AC$2),DZ$3))</f>
        <v>0</v>
      </c>
      <c r="EA12">
        <f>IF(OR(ROW()-4&gt;INDEX($U$4:$U$11,$AC$2+1,1)-INDEX($U$4:$U$11,$AC$2,1),ROW()-4&gt;$AD$2),NA(),COUNTIF(INDEX($CB$5:$CH$201,INDEX($U$4:$U$11,1,1),$AC$2):INDEX($CB$5:$CH$201,INDEX($U$4:$U$11,1,1)+ROW()-5,$AC$2),EA$3))</f>
        <v>1</v>
      </c>
      <c r="EB12">
        <f>IF(OR(ROW()-4&gt;INDEX($U$4:$U$11,$AC$2+1,1)-INDEX($U$4:$U$11,$AC$2,1),ROW()-4&gt;$AD$2),NA(),COUNTIF(INDEX($CB$5:$CH$201,INDEX($U$4:$U$11,1,1),$AC$2):INDEX($CB$5:$CH$201,INDEX($U$4:$U$11,1,1)+ROW()-5,$AC$2),EB$3))</f>
        <v>0</v>
      </c>
      <c r="EC12">
        <f>IF(OR(ROW()-4&gt;INDEX($U$4:$U$11,$AC$2+1,1)-INDEX($U$4:$U$11,$AC$2,1),ROW()-4&gt;$AD$2),NA(),COUNTIF(INDEX($CB$5:$CH$201,INDEX($U$4:$U$11,1,1),$AC$2):INDEX($CB$5:$CH$201,INDEX($U$4:$U$11,1,1)+ROW()-5,$AC$2),EC$3))</f>
        <v>0</v>
      </c>
      <c r="EE12">
        <f>IF(OR(ROW()-4&gt;INDEX($U$4:$U$11,$AC$2+1,1)-INDEX($U$4:$U$11,$AC$2,1),ROW()-4&gt;$AD$2),NA(),COUNTIF(INDEX($CB$5:$CH$201,INDEX($U$4:$U$11,1,1),$AC$2):INDEX($CB$5:$CH$201,INDEX($U$4:$U$11,1,1)+ROW()-5,$AC$2),EE$3))</f>
        <v>0</v>
      </c>
      <c r="EF12">
        <f>IF(OR(ROW()-4&gt;INDEX($U$4:$U$11,$AC$2+1,1)-INDEX($U$4:$U$11,$AC$2,1),ROW()-4&gt;$AD$2),NA(),COUNTIF(INDEX($CB$5:$CH$201,INDEX($U$4:$U$11,1,1),$AC$2):INDEX($CB$5:$CH$201,INDEX($U$4:$U$11,1,1)+ROW()-5,$AC$2),EF$3))</f>
        <v>0</v>
      </c>
      <c r="EG12">
        <f>IF(OR(ROW()-4&gt;INDEX($U$4:$U$11,$AC$2+1,1)-INDEX($U$4:$U$11,$AC$2,1),ROW()-4&gt;$AD$2),NA(),COUNTIF(INDEX($CB$5:$CH$201,INDEX($U$4:$U$11,1,1),$AC$2):INDEX($CB$5:$CH$201,INDEX($U$4:$U$11,1,1)+ROW()-5,$AC$2),EG$3))</f>
        <v>0</v>
      </c>
      <c r="EH12">
        <f>IF(OR(ROW()-4&gt;INDEX($U$4:$U$11,$AC$2+1,1)-INDEX($U$4:$U$11,$AC$2,1),ROW()-4&gt;$AD$2),NA(),COUNTIF(INDEX($CB$5:$CH$201,INDEX($U$4:$U$11,1,1),$AC$2):INDEX($CB$5:$CH$201,INDEX($U$4:$U$11,1,1)+ROW()-5,$AC$2),EH$3))</f>
        <v>1</v>
      </c>
      <c r="EI12">
        <f>IF(OR(ROW()-4&gt;INDEX($U$4:$U$11,$AC$2+1,1)-INDEX($U$4:$U$11,$AC$2,1),ROW()-4&gt;$AD$2),NA(),COUNTIF(INDEX($CB$5:$CH$201,INDEX($U$4:$U$11,1,1),$AC$2):INDEX($CB$5:$CH$201,INDEX($U$4:$U$11,1,1)+ROW()-5,$AC$2),EI$3))</f>
        <v>2</v>
      </c>
      <c r="EJ12">
        <f>IF(OR(ROW()-4&gt;INDEX($U$4:$U$11,$AC$2+1,1)-INDEX($U$4:$U$11,$AC$2,1),ROW()-4&gt;$AD$2),NA(),COUNTIF(INDEX($CB$5:$CH$201,INDEX($U$4:$U$11,1,1),$AC$2):INDEX($CB$5:$CH$201,INDEX($U$4:$U$11,1,1)+ROW()-5,$AC$2),EJ$3))</f>
        <v>1</v>
      </c>
      <c r="EK12">
        <f>IF(OR(ROW()-4&gt;INDEX($U$4:$U$11,$AC$2+1,1)-INDEX($U$4:$U$11,$AC$2,1),ROW()-4&gt;$AD$2),NA(),COUNTIF(INDEX($CB$5:$CH$201,INDEX($U$4:$U$11,1,1),$AC$2):INDEX($CB$5:$CH$201,INDEX($U$4:$U$11,1,1)+ROW()-5,$AC$2),EK$3))</f>
        <v>0</v>
      </c>
      <c r="EL12">
        <f>IF(OR(ROW()-4&gt;INDEX($U$4:$U$11,$AC$2+1,1)-INDEX($U$4:$U$11,$AC$2,1),ROW()-4&gt;$AD$2),NA(),COUNTIF(INDEX($CB$5:$CH$201,INDEX($U$4:$U$11,1,1),$AC$2):INDEX($CB$5:$CH$201,INDEX($U$4:$U$11,1,1)+ROW()-5,$AC$2),EL$3))</f>
        <v>0</v>
      </c>
      <c r="EN12">
        <f>IF(OR(ROW()-4&gt;INDEX($U$4:$U$11,$AC$2+1,1)-INDEX($U$4:$U$11,$AC$2,1),ROW()-4&gt;$AD$2),NA(),COUNTIF(INDEX($CJ$5:$CP$201,INDEX($U$4:$U$11,1,1),$AC$2):INDEX($CJ$5:$CP$201,INDEX($U$4:$U$11,1,1)+ROW()-5,$AC$2),EN$3))</f>
        <v>2</v>
      </c>
      <c r="EO12">
        <f>IF(OR(ROW()-4&gt;INDEX($U$4:$U$11,$AC$2+1,1)-INDEX($U$4:$U$11,$AC$2,1),ROW()-4&gt;$AD$2),NA(),COUNTIF(INDEX($CJ$5:$CP$201,INDEX($U$4:$U$11,1,1),$AC$2):INDEX($CJ$5:$CP$201,INDEX($U$4:$U$11,1,1)+ROW()-5,$AC$2),EO$3))</f>
        <v>1</v>
      </c>
      <c r="EQ12">
        <f>IF(OR(ROW()-4&gt;INDEX($U$4:$U$11,$AC$2+1,1)-INDEX($U$4:$U$11,$AC$2,1),ROW()-4&gt;$AD$2),NA(),COUNTIF(INDEX($CJ$5:$CP$201,INDEX($U$4:$U$11,1,1),$AC$2):INDEX($CJ$5:$CP$201,INDEX($U$4:$U$11,1,1)+ROW()-5,$AC$2),EQ$3))</f>
        <v>3</v>
      </c>
      <c r="ER12">
        <f>IF(OR(ROW()-4&gt;INDEX($U$4:$U$11,$AC$2+1,1)-INDEX($U$4:$U$11,$AC$2,1),ROW()-4&gt;$AD$2),NA(),COUNTIF(INDEX($CJ$5:$CP$201,INDEX($U$4:$U$11,1,1),$AC$2):INDEX($CJ$5:$CP$201,INDEX($U$4:$U$11,1,1)+ROW()-5,$AC$2),ER$3))</f>
        <v>1</v>
      </c>
      <c r="ET12">
        <f>IF(OR(ROW()-4&gt;INDEX($U$4:$U$11,$AC$2+1,1)-INDEX($U$4:$U$11,$AC$2,1),ROW()-4&gt;$AD$2),NA(),COUNTIF(INDEX($CR$5:$CX$201,INDEX($U$4:$U$11,1,1),$AC$2):INDEX($CR$5:$CX$201,INDEX($U$4:$U$11,1,1)+ROW()-5,$AC$2),ET$3))</f>
        <v>1</v>
      </c>
      <c r="EU12">
        <f>IF(OR(ROW()-4&gt;INDEX($U$4:$U$11,$AC$2+1,1)-INDEX($U$4:$U$11,$AC$2,1),ROW()-4&gt;$AD$2),NA(),COUNTIF(INDEX($CR$5:$CX$201,INDEX($U$4:$U$11,1,1),$AC$2):INDEX($CR$5:$CX$201,INDEX($U$4:$U$11,1,1)+ROW()-5,$AC$2),EU$3))</f>
        <v>0</v>
      </c>
      <c r="EV12">
        <f>IF(OR(ROW()-4&gt;INDEX($U$4:$U$11,$AC$2+1,1)-INDEX($U$4:$U$11,$AC$2,1),ROW()-4&gt;$AD$2),NA(),COUNTIF(INDEX($CR$5:$CX$201,INDEX($U$4:$U$11,1,1),$AC$2):INDEX($CR$5:$CX$201,INDEX($U$4:$U$11,1,1)+ROW()-5,$AC$2),EV$3))</f>
        <v>1</v>
      </c>
      <c r="EW12">
        <f>IF(OR(ROW()-4&gt;INDEX($U$4:$U$11,$AC$2+1,1)-INDEX($U$4:$U$11,$AC$2,1),ROW()-4&gt;$AD$2),NA(),COUNTIF(INDEX($CR$5:$CX$201,INDEX($U$4:$U$11,1,1),$AC$2):INDEX($CR$5:$CX$201,INDEX($U$4:$U$11,1,1)+ROW()-5,$AC$2),EW$3))</f>
        <v>1</v>
      </c>
      <c r="EX12">
        <f>IF(OR(ROW()-4&gt;INDEX($U$4:$U$11,$AC$2+1,1)-INDEX($U$4:$U$11,$AC$2,1),ROW()-4&gt;$AD$2),NA(),COUNTIF(INDEX($CR$5:$CX$201,INDEX($U$4:$U$11,1,1),$AC$2):INDEX($CR$5:$CX$201,INDEX($U$4:$U$11,1,1)+ROW()-5,$AC$2),EX$3))</f>
        <v>0</v>
      </c>
      <c r="EY12">
        <f>IF(OR(ROW()-4&gt;INDEX($U$4:$U$11,$AC$2+1,1)-INDEX($U$4:$U$11,$AC$2,1),ROW()-4&gt;$AD$2),NA(),COUNTIF(INDEX($CR$5:$CX$201,INDEX($U$4:$U$11,1,1),$AC$2):INDEX($CR$5:$CX$201,INDEX($U$4:$U$11,1,1)+ROW()-5,$AC$2),EY$3))</f>
        <v>1</v>
      </c>
      <c r="EZ12">
        <f>IF(OR(ROW()-4&gt;INDEX($U$4:$U$11,$AC$2+1,1)-INDEX($U$4:$U$11,$AC$2,1),ROW()-4&gt;$AD$2),NA(),COUNTIF(INDEX($CR$5:$CX$201,INDEX($U$4:$U$11,1,1),$AC$2):INDEX($CR$5:$CX$201,INDEX($U$4:$U$11,1,1)+ROW()-5,$AC$2),EZ$3))</f>
        <v>0</v>
      </c>
      <c r="FA12">
        <f>IF(OR(ROW()-4&gt;INDEX($U$4:$U$11,$AC$2+1,1)-INDEX($U$4:$U$11,$AC$2,1),ROW()-4&gt;$AD$2),NA(),COUNTIF(INDEX($CR$5:$CX$201,INDEX($U$4:$U$11,1,1),$AC$2):INDEX($CR$5:$CX$201,INDEX($U$4:$U$11,1,1)+ROW()-5,$AC$2),FA$3))</f>
        <v>0</v>
      </c>
      <c r="FC12">
        <f>IF(OR(ROW()-4&gt;INDEX($U$4:$U$11,$AC$2+1,1)-INDEX($U$4:$U$11,$AC$2,1),ROW()-4&gt;$AD$2),NA(),COUNTIF(INDEX($CR$5:$CX$201,INDEX($U$4:$U$11,1,1),$AC$2):INDEX($CR$5:$CX$201,INDEX($U$4:$U$11,1,1)+ROW()-5,$AC$2),FC$3))</f>
        <v>0</v>
      </c>
      <c r="FD12">
        <f>IF(OR(ROW()-4&gt;INDEX($U$4:$U$11,$AC$2+1,1)-INDEX($U$4:$U$11,$AC$2,1),ROW()-4&gt;$AD$2),NA(),COUNTIF(INDEX($CR$5:$CX$201,INDEX($U$4:$U$11,1,1),$AC$2):INDEX($CR$5:$CX$201,INDEX($U$4:$U$11,1,1)+ROW()-5,$AC$2),FD$3))</f>
        <v>0</v>
      </c>
      <c r="FE12">
        <f>IF(OR(ROW()-4&gt;INDEX($U$4:$U$11,$AC$2+1,1)-INDEX($U$4:$U$11,$AC$2,1),ROW()-4&gt;$AD$2),NA(),COUNTIF(INDEX($CR$5:$CX$201,INDEX($U$4:$U$11,1,1),$AC$2):INDEX($CR$5:$CX$201,INDEX($U$4:$U$11,1,1)+ROW()-5,$AC$2),FE$3))</f>
        <v>0</v>
      </c>
      <c r="FF12">
        <f>IF(OR(ROW()-4&gt;INDEX($U$4:$U$11,$AC$2+1,1)-INDEX($U$4:$U$11,$AC$2,1),ROW()-4&gt;$AD$2),NA(),COUNTIF(INDEX($CR$5:$CX$201,INDEX($U$4:$U$11,1,1),$AC$2):INDEX($CR$5:$CX$201,INDEX($U$4:$U$11,1,1)+ROW()-5,$AC$2),FF$3))</f>
        <v>1</v>
      </c>
      <c r="FG12">
        <f>IF(OR(ROW()-4&gt;INDEX($U$4:$U$11,$AC$2+1,1)-INDEX($U$4:$U$11,$AC$2,1),ROW()-4&gt;$AD$2),NA(),COUNTIF(INDEX($CR$5:$CX$201,INDEX($U$4:$U$11,1,1),$AC$2):INDEX($CR$5:$CX$201,INDEX($U$4:$U$11,1,1)+ROW()-5,$AC$2),FG$3))</f>
        <v>0</v>
      </c>
      <c r="FH12">
        <f>IF(OR(ROW()-4&gt;INDEX($U$4:$U$11,$AC$2+1,1)-INDEX($U$4:$U$11,$AC$2,1),ROW()-4&gt;$AD$2),NA(),COUNTIF(INDEX($CR$5:$CX$201,INDEX($U$4:$U$11,1,1),$AC$2):INDEX($CR$5:$CX$201,INDEX($U$4:$U$11,1,1)+ROW()-5,$AC$2),FH$3))</f>
        <v>3</v>
      </c>
      <c r="FI12">
        <f>IF(OR(ROW()-4&gt;INDEX($U$4:$U$11,$AC$2+1,1)-INDEX($U$4:$U$11,$AC$2,1),ROW()-4&gt;$AD$2),NA(),COUNTIF(INDEX($CR$5:$CX$201,INDEX($U$4:$U$11,1,1),$AC$2):INDEX($CR$5:$CX$201,INDEX($U$4:$U$11,1,1)+ROW()-5,$AC$2),FI$3))</f>
        <v>0</v>
      </c>
      <c r="FJ12">
        <f>IF(OR(ROW()-4&gt;INDEX($U$4:$U$11,$AC$2+1,1)-INDEX($U$4:$U$11,$AC$2,1),ROW()-4&gt;$AD$2),NA(),COUNTIF(INDEX($CR$5:$CX$201,INDEX($U$4:$U$11,1,1),$AC$2):INDEX($CR$5:$CX$201,INDEX($U$4:$U$11,1,1)+ROW()-5,$AC$2),FJ$3))</f>
        <v>0</v>
      </c>
      <c r="FL12">
        <f>IF(OR(ROW()-4&gt;INDEX($U$4:$U$11,$AC$2+1,1)-INDEX($U$4:$U$11,$AC$2,1),ROW()-4&gt;$AD$2),NA(),COUNTIF(INDEX($CZ$5:$DF$201,INDEX($U$4:$U$11,1,1),$AC$2):INDEX($CZ$5:$DF$201,INDEX($U$4:$U$11,1,1)+ROW()-5,$AC$2),FL$3))</f>
        <v>0</v>
      </c>
      <c r="FM12">
        <f>IF(OR(ROW()-4&gt;INDEX($U$4:$U$11,$AC$2+1,1)-INDEX($U$4:$U$11,$AC$2,1),ROW()-4&gt;$AD$2),NA(),COUNTIF(INDEX($CZ$5:$DF$201,INDEX($U$4:$U$11,1,1),$AC$2):INDEX($CZ$5:$DF$201,INDEX($U$4:$U$11,1,1)+ROW()-5,$AC$2),FM$3))</f>
        <v>1</v>
      </c>
      <c r="FN12">
        <f>IF(OR(ROW()-4&gt;INDEX($U$4:$U$11,$AC$2+1,1)-INDEX($U$4:$U$11,$AC$2,1),ROW()-4&gt;$AD$2),NA(),COUNTIF(INDEX($CZ$5:$DF$201,INDEX($U$4:$U$11,1,1),$AC$2):INDEX($CZ$5:$DF$201,INDEX($U$4:$U$11,1,1)+ROW()-5,$AC$2),FN$3))</f>
        <v>0</v>
      </c>
      <c r="FO12">
        <f>IF(OR(ROW()-4&gt;INDEX($U$4:$U$11,$AC$2+1,1)-INDEX($U$4:$U$11,$AC$2,1),ROW()-4&gt;$AD$2),NA(),COUNTIF(INDEX($CZ$5:$DF$201,INDEX($U$4:$U$11,1,1),$AC$2):INDEX($CZ$5:$DF$201,INDEX($U$4:$U$11,1,1)+ROW()-5,$AC$2),FO$3))</f>
        <v>2</v>
      </c>
      <c r="FP12">
        <f>IF(OR(ROW()-4&gt;INDEX($U$4:$U$11,$AC$2+1,1)-INDEX($U$4:$U$11,$AC$2,1),ROW()-4&gt;$AD$2),NA(),COUNTIF(INDEX($CZ$5:$DF$201,INDEX($U$4:$U$11,1,1),$AC$2):INDEX($CZ$5:$DF$201,INDEX($U$4:$U$11,1,1)+ROW()-5,$AC$2),FP$3))</f>
        <v>0</v>
      </c>
      <c r="FQ12">
        <f>IF(OR(ROW()-4&gt;INDEX($U$4:$U$11,$AC$2+1,1)-INDEX($U$4:$U$11,$AC$2,1),ROW()-4&gt;$AD$2),NA(),COUNTIF(INDEX($CZ$5:$DF$201,INDEX($U$4:$U$11,1,1),$AC$2):INDEX($CZ$5:$DF$201,INDEX($U$4:$U$11,1,1)+ROW()-5,$AC$2),FQ$3))</f>
        <v>1</v>
      </c>
      <c r="FR12">
        <f>IF(OR(ROW()-4&gt;INDEX($U$4:$U$11,$AC$2+1,1)-INDEX($U$4:$U$11,$AC$2,1),ROW()-4&gt;$AD$2),NA(),COUNTIF(INDEX($CZ$5:$DF$201,INDEX($U$4:$U$11,1,1),$AC$2):INDEX($CZ$5:$DF$201,INDEX($U$4:$U$11,1,1)+ROW()-5,$AC$2),FR$3))</f>
        <v>0</v>
      </c>
      <c r="FS12">
        <f>IF(OR(ROW()-4&gt;INDEX($U$4:$U$11,$AC$2+1,1)-INDEX($U$4:$U$11,$AC$2,1),ROW()-4&gt;$AD$2),NA(),COUNTIF(INDEX($CZ$5:$DF$201,INDEX($U$4:$U$11,1,1),$AC$2):INDEX($CZ$5:$DF$201,INDEX($U$4:$U$11,1,1)+ROW()-5,$AC$2),FS$3))</f>
        <v>0</v>
      </c>
      <c r="FT12">
        <f>IF(OR(ROW()-4&gt;INDEX($U$4:$U$11,$AC$2+1,1)-INDEX($U$4:$U$11,$AC$2,1),ROW()-4&gt;$AD$2),NA(),COUNTIF(INDEX($CZ$5:$DF$201,INDEX($U$4:$U$11,1,1),$AC$2):INDEX($CZ$5:$DF$201,INDEX($U$4:$U$11,1,1)+ROW()-5,$AC$2),FT$3))</f>
        <v>0</v>
      </c>
      <c r="FU12">
        <f>IF(OR(ROW()-4&gt;INDEX($U$4:$U$11,$AC$2+1,1)-INDEX($U$4:$U$11,$AC$2,1),ROW()-4&gt;$AD$2),NA(),COUNTIF(INDEX($CZ$5:$DF$201,INDEX($U$4:$U$11,1,1),$AC$2):INDEX($CZ$5:$DF$201,INDEX($U$4:$U$11,1,1)+ROW()-5,$AC$2),FU$3))</f>
        <v>0</v>
      </c>
      <c r="FW12">
        <f>IF(OR(ROW()-4&gt;INDEX($U$4:$U$11,$AC$2+1,1)-INDEX($U$4:$U$11,$AC$2,1),ROW()-4&gt;$AD$2),NA(),COUNTIF(INDEX($CZ$5:$DF$201,INDEX($U$4:$U$11,1,1),$AC$2):INDEX($CZ$5:$DF$201,INDEX($U$4:$U$11,1,1)+ROW()-5,$AC$2),FW$3))</f>
        <v>0</v>
      </c>
      <c r="FX12">
        <f>IF(OR(ROW()-4&gt;INDEX($U$4:$U$11,$AC$2+1,1)-INDEX($U$4:$U$11,$AC$2,1),ROW()-4&gt;$AD$2),NA(),COUNTIF(INDEX($CZ$5:$DF$201,INDEX($U$4:$U$11,1,1),$AC$2):INDEX($CZ$5:$DF$201,INDEX($U$4:$U$11,1,1)+ROW()-5,$AC$2),FX$3))</f>
        <v>1</v>
      </c>
      <c r="FY12">
        <f>IF(OR(ROW()-4&gt;INDEX($U$4:$U$11,$AC$2+1,1)-INDEX($U$4:$U$11,$AC$2,1),ROW()-4&gt;$AD$2),NA(),COUNTIF(INDEX($CZ$5:$DF$201,INDEX($U$4:$U$11,1,1),$AC$2):INDEX($CZ$5:$DF$201,INDEX($U$4:$U$11,1,1)+ROW()-5,$AC$2),FY$3))</f>
        <v>0</v>
      </c>
      <c r="FZ12">
        <f>IF(OR(ROW()-4&gt;INDEX($U$4:$U$11,$AC$2+1,1)-INDEX($U$4:$U$11,$AC$2,1),ROW()-4&gt;$AD$2),NA(),COUNTIF(INDEX($CZ$5:$DF$201,INDEX($U$4:$U$11,1,1),$AC$2):INDEX($CZ$5:$DF$201,INDEX($U$4:$U$11,1,1)+ROW()-5,$AC$2),FZ$3))</f>
        <v>0</v>
      </c>
      <c r="GA12">
        <f>IF(OR(ROW()-4&gt;INDEX($U$4:$U$11,$AC$2+1,1)-INDEX($U$4:$U$11,$AC$2,1),ROW()-4&gt;$AD$2),NA(),COUNTIF(INDEX($CZ$5:$DF$201,INDEX($U$4:$U$11,1,1),$AC$2):INDEX($CZ$5:$DF$201,INDEX($U$4:$U$11,1,1)+ROW()-5,$AC$2),GA$3))</f>
        <v>1</v>
      </c>
      <c r="GB12">
        <f>IF(OR(ROW()-4&gt;INDEX($U$4:$U$11,$AC$2+1,1)-INDEX($U$4:$U$11,$AC$2,1),ROW()-4&gt;$AD$2),NA(),COUNTIF(INDEX($CZ$5:$DF$201,INDEX($U$4:$U$11,1,1),$AC$2):INDEX($CZ$5:$DF$201,INDEX($U$4:$U$11,1,1)+ROW()-5,$AC$2),GB$3))</f>
        <v>0</v>
      </c>
      <c r="GC12">
        <f>IF(OR(ROW()-4&gt;INDEX($U$4:$U$11,$AC$2+1,1)-INDEX($U$4:$U$11,$AC$2,1),ROW()-4&gt;$AD$2),NA(),COUNTIF(INDEX($CZ$5:$DF$201,INDEX($U$4:$U$11,1,1),$AC$2):INDEX($CZ$5:$DF$201,INDEX($U$4:$U$11,1,1)+ROW()-5,$AC$2),GC$3))</f>
        <v>1</v>
      </c>
      <c r="GD12">
        <f>IF(OR(ROW()-4&gt;INDEX($U$4:$U$11,$AC$2+1,1)-INDEX($U$4:$U$11,$AC$2,1),ROW()-4&gt;$AD$2),NA(),COUNTIF(INDEX($CZ$5:$DF$201,INDEX($U$4:$U$11,1,1),$AC$2):INDEX($CZ$5:$DF$201,INDEX($U$4:$U$11,1,1)+ROW()-5,$AC$2),GD$3))</f>
        <v>0</v>
      </c>
      <c r="GE12">
        <f>IF(OR(ROW()-4&gt;INDEX($U$4:$U$11,$AC$2+1,1)-INDEX($U$4:$U$11,$AC$2,1),ROW()-4&gt;$AD$2),NA(),COUNTIF(INDEX($CZ$5:$DF$201,INDEX($U$4:$U$11,1,1),$AC$2):INDEX($CZ$5:$DF$201,INDEX($U$4:$U$11,1,1)+ROW()-5,$AC$2),GE$3))</f>
        <v>0</v>
      </c>
      <c r="GF12">
        <f>IF(OR(ROW()-4&gt;INDEX($U$4:$U$11,$AC$2+1,1)-INDEX($U$4:$U$11,$AC$2,1),ROW()-4&gt;$AD$2),NA(),COUNTIF(INDEX($CZ$5:$DF$201,INDEX($U$4:$U$11,1,1),$AC$2):INDEX($CZ$5:$DF$201,INDEX($U$4:$U$11,1,1)+ROW()-5,$AC$2),GF$3))</f>
        <v>0</v>
      </c>
      <c r="GQ12" s="66">
        <f>INDEX($DZ$5:$DZ$40,$AD$2)</f>
        <v>1</v>
      </c>
      <c r="GR12" s="66">
        <f>INDEX($EA$5:$EA$40,$AD$2)</f>
        <v>1</v>
      </c>
      <c r="GS12" s="66">
        <f>INDEX($EB$5:$EB$40,$AD$2)</f>
        <v>0</v>
      </c>
      <c r="GT12" s="66">
        <f>INDEX($EC$5:$EC$40,$AD$2)</f>
        <v>1</v>
      </c>
      <c r="GV12" s="67">
        <f>INDEX($EI$5:$EI$40,$AD$2)</f>
        <v>3</v>
      </c>
      <c r="GW12" s="67">
        <f>INDEX($EJ$5:$EJ$40,$AD$2)</f>
        <v>2</v>
      </c>
      <c r="GX12" s="67">
        <f>INDEX($EK$5:$EK$40,$AD$2)</f>
        <v>0</v>
      </c>
      <c r="GY12" s="67">
        <f>INDEX($EL$5:$EL$40,$AD$2)</f>
        <v>0</v>
      </c>
      <c r="HJ12">
        <f>INDEX($FT$4:$FT$40,$AD$2+1)-INDEX($FT$4:$FT$40,$AD$2)</f>
        <v>0</v>
      </c>
      <c r="HK12" t="s">
        <v>62</v>
      </c>
      <c r="HL12">
        <f>INDEX($FT$5:$FT$40,$AD$2)</f>
        <v>0</v>
      </c>
      <c r="HM12" s="68">
        <f>INDEX($FP$5:$FP$40,$AD$2)</f>
        <v>0</v>
      </c>
      <c r="HN12" s="68">
        <f>INDEX($FQ$5:$FQ$40,$AD$2)</f>
        <v>1</v>
      </c>
      <c r="HO12" s="68">
        <f>INDEX($FR$5:$FR$40,$AD$2)</f>
        <v>0</v>
      </c>
      <c r="HP12" s="68">
        <f>INDEX($FS$5:$FS$40,$AD$2)</f>
        <v>0</v>
      </c>
    </row>
    <row r="13" spans="1:224" x14ac:dyDescent="0.45">
      <c r="A13" t="str">
        <f>データの貼付!A11</f>
        <v>FENG Tianwei</v>
      </c>
      <c r="B13">
        <f>データの貼付!B11</f>
        <v>2.588611111111111E-3</v>
      </c>
      <c r="C13">
        <f>データの貼付!C11</f>
        <v>1.0890046296296297E-4</v>
      </c>
      <c r="D13">
        <f>データの貼付!D11</f>
        <v>0</v>
      </c>
      <c r="E13" t="str">
        <f>データの貼付!F11</f>
        <v>FENG Tianwei</v>
      </c>
      <c r="F13">
        <f>データの貼付!E11</f>
        <v>0</v>
      </c>
      <c r="G13" t="str">
        <f>データの貼付!G11</f>
        <v>#09-</v>
      </c>
      <c r="H13" t="str">
        <f>データの貼付!H11</f>
        <v>FENG Tianwei</v>
      </c>
      <c r="I13" t="str">
        <f>データの貼付!I11</f>
        <v>(Side)</v>
      </c>
      <c r="J13" t="str">
        <f>データの貼付!J11</f>
        <v>B</v>
      </c>
      <c r="K13" t="str">
        <f>データの貼付!K11</f>
        <v>FMS</v>
      </c>
      <c r="L13" t="str">
        <f>データの貼付!L11</f>
        <v>F</v>
      </c>
      <c r="M13" t="str">
        <f>データの貼付!M11</f>
        <v>ドライブ</v>
      </c>
      <c r="N13" t="str">
        <f>データの貼付!N11</f>
        <v>B</v>
      </c>
      <c r="R13">
        <f t="shared" si="59"/>
        <v>0</v>
      </c>
      <c r="S13">
        <f>SUM(R$4:R13)</f>
        <v>1</v>
      </c>
      <c r="T13" t="str">
        <f t="shared" si="60"/>
        <v/>
      </c>
      <c r="W13" t="str">
        <f t="shared" si="57"/>
        <v>FENG Tianwei_FENG Tianwei</v>
      </c>
      <c r="X13" t="str">
        <f t="shared" si="58"/>
        <v>FENG Tianwei_#09-</v>
      </c>
      <c r="AC13" s="8">
        <f>IF(OR(ROW()-4&gt;INDEX($U$4:$U$11,AC$2+1)-INDEX($U$4:$U$11,AC$2),ROW()-4&gt;AD$2),NA(),COUNTIF(INDEX($W$4:$W$200,INDEX($U$4:$U$11,AC$2)):INDEX($W$4:$W$200,INDEX($U$4:$U$11,AC$2)+ROW()-5),AC$3&amp;"_"&amp;AC$3)/(COUNTIF(INDEX($W$4:$W$200,INDEX($U$4:$U$11,AC$2)):INDEX($W$4:$W$200,INDEX($U$4:$U$11,AC$2)+ROW()-5),AC$3&amp;"_"&amp;AC$3)+COUNTIF(INDEX($W$4:$W$200,INDEX($U$4:$U$11,AC$2)):INDEX($W$4:$W$200,INDEX($U$4:$U$11,AC$2)+ROW()-5),AD$3&amp;"_"&amp;AC$3)))</f>
        <v>0.6</v>
      </c>
      <c r="AD13" s="8">
        <f>IF(OR(ROW()-4&gt;INDEX($U$4:$U$11,AC$2+1)-INDEX($U$4:$U$11,AC$2),ROW()-4&gt;AD$2),NA(),COUNTIF(INDEX($W$4:$W$200,INDEX($U$4:$U$11,AC$2)):INDEX($W$4:$W$200,INDEX($U$4:$U$11,AC$2)+ROW()-5),AD$3&amp;"_"&amp;AD$3)/(COUNTIF(INDEX($W$4:$W$200,INDEX($U$4:$U$11,AC$2)):INDEX($W$4:$W$200,INDEX($U$4:$U$11,AC$2)+ROW()-5),AD$3&amp;"_"&amp;AD$3)+COUNTIF(INDEX($W$4:$W$200,INDEX($U$4:$U$11,AC$2)):INDEX($W$4:$W$200,INDEX($U$4:$U$11,AC$2)+ROW()-5),AC$3&amp;"_"&amp;AD$3)))</f>
        <v>0.25</v>
      </c>
      <c r="AE13" s="10">
        <f>IF(OR(ROW()-4&gt;INDEX($U$4:$U$11,AC$2+1)-INDEX($U$4:$U$11,AC$2),ROW()-4&gt;AD$2),NA(),COUNTIF(INDEX($W$4:$W$200,INDEX($U$4:$U$11,AC$2)):INDEX($W$4:$W$200,INDEX($U$4:$U$11,AC$2)+ROW()-5),AC$3&amp;"_"&amp;AD$3)/(COUNTIF(INDEX($W$4:$W$200,INDEX($U$4:$U$11,AC$2)):INDEX($W$4:$W$200,INDEX($U$4:$U$11,AC$2)+ROW()-5),AC$3&amp;"_"&amp;AD$3)+COUNTIF(INDEX($W$4:$W$200,INDEX($U$4:$U$11,AC$2)):INDEX($W$4:$W$200,INDEX($U$4:$U$11,AC$2)+ROW()-5),AD$3&amp;"_"&amp;AD$3)))</f>
        <v>0.75</v>
      </c>
      <c r="AF13" s="10">
        <f>IF(OR(ROW()-4&gt;INDEX($U$4:$U$11,AC$2+1)-INDEX($U$4:$U$11,AC$2),ROW()-4&gt;AD$2),NA(),COUNTIF(INDEX($W$4:$W$200,INDEX($U$4:$U$11,AC$2)):INDEX($W$4:$W$200,INDEX($U$4:$U$11,AC$2)+ROW()-5),AD$3&amp;"_"&amp;AC$3)/(COUNTIF(INDEX($W$4:$W$200,INDEX($U$4:$U$11,AC$2)):INDEX($W$4:$W$200,INDEX($U$4:$U$11,AC$2)+ROW()-5),AD$3&amp;"_"&amp;AC$3)+COUNTIF(INDEX($W$4:$W$200,INDEX($U$4:$U$11,AC$2)):INDEX($W$4:$W$200,INDEX($U$4:$U$11,AC$2)+ROW()-5),AC$3&amp;"_"&amp;AC$3)))</f>
        <v>0.4</v>
      </c>
      <c r="AG13" s="10">
        <f>IF(OR(ROW()-4&gt;INDEX($U$4:$U$11,AC$2+1)-INDEX($U$4:$U$11,AC$2),ROW()-4&gt;AD$2),NA(),COUNTIF(INDEX($X$4:$X$200,INDEX($U$4:$U$11,AC$2)):INDEX($X$4:$X$200,INDEX($U$4:$U$11,AC$2)+ROW()-5),AC$3&amp;"_#03")/(COUNTIF(INDEX($W$4:$W$200,INDEX($U$4:$U$11,AC$2)):INDEX($W$4:$W$200,INDEX($U$4:$U$11,AC$2)+ROW()-5),AC$3&amp;"_"&amp;AC$3)+COUNTIF(INDEX($W$4:$W$200,INDEX($U$4:$U$11,AC$2)):INDEX($W$4:$W$200,INDEX($U$4:$U$11,AC$2)+ROW()-5),AD$3&amp;"_"&amp;AC$3)))</f>
        <v>0.2</v>
      </c>
      <c r="AH13" s="10">
        <f>IF(OR(ROW()-4&gt;INDEX($U$4:$U$11,AC$2+1)-INDEX($U$4:$U$11,AC$2),ROW()-4&gt;AD$2),NA(),COUNTIF(INDEX($X$4:$X$200,INDEX($U$4:$U$11,AC$2)):INDEX($X$4:$X$200,INDEX($U$4:$U$11,AC$2)+ROW()-5),AD$3&amp;"_#03")/(COUNTIF(INDEX($W$4:$W$200,INDEX($U$4:$U$11,AC$2)):INDEX($W$4:$W$200,INDEX($U$4:$U$11,AC$2)+ROW()-5),AD$3&amp;"_"&amp;AD$3)+COUNTIF(INDEX($W$4:$W$200,INDEX($U$4:$U$11,AC$2)):INDEX($W$4:$W$200,INDEX($U$4:$U$11,AC$2)+ROW()-5),AC$3&amp;"_"&amp;AD$3)))</f>
        <v>0</v>
      </c>
      <c r="AI13" s="10">
        <f>IF(OR(ROW()-4&gt;INDEX($U$4:$U$11,AC$2+1)-INDEX($U$4:$U$11,AC$2),ROW()-4&gt;AD$2),NA(),(COUNTIF(INDEX($X$4:$X$200,INDEX($U$4:$U$11,AC$2)):INDEX($X$4:$X$200,INDEX($U$4:$U$11,AC$2)+ROW()-5),AC$3&amp;"_#03")-COUNTIF(INDEX($X$4:$X$200,INDEX($U$4:$U$11,AC$2)):INDEX($X$4:$X$200,INDEX($U$4:$U$11,AC$2)+ROW()-5),AD$3&amp;"_#02"))/(COUNTIF(INDEX($W$4:$W$200,INDEX($U$4:$U$11,AC$2)):INDEX($W$4:$W$200,INDEX($U$4:$U$11,AC$2)+ROW()-5),AC$3&amp;"_"&amp;AC$3)+COUNTIF(INDEX($W$4:$W$200,INDEX($U$4:$U$11,AC$2)):INDEX($W$4:$W$200,INDEX($U$4:$U$11,AC$2)+ROW()-5),AD$3&amp;"_"&amp;AC$3)))</f>
        <v>0</v>
      </c>
      <c r="AJ13" s="10">
        <f>IF(OR(ROW()-4&gt;INDEX($U$4:$U$11,AC$2+1)-INDEX($U$4:$U$11,AC$2),ROW()-4&gt;AD$2),NA(),(COUNTIF(INDEX($X$4:$X$200,INDEX($U$4:$U$11,AC$2)):INDEX($X$4:$X$200,INDEX($U$4:$U$11,AC$2)+ROW()-5),AD$3&amp;"_#03")-COUNTIF(INDEX($X$4:$X$200,INDEX($U$4:$U$11,AC$2)):INDEX($X$4:$X$200,INDEX($U$4:$U$11,AC$2)+ROW()-5),AC$3&amp;"_#02"))/(COUNTIF(INDEX($W$4:$W$200,INDEX($U$4:$U$11,AC$2)):INDEX($W$4:$W$200,INDEX($U$4:$U$11,AC$2)+ROW()-5),AD$3&amp;"_"&amp;AD$3)+COUNTIF(INDEX($W$4:$W$200,INDEX($U$4:$U$11,AC$2)):INDEX($W$4:$W$200,INDEX($U$4:$U$11,AC$2)+ROW()-5),AC$3&amp;"_"&amp;AD$3)))</f>
        <v>-0.25</v>
      </c>
      <c r="AK13" s="10">
        <f>IF(OR(ROW()-4&gt;INDEX($U$4:$U$11,AC$2+1)-INDEX($U$4:$U$11,AC$2),ROW()-4&gt;AD$2),NA(),(COUNTIF(INDEX($X$4:$X$200,INDEX($U$4:$U$11,AC$2)):INDEX($X$4:$X$200,INDEX($U$4:$U$11,AC$2)+ROW()-5),AC$3&amp;"_#01")+COUNTIF(INDEX($X$4:$X$200,INDEX($U$4:$U$11,AC$2)):INDEX($X$4:$X$200,INDEX($U$4:$U$11,AC$2)+ROW()-5),AC$3&amp;"_#03"))/(COUNTIF(INDEX($W$4:$W$200,INDEX($U$4:$U$11,AC$2)):INDEX($W$4:$W$200,INDEX($U$4:$U$11,AC$2)+ROW()-5),AC$3&amp;"_"&amp;AC$3)+COUNTIF(INDEX($W$4:$W$200,INDEX($U$4:$U$11,AC$2)):INDEX($W$4:$W$200,INDEX($U$4:$U$11,AC$2)+ROW()-5),AD$3&amp;"_"&amp;AC$3)))</f>
        <v>0.4</v>
      </c>
      <c r="AL13" s="10">
        <f>IF(OR(ROW()-4&gt;INDEX($U$4:$U$11,AC$2+1)-INDEX($U$4:$U$11,AC$2),ROW()-4&gt;AD$2),NA(),(COUNTIF(INDEX($X$4:$X$200,INDEX($U$4:$U$11,AC$2)):INDEX($X$4:$X$200,INDEX($U$4:$U$11,AC$2)+ROW()-5),AD$3&amp;"_#01")+COUNTIF(INDEX($X$4:$X$200,INDEX($U$4:$U$11,AC$2)):INDEX($X$4:$X$200,INDEX($U$4:$U$11,AC$2)+ROW()-5),AD$3&amp;"_#03"))/(COUNTIF(INDEX($W$4:$W$200,INDEX($U$4:$U$11,AC$2)):INDEX($W$4:$W$200,INDEX($U$4:$U$11,AC$2)+ROW()-5),AD$3&amp;"_"&amp;AD$3)+COUNTIF(INDEX($W$4:$W$200,INDEX($U$4:$U$11,AC$2)):INDEX($W$4:$W$200,INDEX($U$4:$U$11,AC$2)+ROW()-5),AC$3&amp;"_"&amp;AD$3)))</f>
        <v>0</v>
      </c>
      <c r="AN13">
        <f t="shared" si="125"/>
        <v>9</v>
      </c>
      <c r="AO13">
        <f t="shared" si="111"/>
        <v>26</v>
      </c>
      <c r="AP13">
        <f t="shared" si="112"/>
        <v>41</v>
      </c>
      <c r="AQ13">
        <f t="shared" si="113"/>
        <v>57</v>
      </c>
      <c r="AR13" t="str">
        <f t="shared" si="114"/>
        <v/>
      </c>
      <c r="AS13" t="e">
        <f t="shared" si="115"/>
        <v>#VALUE!</v>
      </c>
      <c r="AT13" t="e">
        <f t="shared" si="116"/>
        <v>#VALUE!</v>
      </c>
      <c r="AV13" t="str">
        <f t="shared" si="117"/>
        <v>FENG Tianwei</v>
      </c>
      <c r="AW13" t="str">
        <f t="shared" si="63"/>
        <v>FENG Tianwei</v>
      </c>
      <c r="AX13" t="str">
        <f t="shared" si="64"/>
        <v>FENG Tianwei</v>
      </c>
      <c r="AY13" t="str">
        <f t="shared" si="65"/>
        <v>KIHARA Miyuu</v>
      </c>
      <c r="AZ13" t="e">
        <f t="shared" si="66"/>
        <v>#VALUE!</v>
      </c>
      <c r="BA13" t="e">
        <f t="shared" si="67"/>
        <v>#VALUE!</v>
      </c>
      <c r="BB13" t="e">
        <f t="shared" si="68"/>
        <v>#VALUE!</v>
      </c>
      <c r="BD13" t="str">
        <f t="shared" si="118"/>
        <v>FENG Tianwei</v>
      </c>
      <c r="BE13" t="str">
        <f t="shared" si="69"/>
        <v>KIHARA Miyuu</v>
      </c>
      <c r="BF13" t="str">
        <f t="shared" si="70"/>
        <v>FENG Tianwei</v>
      </c>
      <c r="BG13" t="str">
        <f t="shared" si="71"/>
        <v>KIHARA Miyuu</v>
      </c>
      <c r="BH13" t="e">
        <f t="shared" si="72"/>
        <v>#VALUE!</v>
      </c>
      <c r="BI13" t="e">
        <f t="shared" si="73"/>
        <v>#VALUE!</v>
      </c>
      <c r="BJ13" t="e">
        <f t="shared" si="74"/>
        <v>#VALUE!</v>
      </c>
      <c r="BL13" t="str">
        <f t="shared" si="119"/>
        <v>FENG Tianwei_(Side)</v>
      </c>
      <c r="BM13" t="str">
        <f t="shared" si="75"/>
        <v>KIHARA Miyuu_(Side)</v>
      </c>
      <c r="BN13" t="str">
        <f t="shared" si="76"/>
        <v>FENG Tianwei_Side</v>
      </c>
      <c r="BO13" t="str">
        <f t="shared" si="77"/>
        <v>KIHARA Miyuu_(Side)</v>
      </c>
      <c r="BP13" t="e">
        <f t="shared" si="78"/>
        <v>#VALUE!</v>
      </c>
      <c r="BQ13" t="e">
        <f t="shared" si="79"/>
        <v>#VALUE!</v>
      </c>
      <c r="BR13" t="e">
        <f t="shared" si="80"/>
        <v>#VALUE!</v>
      </c>
      <c r="BT13" t="str">
        <f t="shared" si="120"/>
        <v>FENG Tianwei_B</v>
      </c>
      <c r="BU13" t="str">
        <f t="shared" si="81"/>
        <v>KIHARA Miyuu_B</v>
      </c>
      <c r="BV13" t="str">
        <f t="shared" si="82"/>
        <v>FENG Tianwei_B</v>
      </c>
      <c r="BW13" t="str">
        <f t="shared" si="83"/>
        <v>KIHARA Miyuu_B</v>
      </c>
      <c r="BX13" t="e">
        <f t="shared" si="84"/>
        <v>#VALUE!</v>
      </c>
      <c r="BY13" t="e">
        <f t="shared" si="85"/>
        <v>#VALUE!</v>
      </c>
      <c r="BZ13" t="e">
        <f t="shared" si="86"/>
        <v>#VALUE!</v>
      </c>
      <c r="CB13" t="str">
        <f t="shared" si="121"/>
        <v>FENG Tianwei_FS</v>
      </c>
      <c r="CC13" t="str">
        <f t="shared" si="87"/>
        <v>KIHARA Miyuu_B</v>
      </c>
      <c r="CD13" t="str">
        <f t="shared" si="88"/>
        <v>FENG Tianwei_B</v>
      </c>
      <c r="CE13" t="str">
        <f t="shared" si="89"/>
        <v>KIHARA Miyuu_FS</v>
      </c>
      <c r="CF13" t="e">
        <f t="shared" si="90"/>
        <v>#VALUE!</v>
      </c>
      <c r="CG13" t="e">
        <f t="shared" si="91"/>
        <v>#VALUE!</v>
      </c>
      <c r="CH13" t="e">
        <f t="shared" si="92"/>
        <v>#VALUE!</v>
      </c>
      <c r="CJ13" t="str">
        <f t="shared" si="122"/>
        <v>KIHARA Miyuu_F</v>
      </c>
      <c r="CK13" t="str">
        <f t="shared" si="93"/>
        <v>FENG Tianwei_B</v>
      </c>
      <c r="CL13" t="str">
        <f t="shared" si="94"/>
        <v>KIHARA Miyuu_B</v>
      </c>
      <c r="CM13" t="str">
        <f t="shared" si="95"/>
        <v>FENG Tianwei_F</v>
      </c>
      <c r="CN13" t="e">
        <f t="shared" si="96"/>
        <v>#VALUE!</v>
      </c>
      <c r="CO13" t="e">
        <f t="shared" si="97"/>
        <v>#VALUE!</v>
      </c>
      <c r="CP13" t="e">
        <f t="shared" si="98"/>
        <v>#VALUE!</v>
      </c>
      <c r="CR13" t="str">
        <f t="shared" si="123"/>
        <v>KIHARA Miyuu_Stop</v>
      </c>
      <c r="CS13" t="str">
        <f t="shared" si="99"/>
        <v>FENG Tianwei_ドライブ</v>
      </c>
      <c r="CT13" t="str">
        <f t="shared" si="100"/>
        <v>KIHARA Miyuu_ドライブ</v>
      </c>
      <c r="CU13" t="str">
        <f t="shared" si="101"/>
        <v>FENG Tianwei_Push</v>
      </c>
      <c r="CV13" t="e">
        <f t="shared" si="102"/>
        <v>#VALUE!</v>
      </c>
      <c r="CW13" t="e">
        <f t="shared" si="103"/>
        <v>#VALUE!</v>
      </c>
      <c r="CX13" t="e">
        <f t="shared" si="104"/>
        <v>#VALUE!</v>
      </c>
      <c r="CZ13" t="str">
        <f t="shared" si="124"/>
        <v>KIHARA Miyuu_FMS</v>
      </c>
      <c r="DA13" t="str">
        <f t="shared" si="105"/>
        <v>FENG Tianwei_BM</v>
      </c>
      <c r="DB13" t="str">
        <f t="shared" si="106"/>
        <v>KIHARA Miyuu_BMS</v>
      </c>
      <c r="DC13" t="str">
        <f t="shared" si="107"/>
        <v>FENG Tianwei_BM</v>
      </c>
      <c r="DD13" t="e">
        <f t="shared" si="108"/>
        <v>#VALUE!</v>
      </c>
      <c r="DE13" t="e">
        <f t="shared" si="109"/>
        <v>#VALUE!</v>
      </c>
      <c r="DF13" t="e">
        <f t="shared" si="110"/>
        <v>#VALUE!</v>
      </c>
      <c r="DH13">
        <f>IF(OR(ROW()-4&gt;INDEX($U$4:$U$11,$AC$2+1,1)-INDEX($U$4:$U$11,$AC$2,1),ROW()-4&gt;$AD$2),NA(),COUNTIF(INDEX($BL$5:$BR$50,INDEX($U$4:$U$11,1,1),$AC$2):INDEX($BL$5:$BR$50,INDEX($U$4:$U$11,1,1)+ROW()-5,$AC$2),DH$3))</f>
        <v>1</v>
      </c>
      <c r="DI13">
        <f>IF(OR(ROW()-4&gt;INDEX($U$4:$U$11,$AC$2+1,1)-INDEX($U$4:$U$11,$AC$2,1),ROW()-4&gt;$AD$2),NA(),COUNTIF(INDEX($BL$5:$BR$50,INDEX($U$4:$U$11,1,1),$AC$2):INDEX($BL$5:$BR$50,INDEX($U$4:$U$11,1,1)+ROW()-5,$AC$2),DI$3))</f>
        <v>4</v>
      </c>
      <c r="DJ13">
        <f>IF(OR(ROW()-4&gt;INDEX($U$4:$U$11,$AC$2+1,1)-INDEX($U$4:$U$11,$AC$2,1),ROW()-4&gt;$AD$2),NA(),COUNTIF(INDEX($BL$5:$BR$50,INDEX($U$4:$U$11,1,1),$AC$2):INDEX($BL$5:$BR$50,INDEX($U$4:$U$11,1,1)+ROW()-5,$AC$2),DJ$3))</f>
        <v>0</v>
      </c>
      <c r="DL13">
        <f>IF(OR(ROW()-4&gt;INDEX($U$4:$U$11,$AC$2+1,1)-INDEX($U$4:$U$11,$AC$2,1),ROW()-4&gt;$AD$2),NA(),COUNTIF(INDEX($BL$5:$BR$50,INDEX($U$4:$U$11,1,1),$AC$2):INDEX($BL$5:$BR$50,INDEX($U$4:$U$11,1,1)+ROW()-5,$AC$2),DL$3))</f>
        <v>0</v>
      </c>
      <c r="DM13">
        <f>IF(OR(ROW()-4&gt;INDEX($U$4:$U$11,$AC$2+1,1)-INDEX($U$4:$U$11,$AC$2,1),ROW()-4&gt;$AD$2),NA(),COUNTIF(INDEX($BL$5:$BR$50,INDEX($U$4:$U$11,1,1),$AC$2):INDEX($BL$5:$BR$50,INDEX($U$4:$U$11,1,1)+ROW()-5,$AC$2),DM$3))</f>
        <v>0</v>
      </c>
      <c r="DN13">
        <f>IF(OR(ROW()-4&gt;INDEX($U$4:$U$11,$AC$2+1,1)-INDEX($U$4:$U$11,$AC$2,1),ROW()-4&gt;$AD$2),NA(),COUNTIF(INDEX($BL$5:$BR$50,INDEX($U$4:$U$11,1,1),$AC$2):INDEX($BL$5:$BR$50,INDEX($U$4:$U$11,1,1)+ROW()-5,$AC$2),DN$3))</f>
        <v>4</v>
      </c>
      <c r="DP13">
        <f>IF(OR(ROW()-4&gt;INDEX($U$4:$U$11,$AC$2+1,1)-INDEX($U$4:$U$11,$AC$2,1),ROW()-4&gt;$AD$2),NA(),COUNTIF(INDEX($BT$5:$BZ$201,INDEX($U$4:$U$11,1,1),$AC$2):INDEX($BT$5:$BZ$201,INDEX($U$4:$U$11,1,1)+ROW()-5,$AC$2),DP$3))</f>
        <v>5</v>
      </c>
      <c r="DQ13">
        <f>IF(OR(ROW()-4&gt;INDEX($U$4:$U$11,$AC$2+1,1)-INDEX($U$4:$U$11,$AC$2,1),ROW()-4&gt;$AD$2),NA(),COUNTIF(INDEX($BT$5:$BZ$201,INDEX($U$4:$U$11,1,1),$AC$2):INDEX($BT$5:$BZ$201,INDEX($U$4:$U$11,1,1)+ROW()-5,$AC$2),DQ$3))</f>
        <v>0</v>
      </c>
      <c r="DS13">
        <f>IF(OR(ROW()-4&gt;INDEX($U$4:$U$11,$AC$2+1,1)-INDEX($U$4:$U$11,$AC$2,1),ROW()-4&gt;$AD$2),NA(),COUNTIF(INDEX($BT$5:$BZ$201,INDEX($U$4:$U$11,1,1),$AC$2):INDEX($BT$5:$BZ$201,INDEX($U$4:$U$11,1,1)+ROW()-5,$AC$2),DS$3))</f>
        <v>4</v>
      </c>
      <c r="DT13">
        <f>IF(OR(ROW()-4&gt;INDEX($U$4:$U$11,$AC$2+1,1)-INDEX($U$4:$U$11,$AC$2,1),ROW()-4&gt;$AD$2),NA(),COUNTIF(INDEX($BT$5:$BZ$201,INDEX($U$4:$U$11,1,1),$AC$2):INDEX($BT$5:$BZ$201,INDEX($U$4:$U$11,1,1)+ROW()-5,$AC$2),DT$3))</f>
        <v>0</v>
      </c>
      <c r="DV13">
        <f>IF(OR(ROW()-4&gt;INDEX($U$4:$U$11,$AC$2+1,1)-INDEX($U$4:$U$11,$AC$2,1),ROW()-4&gt;$AD$2),NA(),COUNTIF(INDEX($CB$5:$CH$201,INDEX($U$4:$U$11,1,1),$AC$2):INDEX($CB$5:$CH$201,INDEX($U$4:$U$11,1,1)+ROW()-5,$AC$2),DV$3))</f>
        <v>0</v>
      </c>
      <c r="DW13">
        <f>IF(OR(ROW()-4&gt;INDEX($U$4:$U$11,$AC$2+1,1)-INDEX($U$4:$U$11,$AC$2,1),ROW()-4&gt;$AD$2),NA(),COUNTIF(INDEX($CB$5:$CH$201,INDEX($U$4:$U$11,1,1),$AC$2):INDEX($CB$5:$CH$201,INDEX($U$4:$U$11,1,1)+ROW()-5,$AC$2),DW$3))</f>
        <v>0</v>
      </c>
      <c r="DX13">
        <f>IF(OR(ROW()-4&gt;INDEX($U$4:$U$11,$AC$2+1,1)-INDEX($U$4:$U$11,$AC$2,1),ROW()-4&gt;$AD$2),NA(),COUNTIF(INDEX($CB$5:$CH$201,INDEX($U$4:$U$11,1,1),$AC$2):INDEX($CB$5:$CH$201,INDEX($U$4:$U$11,1,1)+ROW()-5,$AC$2),DX$3))</f>
        <v>3</v>
      </c>
      <c r="DY13">
        <f>IF(OR(ROW()-4&gt;INDEX($U$4:$U$11,$AC$2+1,1)-INDEX($U$4:$U$11,$AC$2,1),ROW()-4&gt;$AD$2),NA(),COUNTIF(INDEX($CB$5:$CH$201,INDEX($U$4:$U$11,1,1),$AC$2):INDEX($CB$5:$CH$201,INDEX($U$4:$U$11,1,1)+ROW()-5,$AC$2),DY$3))</f>
        <v>1</v>
      </c>
      <c r="DZ13">
        <f>IF(OR(ROW()-4&gt;INDEX($U$4:$U$11,$AC$2+1,1)-INDEX($U$4:$U$11,$AC$2,1),ROW()-4&gt;$AD$2),NA(),COUNTIF(INDEX($CB$5:$CH$201,INDEX($U$4:$U$11,1,1),$AC$2):INDEX($CB$5:$CH$201,INDEX($U$4:$U$11,1,1)+ROW()-5,$AC$2),DZ$3))</f>
        <v>0</v>
      </c>
      <c r="EA13">
        <f>IF(OR(ROW()-4&gt;INDEX($U$4:$U$11,$AC$2+1,1)-INDEX($U$4:$U$11,$AC$2,1),ROW()-4&gt;$AD$2),NA(),COUNTIF(INDEX($CB$5:$CH$201,INDEX($U$4:$U$11,1,1),$AC$2):INDEX($CB$5:$CH$201,INDEX($U$4:$U$11,1,1)+ROW()-5,$AC$2),EA$3))</f>
        <v>1</v>
      </c>
      <c r="EB13">
        <f>IF(OR(ROW()-4&gt;INDEX($U$4:$U$11,$AC$2+1,1)-INDEX($U$4:$U$11,$AC$2,1),ROW()-4&gt;$AD$2),NA(),COUNTIF(INDEX($CB$5:$CH$201,INDEX($U$4:$U$11,1,1),$AC$2):INDEX($CB$5:$CH$201,INDEX($U$4:$U$11,1,1)+ROW()-5,$AC$2),EB$3))</f>
        <v>0</v>
      </c>
      <c r="EC13">
        <f>IF(OR(ROW()-4&gt;INDEX($U$4:$U$11,$AC$2+1,1)-INDEX($U$4:$U$11,$AC$2,1),ROW()-4&gt;$AD$2),NA(),COUNTIF(INDEX($CB$5:$CH$201,INDEX($U$4:$U$11,1,1),$AC$2):INDEX($CB$5:$CH$201,INDEX($U$4:$U$11,1,1)+ROW()-5,$AC$2),EC$3))</f>
        <v>0</v>
      </c>
      <c r="EE13">
        <f>IF(OR(ROW()-4&gt;INDEX($U$4:$U$11,$AC$2+1,1)-INDEX($U$4:$U$11,$AC$2,1),ROW()-4&gt;$AD$2),NA(),COUNTIF(INDEX($CB$5:$CH$201,INDEX($U$4:$U$11,1,1),$AC$2):INDEX($CB$5:$CH$201,INDEX($U$4:$U$11,1,1)+ROW()-5,$AC$2),EE$3))</f>
        <v>0</v>
      </c>
      <c r="EF13">
        <f>IF(OR(ROW()-4&gt;INDEX($U$4:$U$11,$AC$2+1,1)-INDEX($U$4:$U$11,$AC$2,1),ROW()-4&gt;$AD$2),NA(),COUNTIF(INDEX($CB$5:$CH$201,INDEX($U$4:$U$11,1,1),$AC$2):INDEX($CB$5:$CH$201,INDEX($U$4:$U$11,1,1)+ROW()-5,$AC$2),EF$3))</f>
        <v>0</v>
      </c>
      <c r="EG13">
        <f>IF(OR(ROW()-4&gt;INDEX($U$4:$U$11,$AC$2+1,1)-INDEX($U$4:$U$11,$AC$2,1),ROW()-4&gt;$AD$2),NA(),COUNTIF(INDEX($CB$5:$CH$201,INDEX($U$4:$U$11,1,1),$AC$2):INDEX($CB$5:$CH$201,INDEX($U$4:$U$11,1,1)+ROW()-5,$AC$2),EG$3))</f>
        <v>0</v>
      </c>
      <c r="EH13">
        <f>IF(OR(ROW()-4&gt;INDEX($U$4:$U$11,$AC$2+1,1)-INDEX($U$4:$U$11,$AC$2,1),ROW()-4&gt;$AD$2),NA(),COUNTIF(INDEX($CB$5:$CH$201,INDEX($U$4:$U$11,1,1),$AC$2):INDEX($CB$5:$CH$201,INDEX($U$4:$U$11,1,1)+ROW()-5,$AC$2),EH$3))</f>
        <v>1</v>
      </c>
      <c r="EI13">
        <f>IF(OR(ROW()-4&gt;INDEX($U$4:$U$11,$AC$2+1,1)-INDEX($U$4:$U$11,$AC$2,1),ROW()-4&gt;$AD$2),NA(),COUNTIF(INDEX($CB$5:$CH$201,INDEX($U$4:$U$11,1,1),$AC$2):INDEX($CB$5:$CH$201,INDEX($U$4:$U$11,1,1)+ROW()-5,$AC$2),EI$3))</f>
        <v>2</v>
      </c>
      <c r="EJ13">
        <f>IF(OR(ROW()-4&gt;INDEX($U$4:$U$11,$AC$2+1,1)-INDEX($U$4:$U$11,$AC$2,1),ROW()-4&gt;$AD$2),NA(),COUNTIF(INDEX($CB$5:$CH$201,INDEX($U$4:$U$11,1,1),$AC$2):INDEX($CB$5:$CH$201,INDEX($U$4:$U$11,1,1)+ROW()-5,$AC$2),EJ$3))</f>
        <v>1</v>
      </c>
      <c r="EK13">
        <f>IF(OR(ROW()-4&gt;INDEX($U$4:$U$11,$AC$2+1,1)-INDEX($U$4:$U$11,$AC$2,1),ROW()-4&gt;$AD$2),NA(),COUNTIF(INDEX($CB$5:$CH$201,INDEX($U$4:$U$11,1,1),$AC$2):INDEX($CB$5:$CH$201,INDEX($U$4:$U$11,1,1)+ROW()-5,$AC$2),EK$3))</f>
        <v>0</v>
      </c>
      <c r="EL13">
        <f>IF(OR(ROW()-4&gt;INDEX($U$4:$U$11,$AC$2+1,1)-INDEX($U$4:$U$11,$AC$2,1),ROW()-4&gt;$AD$2),NA(),COUNTIF(INDEX($CB$5:$CH$201,INDEX($U$4:$U$11,1,1),$AC$2):INDEX($CB$5:$CH$201,INDEX($U$4:$U$11,1,1)+ROW()-5,$AC$2),EL$3))</f>
        <v>0</v>
      </c>
      <c r="EN13">
        <f>IF(OR(ROW()-4&gt;INDEX($U$4:$U$11,$AC$2+1,1)-INDEX($U$4:$U$11,$AC$2,1),ROW()-4&gt;$AD$2),NA(),COUNTIF(INDEX($CJ$5:$CP$201,INDEX($U$4:$U$11,1,1),$AC$2):INDEX($CJ$5:$CP$201,INDEX($U$4:$U$11,1,1)+ROW()-5,$AC$2),EN$3))</f>
        <v>2</v>
      </c>
      <c r="EO13">
        <f>IF(OR(ROW()-4&gt;INDEX($U$4:$U$11,$AC$2+1,1)-INDEX($U$4:$U$11,$AC$2,1),ROW()-4&gt;$AD$2),NA(),COUNTIF(INDEX($CJ$5:$CP$201,INDEX($U$4:$U$11,1,1),$AC$2):INDEX($CJ$5:$CP$201,INDEX($U$4:$U$11,1,1)+ROW()-5,$AC$2),EO$3))</f>
        <v>1</v>
      </c>
      <c r="EQ13">
        <f>IF(OR(ROW()-4&gt;INDEX($U$4:$U$11,$AC$2+1,1)-INDEX($U$4:$U$11,$AC$2,1),ROW()-4&gt;$AD$2),NA(),COUNTIF(INDEX($CJ$5:$CP$201,INDEX($U$4:$U$11,1,1),$AC$2):INDEX($CJ$5:$CP$201,INDEX($U$4:$U$11,1,1)+ROW()-5,$AC$2),EQ$3))</f>
        <v>4</v>
      </c>
      <c r="ER13">
        <f>IF(OR(ROW()-4&gt;INDEX($U$4:$U$11,$AC$2+1,1)-INDEX($U$4:$U$11,$AC$2,1),ROW()-4&gt;$AD$2),NA(),COUNTIF(INDEX($CJ$5:$CP$201,INDEX($U$4:$U$11,1,1),$AC$2):INDEX($CJ$5:$CP$201,INDEX($U$4:$U$11,1,1)+ROW()-5,$AC$2),ER$3))</f>
        <v>1</v>
      </c>
      <c r="ET13">
        <f>IF(OR(ROW()-4&gt;INDEX($U$4:$U$11,$AC$2+1,1)-INDEX($U$4:$U$11,$AC$2,1),ROW()-4&gt;$AD$2),NA(),COUNTIF(INDEX($CR$5:$CX$201,INDEX($U$4:$U$11,1,1),$AC$2):INDEX($CR$5:$CX$201,INDEX($U$4:$U$11,1,1)+ROW()-5,$AC$2),ET$3))</f>
        <v>1</v>
      </c>
      <c r="EU13">
        <f>IF(OR(ROW()-4&gt;INDEX($U$4:$U$11,$AC$2+1,1)-INDEX($U$4:$U$11,$AC$2,1),ROW()-4&gt;$AD$2),NA(),COUNTIF(INDEX($CR$5:$CX$201,INDEX($U$4:$U$11,1,1),$AC$2):INDEX($CR$5:$CX$201,INDEX($U$4:$U$11,1,1)+ROW()-5,$AC$2),EU$3))</f>
        <v>0</v>
      </c>
      <c r="EV13">
        <f>IF(OR(ROW()-4&gt;INDEX($U$4:$U$11,$AC$2+1,1)-INDEX($U$4:$U$11,$AC$2,1),ROW()-4&gt;$AD$2),NA(),COUNTIF(INDEX($CR$5:$CX$201,INDEX($U$4:$U$11,1,1),$AC$2):INDEX($CR$5:$CX$201,INDEX($U$4:$U$11,1,1)+ROW()-5,$AC$2),EV$3))</f>
        <v>1</v>
      </c>
      <c r="EW13">
        <f>IF(OR(ROW()-4&gt;INDEX($U$4:$U$11,$AC$2+1,1)-INDEX($U$4:$U$11,$AC$2,1),ROW()-4&gt;$AD$2),NA(),COUNTIF(INDEX($CR$5:$CX$201,INDEX($U$4:$U$11,1,1),$AC$2):INDEX($CR$5:$CX$201,INDEX($U$4:$U$11,1,1)+ROW()-5,$AC$2),EW$3))</f>
        <v>1</v>
      </c>
      <c r="EX13">
        <f>IF(OR(ROW()-4&gt;INDEX($U$4:$U$11,$AC$2+1,1)-INDEX($U$4:$U$11,$AC$2,1),ROW()-4&gt;$AD$2),NA(),COUNTIF(INDEX($CR$5:$CX$201,INDEX($U$4:$U$11,1,1),$AC$2):INDEX($CR$5:$CX$201,INDEX($U$4:$U$11,1,1)+ROW()-5,$AC$2),EX$3))</f>
        <v>0</v>
      </c>
      <c r="EY13">
        <f>IF(OR(ROW()-4&gt;INDEX($U$4:$U$11,$AC$2+1,1)-INDEX($U$4:$U$11,$AC$2,1),ROW()-4&gt;$AD$2),NA(),COUNTIF(INDEX($CR$5:$CX$201,INDEX($U$4:$U$11,1,1),$AC$2):INDEX($CR$5:$CX$201,INDEX($U$4:$U$11,1,1)+ROW()-5,$AC$2),EY$3))</f>
        <v>1</v>
      </c>
      <c r="EZ13">
        <f>IF(OR(ROW()-4&gt;INDEX($U$4:$U$11,$AC$2+1,1)-INDEX($U$4:$U$11,$AC$2,1),ROW()-4&gt;$AD$2),NA(),COUNTIF(INDEX($CR$5:$CX$201,INDEX($U$4:$U$11,1,1),$AC$2):INDEX($CR$5:$CX$201,INDEX($U$4:$U$11,1,1)+ROW()-5,$AC$2),EZ$3))</f>
        <v>0</v>
      </c>
      <c r="FA13">
        <f>IF(OR(ROW()-4&gt;INDEX($U$4:$U$11,$AC$2+1,1)-INDEX($U$4:$U$11,$AC$2,1),ROW()-4&gt;$AD$2),NA(),COUNTIF(INDEX($CR$5:$CX$201,INDEX($U$4:$U$11,1,1),$AC$2):INDEX($CR$5:$CX$201,INDEX($U$4:$U$11,1,1)+ROW()-5,$AC$2),FA$3))</f>
        <v>0</v>
      </c>
      <c r="FC13">
        <f>IF(OR(ROW()-4&gt;INDEX($U$4:$U$11,$AC$2+1,1)-INDEX($U$4:$U$11,$AC$2,1),ROW()-4&gt;$AD$2),NA(),COUNTIF(INDEX($CR$5:$CX$201,INDEX($U$4:$U$11,1,1),$AC$2):INDEX($CR$5:$CX$201,INDEX($U$4:$U$11,1,1)+ROW()-5,$AC$2),FC$3))</f>
        <v>0</v>
      </c>
      <c r="FD13">
        <f>IF(OR(ROW()-4&gt;INDEX($U$4:$U$11,$AC$2+1,1)-INDEX($U$4:$U$11,$AC$2,1),ROW()-4&gt;$AD$2),NA(),COUNTIF(INDEX($CR$5:$CX$201,INDEX($U$4:$U$11,1,1),$AC$2):INDEX($CR$5:$CX$201,INDEX($U$4:$U$11,1,1)+ROW()-5,$AC$2),FD$3))</f>
        <v>0</v>
      </c>
      <c r="FE13">
        <f>IF(OR(ROW()-4&gt;INDEX($U$4:$U$11,$AC$2+1,1)-INDEX($U$4:$U$11,$AC$2,1),ROW()-4&gt;$AD$2),NA(),COUNTIF(INDEX($CR$5:$CX$201,INDEX($U$4:$U$11,1,1),$AC$2):INDEX($CR$5:$CX$201,INDEX($U$4:$U$11,1,1)+ROW()-5,$AC$2),FE$3))</f>
        <v>0</v>
      </c>
      <c r="FF13">
        <f>IF(OR(ROW()-4&gt;INDEX($U$4:$U$11,$AC$2+1,1)-INDEX($U$4:$U$11,$AC$2,1),ROW()-4&gt;$AD$2),NA(),COUNTIF(INDEX($CR$5:$CX$201,INDEX($U$4:$U$11,1,1),$AC$2):INDEX($CR$5:$CX$201,INDEX($U$4:$U$11,1,1)+ROW()-5,$AC$2),FF$3))</f>
        <v>1</v>
      </c>
      <c r="FG13">
        <f>IF(OR(ROW()-4&gt;INDEX($U$4:$U$11,$AC$2+1,1)-INDEX($U$4:$U$11,$AC$2,1),ROW()-4&gt;$AD$2),NA(),COUNTIF(INDEX($CR$5:$CX$201,INDEX($U$4:$U$11,1,1),$AC$2):INDEX($CR$5:$CX$201,INDEX($U$4:$U$11,1,1)+ROW()-5,$AC$2),FG$3))</f>
        <v>0</v>
      </c>
      <c r="FH13">
        <f>IF(OR(ROW()-4&gt;INDEX($U$4:$U$11,$AC$2+1,1)-INDEX($U$4:$U$11,$AC$2,1),ROW()-4&gt;$AD$2),NA(),COUNTIF(INDEX($CR$5:$CX$201,INDEX($U$4:$U$11,1,1),$AC$2):INDEX($CR$5:$CX$201,INDEX($U$4:$U$11,1,1)+ROW()-5,$AC$2),FH$3))</f>
        <v>4</v>
      </c>
      <c r="FI13">
        <f>IF(OR(ROW()-4&gt;INDEX($U$4:$U$11,$AC$2+1,1)-INDEX($U$4:$U$11,$AC$2,1),ROW()-4&gt;$AD$2),NA(),COUNTIF(INDEX($CR$5:$CX$201,INDEX($U$4:$U$11,1,1),$AC$2):INDEX($CR$5:$CX$201,INDEX($U$4:$U$11,1,1)+ROW()-5,$AC$2),FI$3))</f>
        <v>0</v>
      </c>
      <c r="FJ13">
        <f>IF(OR(ROW()-4&gt;INDEX($U$4:$U$11,$AC$2+1,1)-INDEX($U$4:$U$11,$AC$2,1),ROW()-4&gt;$AD$2),NA(),COUNTIF(INDEX($CR$5:$CX$201,INDEX($U$4:$U$11,1,1),$AC$2):INDEX($CR$5:$CX$201,INDEX($U$4:$U$11,1,1)+ROW()-5,$AC$2),FJ$3))</f>
        <v>0</v>
      </c>
      <c r="FL13">
        <f>IF(OR(ROW()-4&gt;INDEX($U$4:$U$11,$AC$2+1,1)-INDEX($U$4:$U$11,$AC$2,1),ROW()-4&gt;$AD$2),NA(),COUNTIF(INDEX($CZ$5:$DF$201,INDEX($U$4:$U$11,1,1),$AC$2):INDEX($CZ$5:$DF$201,INDEX($U$4:$U$11,1,1)+ROW()-5,$AC$2),FL$3))</f>
        <v>0</v>
      </c>
      <c r="FM13">
        <f>IF(OR(ROW()-4&gt;INDEX($U$4:$U$11,$AC$2+1,1)-INDEX($U$4:$U$11,$AC$2,1),ROW()-4&gt;$AD$2),NA(),COUNTIF(INDEX($CZ$5:$DF$201,INDEX($U$4:$U$11,1,1),$AC$2):INDEX($CZ$5:$DF$201,INDEX($U$4:$U$11,1,1)+ROW()-5,$AC$2),FM$3))</f>
        <v>1</v>
      </c>
      <c r="FN13">
        <f>IF(OR(ROW()-4&gt;INDEX($U$4:$U$11,$AC$2+1,1)-INDEX($U$4:$U$11,$AC$2,1),ROW()-4&gt;$AD$2),NA(),COUNTIF(INDEX($CZ$5:$DF$201,INDEX($U$4:$U$11,1,1),$AC$2):INDEX($CZ$5:$DF$201,INDEX($U$4:$U$11,1,1)+ROW()-5,$AC$2),FN$3))</f>
        <v>0</v>
      </c>
      <c r="FO13">
        <f>IF(OR(ROW()-4&gt;INDEX($U$4:$U$11,$AC$2+1,1)-INDEX($U$4:$U$11,$AC$2,1),ROW()-4&gt;$AD$2),NA(),COUNTIF(INDEX($CZ$5:$DF$201,INDEX($U$4:$U$11,1,1),$AC$2):INDEX($CZ$5:$DF$201,INDEX($U$4:$U$11,1,1)+ROW()-5,$AC$2),FO$3))</f>
        <v>2</v>
      </c>
      <c r="FP13">
        <f>IF(OR(ROW()-4&gt;INDEX($U$4:$U$11,$AC$2+1,1)-INDEX($U$4:$U$11,$AC$2,1),ROW()-4&gt;$AD$2),NA(),COUNTIF(INDEX($CZ$5:$DF$201,INDEX($U$4:$U$11,1,1),$AC$2):INDEX($CZ$5:$DF$201,INDEX($U$4:$U$11,1,1)+ROW()-5,$AC$2),FP$3))</f>
        <v>0</v>
      </c>
      <c r="FQ13">
        <f>IF(OR(ROW()-4&gt;INDEX($U$4:$U$11,$AC$2+1,1)-INDEX($U$4:$U$11,$AC$2,1),ROW()-4&gt;$AD$2),NA(),COUNTIF(INDEX($CZ$5:$DF$201,INDEX($U$4:$U$11,1,1),$AC$2):INDEX($CZ$5:$DF$201,INDEX($U$4:$U$11,1,1)+ROW()-5,$AC$2),FQ$3))</f>
        <v>1</v>
      </c>
      <c r="FR13">
        <f>IF(OR(ROW()-4&gt;INDEX($U$4:$U$11,$AC$2+1,1)-INDEX($U$4:$U$11,$AC$2,1),ROW()-4&gt;$AD$2),NA(),COUNTIF(INDEX($CZ$5:$DF$201,INDEX($U$4:$U$11,1,1),$AC$2):INDEX($CZ$5:$DF$201,INDEX($U$4:$U$11,1,1)+ROW()-5,$AC$2),FR$3))</f>
        <v>0</v>
      </c>
      <c r="FS13">
        <f>IF(OR(ROW()-4&gt;INDEX($U$4:$U$11,$AC$2+1,1)-INDEX($U$4:$U$11,$AC$2,1),ROW()-4&gt;$AD$2),NA(),COUNTIF(INDEX($CZ$5:$DF$201,INDEX($U$4:$U$11,1,1),$AC$2):INDEX($CZ$5:$DF$201,INDEX($U$4:$U$11,1,1)+ROW()-5,$AC$2),FS$3))</f>
        <v>0</v>
      </c>
      <c r="FT13">
        <f>IF(OR(ROW()-4&gt;INDEX($U$4:$U$11,$AC$2+1,1)-INDEX($U$4:$U$11,$AC$2,1),ROW()-4&gt;$AD$2),NA(),COUNTIF(INDEX($CZ$5:$DF$201,INDEX($U$4:$U$11,1,1),$AC$2):INDEX($CZ$5:$DF$201,INDEX($U$4:$U$11,1,1)+ROW()-5,$AC$2),FT$3))</f>
        <v>0</v>
      </c>
      <c r="FU13">
        <f>IF(OR(ROW()-4&gt;INDEX($U$4:$U$11,$AC$2+1,1)-INDEX($U$4:$U$11,$AC$2,1),ROW()-4&gt;$AD$2),NA(),COUNTIF(INDEX($CZ$5:$DF$201,INDEX($U$4:$U$11,1,1),$AC$2):INDEX($CZ$5:$DF$201,INDEX($U$4:$U$11,1,1)+ROW()-5,$AC$2),FU$3))</f>
        <v>0</v>
      </c>
      <c r="FW13">
        <f>IF(OR(ROW()-4&gt;INDEX($U$4:$U$11,$AC$2+1,1)-INDEX($U$4:$U$11,$AC$2,1),ROW()-4&gt;$AD$2),NA(),COUNTIF(INDEX($CZ$5:$DF$201,INDEX($U$4:$U$11,1,1),$AC$2):INDEX($CZ$5:$DF$201,INDEX($U$4:$U$11,1,1)+ROW()-5,$AC$2),FW$3))</f>
        <v>0</v>
      </c>
      <c r="FX13">
        <f>IF(OR(ROW()-4&gt;INDEX($U$4:$U$11,$AC$2+1,1)-INDEX($U$4:$U$11,$AC$2,1),ROW()-4&gt;$AD$2),NA(),COUNTIF(INDEX($CZ$5:$DF$201,INDEX($U$4:$U$11,1,1),$AC$2):INDEX($CZ$5:$DF$201,INDEX($U$4:$U$11,1,1)+ROW()-5,$AC$2),FX$3))</f>
        <v>1</v>
      </c>
      <c r="FY13">
        <f>IF(OR(ROW()-4&gt;INDEX($U$4:$U$11,$AC$2+1,1)-INDEX($U$4:$U$11,$AC$2,1),ROW()-4&gt;$AD$2),NA(),COUNTIF(INDEX($CZ$5:$DF$201,INDEX($U$4:$U$11,1,1),$AC$2):INDEX($CZ$5:$DF$201,INDEX($U$4:$U$11,1,1)+ROW()-5,$AC$2),FY$3))</f>
        <v>0</v>
      </c>
      <c r="FZ13">
        <f>IF(OR(ROW()-4&gt;INDEX($U$4:$U$11,$AC$2+1,1)-INDEX($U$4:$U$11,$AC$2,1),ROW()-4&gt;$AD$2),NA(),COUNTIF(INDEX($CZ$5:$DF$201,INDEX($U$4:$U$11,1,1),$AC$2):INDEX($CZ$5:$DF$201,INDEX($U$4:$U$11,1,1)+ROW()-5,$AC$2),FZ$3))</f>
        <v>0</v>
      </c>
      <c r="GA13">
        <f>IF(OR(ROW()-4&gt;INDEX($U$4:$U$11,$AC$2+1,1)-INDEX($U$4:$U$11,$AC$2,1),ROW()-4&gt;$AD$2),NA(),COUNTIF(INDEX($CZ$5:$DF$201,INDEX($U$4:$U$11,1,1),$AC$2):INDEX($CZ$5:$DF$201,INDEX($U$4:$U$11,1,1)+ROW()-5,$AC$2),GA$3))</f>
        <v>1</v>
      </c>
      <c r="GB13">
        <f>IF(OR(ROW()-4&gt;INDEX($U$4:$U$11,$AC$2+1,1)-INDEX($U$4:$U$11,$AC$2,1),ROW()-4&gt;$AD$2),NA(),COUNTIF(INDEX($CZ$5:$DF$201,INDEX($U$4:$U$11,1,1),$AC$2):INDEX($CZ$5:$DF$201,INDEX($U$4:$U$11,1,1)+ROW()-5,$AC$2),GB$3))</f>
        <v>1</v>
      </c>
      <c r="GC13">
        <f>IF(OR(ROW()-4&gt;INDEX($U$4:$U$11,$AC$2+1,1)-INDEX($U$4:$U$11,$AC$2,1),ROW()-4&gt;$AD$2),NA(),COUNTIF(INDEX($CZ$5:$DF$201,INDEX($U$4:$U$11,1,1),$AC$2):INDEX($CZ$5:$DF$201,INDEX($U$4:$U$11,1,1)+ROW()-5,$AC$2),GC$3))</f>
        <v>1</v>
      </c>
      <c r="GD13">
        <f>IF(OR(ROW()-4&gt;INDEX($U$4:$U$11,$AC$2+1,1)-INDEX($U$4:$U$11,$AC$2,1),ROW()-4&gt;$AD$2),NA(),COUNTIF(INDEX($CZ$5:$DF$201,INDEX($U$4:$U$11,1,1),$AC$2):INDEX($CZ$5:$DF$201,INDEX($U$4:$U$11,1,1)+ROW()-5,$AC$2),GD$3))</f>
        <v>0</v>
      </c>
      <c r="GE13">
        <f>IF(OR(ROW()-4&gt;INDEX($U$4:$U$11,$AC$2+1,1)-INDEX($U$4:$U$11,$AC$2,1),ROW()-4&gt;$AD$2),NA(),COUNTIF(INDEX($CZ$5:$DF$201,INDEX($U$4:$U$11,1,1),$AC$2):INDEX($CZ$5:$DF$201,INDEX($U$4:$U$11,1,1)+ROW()-5,$AC$2),GE$3))</f>
        <v>0</v>
      </c>
      <c r="GF13">
        <f>IF(OR(ROW()-4&gt;INDEX($U$4:$U$11,$AC$2+1,1)-INDEX($U$4:$U$11,$AC$2,1),ROW()-4&gt;$AD$2),NA(),COUNTIF(INDEX($CZ$5:$DF$201,INDEX($U$4:$U$11,1,1),$AC$2):INDEX($CZ$5:$DF$201,INDEX($U$4:$U$11,1,1)+ROW()-5,$AC$2),GF$3))</f>
        <v>0</v>
      </c>
      <c r="GK13" t="s">
        <v>35</v>
      </c>
      <c r="GQ13" s="66">
        <f>INDEX($DP$5:$DP$40,$AD$2)</f>
        <v>8</v>
      </c>
      <c r="GR13" s="66"/>
      <c r="GS13" s="66">
        <f>INDEX($DQ$5:$DQ$40,$AD$2)</f>
        <v>0</v>
      </c>
      <c r="GT13" s="66"/>
      <c r="GV13" s="67">
        <f>INDEX($DS$5:$DS$40,$AD$2)</f>
        <v>8</v>
      </c>
      <c r="GW13" s="67"/>
      <c r="GX13" s="67">
        <f>INDEX($DT$5:$DT$40,$AD$2)</f>
        <v>0</v>
      </c>
      <c r="GY13" s="67"/>
      <c r="HJ13">
        <f>INDEX($FU$4:$FU$40,$AD$2+1)-INDEX($FU$4:$FU$40,$AD$2)</f>
        <v>0</v>
      </c>
      <c r="HK13" t="s">
        <v>63</v>
      </c>
      <c r="HL13">
        <f>INDEX($FU$5:$FU$40,$AD$2)</f>
        <v>1</v>
      </c>
      <c r="HM13" s="68">
        <f>INDEX($FL$5:$FL$40,$AD$2)</f>
        <v>0</v>
      </c>
      <c r="HN13" s="68">
        <f>INDEX($FM$5:$FM$40,$AD$2)</f>
        <v>2</v>
      </c>
      <c r="HO13" s="68">
        <f>INDEX($FN$5:$FN$40,$AD$2)</f>
        <v>0</v>
      </c>
      <c r="HP13" s="68">
        <f>INDEX($FO$5:$FO$40,$AD$2)</f>
        <v>3</v>
      </c>
    </row>
    <row r="14" spans="1:224" x14ac:dyDescent="0.45">
      <c r="A14" t="str">
        <f>データの貼付!A12</f>
        <v>KIHARA Miyuu</v>
      </c>
      <c r="B14">
        <f>データの貼付!B12</f>
        <v>2.8404050925925923E-3</v>
      </c>
      <c r="C14">
        <f>データの貼付!C12</f>
        <v>5.8692129629629621E-5</v>
      </c>
      <c r="D14">
        <f>データの貼付!D12</f>
        <v>0</v>
      </c>
      <c r="E14">
        <f>データの貼付!F12</f>
        <v>0</v>
      </c>
      <c r="F14">
        <f>データの貼付!E12</f>
        <v>0</v>
      </c>
      <c r="G14" t="str">
        <f>データの貼付!G12</f>
        <v>SV Let</v>
      </c>
      <c r="H14" t="str">
        <f>データの貼付!H12</f>
        <v>KIHARA Miyuu</v>
      </c>
      <c r="I14" t="str">
        <f>データの貼付!I12</f>
        <v>(Side)</v>
      </c>
      <c r="J14" t="str">
        <f>データの貼付!J12</f>
        <v>B</v>
      </c>
      <c r="K14" t="str">
        <f>データの貼付!K12</f>
        <v>FMS</v>
      </c>
      <c r="L14" t="str">
        <f>データの貼付!L12</f>
        <v>F</v>
      </c>
      <c r="M14">
        <f>データの貼付!M12</f>
        <v>0</v>
      </c>
      <c r="N14">
        <f>データの貼付!N12</f>
        <v>0</v>
      </c>
      <c r="R14">
        <f t="shared" si="59"/>
        <v>0</v>
      </c>
      <c r="S14">
        <f>SUM(R$4:R14)</f>
        <v>1</v>
      </c>
      <c r="T14" t="str">
        <f t="shared" si="60"/>
        <v/>
      </c>
      <c r="W14" t="str">
        <f t="shared" si="57"/>
        <v>0_KIHARA Miyuu</v>
      </c>
      <c r="X14" t="str">
        <f t="shared" si="58"/>
        <v>0_SV Let</v>
      </c>
      <c r="Y14" t="str">
        <f>$AC$3&amp;"SVP"</f>
        <v>FENG TianweiSVP</v>
      </c>
      <c r="Z14">
        <f>(INDEX($AV$5:$BB$40,$AD$2,$AC$2)=INDEX($BD$5:$BJ$40,$AD$2,$AC$2))*(INDEX($AV$5:$BB$40,$AD$2,$AC$2)=$AC$3)</f>
        <v>0</v>
      </c>
      <c r="AC14" s="8">
        <f>IF(OR(ROW()-4&gt;INDEX($U$4:$U$11,AC$2+1)-INDEX($U$4:$U$11,AC$2),ROW()-4&gt;AD$2),NA(),COUNTIF(INDEX($W$4:$W$200,INDEX($U$4:$U$11,AC$2)):INDEX($W$4:$W$200,INDEX($U$4:$U$11,AC$2)+ROW()-5),AC$3&amp;"_"&amp;AC$3)/(COUNTIF(INDEX($W$4:$W$200,INDEX($U$4:$U$11,AC$2)):INDEX($W$4:$W$200,INDEX($U$4:$U$11,AC$2)+ROW()-5),AC$3&amp;"_"&amp;AC$3)+COUNTIF(INDEX($W$4:$W$200,INDEX($U$4:$U$11,AC$2)):INDEX($W$4:$W$200,INDEX($U$4:$U$11,AC$2)+ROW()-5),AD$3&amp;"_"&amp;AC$3)))</f>
        <v>0.66666666666666663</v>
      </c>
      <c r="AD14" s="8">
        <f>IF(OR(ROW()-4&gt;INDEX($U$4:$U$11,AC$2+1)-INDEX($U$4:$U$11,AC$2),ROW()-4&gt;AD$2),NA(),COUNTIF(INDEX($W$4:$W$200,INDEX($U$4:$U$11,AC$2)):INDEX($W$4:$W$200,INDEX($U$4:$U$11,AC$2)+ROW()-5),AD$3&amp;"_"&amp;AD$3)/(COUNTIF(INDEX($W$4:$W$200,INDEX($U$4:$U$11,AC$2)):INDEX($W$4:$W$200,INDEX($U$4:$U$11,AC$2)+ROW()-5),AD$3&amp;"_"&amp;AD$3)+COUNTIF(INDEX($W$4:$W$200,INDEX($U$4:$U$11,AC$2)):INDEX($W$4:$W$200,INDEX($U$4:$U$11,AC$2)+ROW()-5),AC$3&amp;"_"&amp;AD$3)))</f>
        <v>0.25</v>
      </c>
      <c r="AE14" s="10">
        <f>IF(OR(ROW()-4&gt;INDEX($U$4:$U$11,AC$2+1)-INDEX($U$4:$U$11,AC$2),ROW()-4&gt;AD$2),NA(),COUNTIF(INDEX($W$4:$W$200,INDEX($U$4:$U$11,AC$2)):INDEX($W$4:$W$200,INDEX($U$4:$U$11,AC$2)+ROW()-5),AC$3&amp;"_"&amp;AD$3)/(COUNTIF(INDEX($W$4:$W$200,INDEX($U$4:$U$11,AC$2)):INDEX($W$4:$W$200,INDEX($U$4:$U$11,AC$2)+ROW()-5),AC$3&amp;"_"&amp;AD$3)+COUNTIF(INDEX($W$4:$W$200,INDEX($U$4:$U$11,AC$2)):INDEX($W$4:$W$200,INDEX($U$4:$U$11,AC$2)+ROW()-5),AD$3&amp;"_"&amp;AD$3)))</f>
        <v>0.75</v>
      </c>
      <c r="AF14" s="10">
        <f>IF(OR(ROW()-4&gt;INDEX($U$4:$U$11,AC$2+1)-INDEX($U$4:$U$11,AC$2),ROW()-4&gt;AD$2),NA(),COUNTIF(INDEX($W$4:$W$200,INDEX($U$4:$U$11,AC$2)):INDEX($W$4:$W$200,INDEX($U$4:$U$11,AC$2)+ROW()-5),AD$3&amp;"_"&amp;AC$3)/(COUNTIF(INDEX($W$4:$W$200,INDEX($U$4:$U$11,AC$2)):INDEX($W$4:$W$200,INDEX($U$4:$U$11,AC$2)+ROW()-5),AD$3&amp;"_"&amp;AC$3)+COUNTIF(INDEX($W$4:$W$200,INDEX($U$4:$U$11,AC$2)):INDEX($W$4:$W$200,INDEX($U$4:$U$11,AC$2)+ROW()-5),AC$3&amp;"_"&amp;AC$3)))</f>
        <v>0.33333333333333331</v>
      </c>
      <c r="AG14" s="10">
        <f>IF(OR(ROW()-4&gt;INDEX($U$4:$U$11,AC$2+1)-INDEX($U$4:$U$11,AC$2),ROW()-4&gt;AD$2),NA(),COUNTIF(INDEX($X$4:$X$200,INDEX($U$4:$U$11,AC$2)):INDEX($X$4:$X$200,INDEX($U$4:$U$11,AC$2)+ROW()-5),AC$3&amp;"_#03")/(COUNTIF(INDEX($W$4:$W$200,INDEX($U$4:$U$11,AC$2)):INDEX($W$4:$W$200,INDEX($U$4:$U$11,AC$2)+ROW()-5),AC$3&amp;"_"&amp;AC$3)+COUNTIF(INDEX($W$4:$W$200,INDEX($U$4:$U$11,AC$2)):INDEX($W$4:$W$200,INDEX($U$4:$U$11,AC$2)+ROW()-5),AD$3&amp;"_"&amp;AC$3)))</f>
        <v>0.33333333333333331</v>
      </c>
      <c r="AH14" s="10">
        <f>IF(OR(ROW()-4&gt;INDEX($U$4:$U$11,AC$2+1)-INDEX($U$4:$U$11,AC$2),ROW()-4&gt;AD$2),NA(),COUNTIF(INDEX($X$4:$X$200,INDEX($U$4:$U$11,AC$2)):INDEX($X$4:$X$200,INDEX($U$4:$U$11,AC$2)+ROW()-5),AD$3&amp;"_#03")/(COUNTIF(INDEX($W$4:$W$200,INDEX($U$4:$U$11,AC$2)):INDEX($W$4:$W$200,INDEX($U$4:$U$11,AC$2)+ROW()-5),AD$3&amp;"_"&amp;AD$3)+COUNTIF(INDEX($W$4:$W$200,INDEX($U$4:$U$11,AC$2)):INDEX($W$4:$W$200,INDEX($U$4:$U$11,AC$2)+ROW()-5),AC$3&amp;"_"&amp;AD$3)))</f>
        <v>0</v>
      </c>
      <c r="AI14" s="10">
        <f>IF(OR(ROW()-4&gt;INDEX($U$4:$U$11,AC$2+1)-INDEX($U$4:$U$11,AC$2),ROW()-4&gt;AD$2),NA(),(COUNTIF(INDEX($X$4:$X$200,INDEX($U$4:$U$11,AC$2)):INDEX($X$4:$X$200,INDEX($U$4:$U$11,AC$2)+ROW()-5),AC$3&amp;"_#03")-COUNTIF(INDEX($X$4:$X$200,INDEX($U$4:$U$11,AC$2)):INDEX($X$4:$X$200,INDEX($U$4:$U$11,AC$2)+ROW()-5),AD$3&amp;"_#02"))/(COUNTIF(INDEX($W$4:$W$200,INDEX($U$4:$U$11,AC$2)):INDEX($W$4:$W$200,INDEX($U$4:$U$11,AC$2)+ROW()-5),AC$3&amp;"_"&amp;AC$3)+COUNTIF(INDEX($W$4:$W$200,INDEX($U$4:$U$11,AC$2)):INDEX($W$4:$W$200,INDEX($U$4:$U$11,AC$2)+ROW()-5),AD$3&amp;"_"&amp;AC$3)))</f>
        <v>0.16666666666666666</v>
      </c>
      <c r="AJ14" s="10">
        <f>IF(OR(ROW()-4&gt;INDEX($U$4:$U$11,AC$2+1)-INDEX($U$4:$U$11,AC$2),ROW()-4&gt;AD$2),NA(),(COUNTIF(INDEX($X$4:$X$200,INDEX($U$4:$U$11,AC$2)):INDEX($X$4:$X$200,INDEX($U$4:$U$11,AC$2)+ROW()-5),AD$3&amp;"_#03")-COUNTIF(INDEX($X$4:$X$200,INDEX($U$4:$U$11,AC$2)):INDEX($X$4:$X$200,INDEX($U$4:$U$11,AC$2)+ROW()-5),AC$3&amp;"_#02"))/(COUNTIF(INDEX($W$4:$W$200,INDEX($U$4:$U$11,AC$2)):INDEX($W$4:$W$200,INDEX($U$4:$U$11,AC$2)+ROW()-5),AD$3&amp;"_"&amp;AD$3)+COUNTIF(INDEX($W$4:$W$200,INDEX($U$4:$U$11,AC$2)):INDEX($W$4:$W$200,INDEX($U$4:$U$11,AC$2)+ROW()-5),AC$3&amp;"_"&amp;AD$3)))</f>
        <v>-0.25</v>
      </c>
      <c r="AK14" s="10">
        <f>IF(OR(ROW()-4&gt;INDEX($U$4:$U$11,AC$2+1)-INDEX($U$4:$U$11,AC$2),ROW()-4&gt;AD$2),NA(),(COUNTIF(INDEX($X$4:$X$200,INDEX($U$4:$U$11,AC$2)):INDEX($X$4:$X$200,INDEX($U$4:$U$11,AC$2)+ROW()-5),AC$3&amp;"_#01")+COUNTIF(INDEX($X$4:$X$200,INDEX($U$4:$U$11,AC$2)):INDEX($X$4:$X$200,INDEX($U$4:$U$11,AC$2)+ROW()-5),AC$3&amp;"_#03"))/(COUNTIF(INDEX($W$4:$W$200,INDEX($U$4:$U$11,AC$2)):INDEX($W$4:$W$200,INDEX($U$4:$U$11,AC$2)+ROW()-5),AC$3&amp;"_"&amp;AC$3)+COUNTIF(INDEX($W$4:$W$200,INDEX($U$4:$U$11,AC$2)):INDEX($W$4:$W$200,INDEX($U$4:$U$11,AC$2)+ROW()-5),AD$3&amp;"_"&amp;AC$3)))</f>
        <v>0.5</v>
      </c>
      <c r="AL14" s="10">
        <f>IF(OR(ROW()-4&gt;INDEX($U$4:$U$11,AC$2+1)-INDEX($U$4:$U$11,AC$2),ROW()-4&gt;AD$2),NA(),(COUNTIF(INDEX($X$4:$X$200,INDEX($U$4:$U$11,AC$2)):INDEX($X$4:$X$200,INDEX($U$4:$U$11,AC$2)+ROW()-5),AD$3&amp;"_#01")+COUNTIF(INDEX($X$4:$X$200,INDEX($U$4:$U$11,AC$2)):INDEX($X$4:$X$200,INDEX($U$4:$U$11,AC$2)+ROW()-5),AD$3&amp;"_#03"))/(COUNTIF(INDEX($W$4:$W$200,INDEX($U$4:$U$11,AC$2)):INDEX($W$4:$W$200,INDEX($U$4:$U$11,AC$2)+ROW()-5),AD$3&amp;"_"&amp;AD$3)+COUNTIF(INDEX($W$4:$W$200,INDEX($U$4:$U$11,AC$2)):INDEX($W$4:$W$200,INDEX($U$4:$U$11,AC$2)+ROW()-5),AC$3&amp;"_"&amp;AD$3)))</f>
        <v>0</v>
      </c>
      <c r="AN14">
        <f t="shared" si="125"/>
        <v>10</v>
      </c>
      <c r="AO14">
        <f t="shared" si="111"/>
        <v>27</v>
      </c>
      <c r="AP14">
        <f t="shared" si="112"/>
        <v>42</v>
      </c>
      <c r="AQ14">
        <f t="shared" si="113"/>
        <v>58</v>
      </c>
      <c r="AR14" t="str">
        <f t="shared" si="114"/>
        <v/>
      </c>
      <c r="AS14" t="e">
        <f t="shared" si="115"/>
        <v>#VALUE!</v>
      </c>
      <c r="AT14" t="e">
        <f t="shared" si="116"/>
        <v>#VALUE!</v>
      </c>
      <c r="AV14" t="str">
        <f t="shared" si="117"/>
        <v>FENG Tianwei</v>
      </c>
      <c r="AW14" t="str">
        <f t="shared" si="63"/>
        <v>KIHARA Miyuu</v>
      </c>
      <c r="AX14" t="str">
        <f t="shared" si="64"/>
        <v>FENG Tianwei</v>
      </c>
      <c r="AY14" t="str">
        <f t="shared" si="65"/>
        <v>KIHARA Miyuu</v>
      </c>
      <c r="AZ14" t="e">
        <f t="shared" si="66"/>
        <v>#VALUE!</v>
      </c>
      <c r="BA14" t="e">
        <f t="shared" si="67"/>
        <v>#VALUE!</v>
      </c>
      <c r="BB14" t="e">
        <f t="shared" si="68"/>
        <v>#VALUE!</v>
      </c>
      <c r="BD14" t="str">
        <f t="shared" si="118"/>
        <v>FENG Tianwei</v>
      </c>
      <c r="BE14" t="str">
        <f t="shared" si="69"/>
        <v>KIHARA Miyuu</v>
      </c>
      <c r="BF14" t="str">
        <f t="shared" si="70"/>
        <v>FENG Tianwei</v>
      </c>
      <c r="BG14" t="str">
        <f t="shared" si="71"/>
        <v>KIHARA Miyuu</v>
      </c>
      <c r="BH14" t="e">
        <f t="shared" si="72"/>
        <v>#VALUE!</v>
      </c>
      <c r="BI14" t="e">
        <f t="shared" si="73"/>
        <v>#VALUE!</v>
      </c>
      <c r="BJ14" t="e">
        <f t="shared" si="74"/>
        <v>#VALUE!</v>
      </c>
      <c r="BL14" t="str">
        <f t="shared" si="119"/>
        <v>FENG Tianwei_(Side)</v>
      </c>
      <c r="BM14" t="str">
        <f t="shared" si="75"/>
        <v>KIHARA Miyuu_(Side)</v>
      </c>
      <c r="BN14" t="str">
        <f t="shared" si="76"/>
        <v>FENG Tianwei_Back</v>
      </c>
      <c r="BO14" t="str">
        <f t="shared" si="77"/>
        <v>KIHARA Miyuu_(Side)</v>
      </c>
      <c r="BP14" t="e">
        <f t="shared" si="78"/>
        <v>#VALUE!</v>
      </c>
      <c r="BQ14" t="e">
        <f t="shared" si="79"/>
        <v>#VALUE!</v>
      </c>
      <c r="BR14" t="e">
        <f t="shared" si="80"/>
        <v>#VALUE!</v>
      </c>
      <c r="BT14" t="str">
        <f t="shared" si="120"/>
        <v>FENG Tianwei_B</v>
      </c>
      <c r="BU14" t="str">
        <f t="shared" si="81"/>
        <v>KIHARA Miyuu_B</v>
      </c>
      <c r="BV14" t="str">
        <f t="shared" si="82"/>
        <v>FENG Tianwei_B</v>
      </c>
      <c r="BW14" t="str">
        <f t="shared" si="83"/>
        <v>KIHARA Miyuu_B</v>
      </c>
      <c r="BX14" t="e">
        <f t="shared" si="84"/>
        <v>#VALUE!</v>
      </c>
      <c r="BY14" t="e">
        <f t="shared" si="85"/>
        <v>#VALUE!</v>
      </c>
      <c r="BZ14" t="e">
        <f t="shared" si="86"/>
        <v>#VALUE!</v>
      </c>
      <c r="CB14" t="str">
        <f t="shared" si="121"/>
        <v>FENG Tianwei_FMS</v>
      </c>
      <c r="CC14" t="str">
        <f t="shared" si="87"/>
        <v>KIHARA Miyuu_FMS</v>
      </c>
      <c r="CD14" t="str">
        <f t="shared" si="88"/>
        <v>FENG Tianwei_FS</v>
      </c>
      <c r="CE14" t="str">
        <f t="shared" si="89"/>
        <v>KIHARA Miyuu_FS</v>
      </c>
      <c r="CF14" t="e">
        <f t="shared" si="90"/>
        <v>#VALUE!</v>
      </c>
      <c r="CG14" t="e">
        <f t="shared" si="91"/>
        <v>#VALUE!</v>
      </c>
      <c r="CH14" t="e">
        <f t="shared" si="92"/>
        <v>#VALUE!</v>
      </c>
      <c r="CJ14" t="str">
        <f t="shared" si="122"/>
        <v>KIHARA Miyuu_F</v>
      </c>
      <c r="CK14" t="str">
        <f t="shared" si="93"/>
        <v>FENG Tianwei_B</v>
      </c>
      <c r="CL14" t="str">
        <f t="shared" si="94"/>
        <v>KIHARA Miyuu_B</v>
      </c>
      <c r="CM14" t="str">
        <f t="shared" si="95"/>
        <v>FENG Tianwei_F</v>
      </c>
      <c r="CN14" t="e">
        <f t="shared" si="96"/>
        <v>#VALUE!</v>
      </c>
      <c r="CO14" t="e">
        <f t="shared" si="97"/>
        <v>#VALUE!</v>
      </c>
      <c r="CP14" t="e">
        <f t="shared" si="98"/>
        <v>#VALUE!</v>
      </c>
      <c r="CR14" t="str">
        <f t="shared" si="123"/>
        <v>KIHARA Miyuu_ドライブ</v>
      </c>
      <c r="CS14" t="str">
        <f t="shared" si="99"/>
        <v>FENG Tianwei_Chiquita</v>
      </c>
      <c r="CT14" t="str">
        <f t="shared" si="100"/>
        <v>KIHARA Miyuu_Stop</v>
      </c>
      <c r="CU14" t="str">
        <f t="shared" si="101"/>
        <v>FENG Tianwei_Push</v>
      </c>
      <c r="CV14" t="e">
        <f t="shared" si="102"/>
        <v>#VALUE!</v>
      </c>
      <c r="CW14" t="e">
        <f t="shared" si="103"/>
        <v>#VALUE!</v>
      </c>
      <c r="CX14" t="e">
        <f t="shared" si="104"/>
        <v>#VALUE!</v>
      </c>
      <c r="CZ14" t="str">
        <f t="shared" si="124"/>
        <v>KIHARA Miyuu_B</v>
      </c>
      <c r="DA14" t="str">
        <f t="shared" si="105"/>
        <v>FENG Tianwei_FM</v>
      </c>
      <c r="DB14" t="str">
        <f t="shared" si="106"/>
        <v>KIHARA Miyuu_FS</v>
      </c>
      <c r="DC14" t="str">
        <f t="shared" si="107"/>
        <v>FENG Tianwei_FS</v>
      </c>
      <c r="DD14" t="e">
        <f t="shared" si="108"/>
        <v>#VALUE!</v>
      </c>
      <c r="DE14" t="e">
        <f t="shared" si="109"/>
        <v>#VALUE!</v>
      </c>
      <c r="DF14" t="e">
        <f t="shared" si="110"/>
        <v>#VALUE!</v>
      </c>
      <c r="DH14">
        <f>IF(OR(ROW()-4&gt;INDEX($U$4:$U$11,$AC$2+1,1)-INDEX($U$4:$U$11,$AC$2,1),ROW()-4&gt;$AD$2),NA(),COUNTIF(INDEX($BL$5:$BR$50,INDEX($U$4:$U$11,1,1),$AC$2):INDEX($BL$5:$BR$50,INDEX($U$4:$U$11,1,1)+ROW()-5,$AC$2),DH$3))</f>
        <v>2</v>
      </c>
      <c r="DI14">
        <f>IF(OR(ROW()-4&gt;INDEX($U$4:$U$11,$AC$2+1,1)-INDEX($U$4:$U$11,$AC$2,1),ROW()-4&gt;$AD$2),NA(),COUNTIF(INDEX($BL$5:$BR$50,INDEX($U$4:$U$11,1,1),$AC$2):INDEX($BL$5:$BR$50,INDEX($U$4:$U$11,1,1)+ROW()-5,$AC$2),DI$3))</f>
        <v>4</v>
      </c>
      <c r="DJ14">
        <f>IF(OR(ROW()-4&gt;INDEX($U$4:$U$11,$AC$2+1,1)-INDEX($U$4:$U$11,$AC$2,1),ROW()-4&gt;$AD$2),NA(),COUNTIF(INDEX($BL$5:$BR$50,INDEX($U$4:$U$11,1,1),$AC$2):INDEX($BL$5:$BR$50,INDEX($U$4:$U$11,1,1)+ROW()-5,$AC$2),DJ$3))</f>
        <v>0</v>
      </c>
      <c r="DL14">
        <f>IF(OR(ROW()-4&gt;INDEX($U$4:$U$11,$AC$2+1,1)-INDEX($U$4:$U$11,$AC$2,1),ROW()-4&gt;$AD$2),NA(),COUNTIF(INDEX($BL$5:$BR$50,INDEX($U$4:$U$11,1,1),$AC$2):INDEX($BL$5:$BR$50,INDEX($U$4:$U$11,1,1)+ROW()-5,$AC$2),DL$3))</f>
        <v>0</v>
      </c>
      <c r="DM14">
        <f>IF(OR(ROW()-4&gt;INDEX($U$4:$U$11,$AC$2+1,1)-INDEX($U$4:$U$11,$AC$2,1),ROW()-4&gt;$AD$2),NA(),COUNTIF(INDEX($BL$5:$BR$50,INDEX($U$4:$U$11,1,1),$AC$2):INDEX($BL$5:$BR$50,INDEX($U$4:$U$11,1,1)+ROW()-5,$AC$2),DM$3))</f>
        <v>0</v>
      </c>
      <c r="DN14">
        <f>IF(OR(ROW()-4&gt;INDEX($U$4:$U$11,$AC$2+1,1)-INDEX($U$4:$U$11,$AC$2,1),ROW()-4&gt;$AD$2),NA(),COUNTIF(INDEX($BL$5:$BR$50,INDEX($U$4:$U$11,1,1),$AC$2):INDEX($BL$5:$BR$50,INDEX($U$4:$U$11,1,1)+ROW()-5,$AC$2),DN$3))</f>
        <v>4</v>
      </c>
      <c r="DP14">
        <f>IF(OR(ROW()-4&gt;INDEX($U$4:$U$11,$AC$2+1,1)-INDEX($U$4:$U$11,$AC$2,1),ROW()-4&gt;$AD$2),NA(),COUNTIF(INDEX($BT$5:$BZ$201,INDEX($U$4:$U$11,1,1),$AC$2):INDEX($BT$5:$BZ$201,INDEX($U$4:$U$11,1,1)+ROW()-5,$AC$2),DP$3))</f>
        <v>6</v>
      </c>
      <c r="DQ14">
        <f>IF(OR(ROW()-4&gt;INDEX($U$4:$U$11,$AC$2+1,1)-INDEX($U$4:$U$11,$AC$2,1),ROW()-4&gt;$AD$2),NA(),COUNTIF(INDEX($BT$5:$BZ$201,INDEX($U$4:$U$11,1,1),$AC$2):INDEX($BT$5:$BZ$201,INDEX($U$4:$U$11,1,1)+ROW()-5,$AC$2),DQ$3))</f>
        <v>0</v>
      </c>
      <c r="DS14">
        <f>IF(OR(ROW()-4&gt;INDEX($U$4:$U$11,$AC$2+1,1)-INDEX($U$4:$U$11,$AC$2,1),ROW()-4&gt;$AD$2),NA(),COUNTIF(INDEX($BT$5:$BZ$201,INDEX($U$4:$U$11,1,1),$AC$2):INDEX($BT$5:$BZ$201,INDEX($U$4:$U$11,1,1)+ROW()-5,$AC$2),DS$3))</f>
        <v>4</v>
      </c>
      <c r="DT14">
        <f>IF(OR(ROW()-4&gt;INDEX($U$4:$U$11,$AC$2+1,1)-INDEX($U$4:$U$11,$AC$2,1),ROW()-4&gt;$AD$2),NA(),COUNTIF(INDEX($BT$5:$BZ$201,INDEX($U$4:$U$11,1,1),$AC$2):INDEX($BT$5:$BZ$201,INDEX($U$4:$U$11,1,1)+ROW()-5,$AC$2),DT$3))</f>
        <v>0</v>
      </c>
      <c r="DV14">
        <f>IF(OR(ROW()-4&gt;INDEX($U$4:$U$11,$AC$2+1,1)-INDEX($U$4:$U$11,$AC$2,1),ROW()-4&gt;$AD$2),NA(),COUNTIF(INDEX($CB$5:$CH$201,INDEX($U$4:$U$11,1,1),$AC$2):INDEX($CB$5:$CH$201,INDEX($U$4:$U$11,1,1)+ROW()-5,$AC$2),DV$3))</f>
        <v>0</v>
      </c>
      <c r="DW14">
        <f>IF(OR(ROW()-4&gt;INDEX($U$4:$U$11,$AC$2+1,1)-INDEX($U$4:$U$11,$AC$2,1),ROW()-4&gt;$AD$2),NA(),COUNTIF(INDEX($CB$5:$CH$201,INDEX($U$4:$U$11,1,1),$AC$2):INDEX($CB$5:$CH$201,INDEX($U$4:$U$11,1,1)+ROW()-5,$AC$2),DW$3))</f>
        <v>0</v>
      </c>
      <c r="DX14">
        <f>IF(OR(ROW()-4&gt;INDEX($U$4:$U$11,$AC$2+1,1)-INDEX($U$4:$U$11,$AC$2,1),ROW()-4&gt;$AD$2),NA(),COUNTIF(INDEX($CB$5:$CH$201,INDEX($U$4:$U$11,1,1),$AC$2):INDEX($CB$5:$CH$201,INDEX($U$4:$U$11,1,1)+ROW()-5,$AC$2),DX$3))</f>
        <v>3</v>
      </c>
      <c r="DY14">
        <f>IF(OR(ROW()-4&gt;INDEX($U$4:$U$11,$AC$2+1,1)-INDEX($U$4:$U$11,$AC$2,1),ROW()-4&gt;$AD$2),NA(),COUNTIF(INDEX($CB$5:$CH$201,INDEX($U$4:$U$11,1,1),$AC$2):INDEX($CB$5:$CH$201,INDEX($U$4:$U$11,1,1)+ROW()-5,$AC$2),DY$3))</f>
        <v>1</v>
      </c>
      <c r="DZ14">
        <f>IF(OR(ROW()-4&gt;INDEX($U$4:$U$11,$AC$2+1,1)-INDEX($U$4:$U$11,$AC$2,1),ROW()-4&gt;$AD$2),NA(),COUNTIF(INDEX($CB$5:$CH$201,INDEX($U$4:$U$11,1,1),$AC$2):INDEX($CB$5:$CH$201,INDEX($U$4:$U$11,1,1)+ROW()-5,$AC$2),DZ$3))</f>
        <v>1</v>
      </c>
      <c r="EA14">
        <f>IF(OR(ROW()-4&gt;INDEX($U$4:$U$11,$AC$2+1,1)-INDEX($U$4:$U$11,$AC$2,1),ROW()-4&gt;$AD$2),NA(),COUNTIF(INDEX($CB$5:$CH$201,INDEX($U$4:$U$11,1,1),$AC$2):INDEX($CB$5:$CH$201,INDEX($U$4:$U$11,1,1)+ROW()-5,$AC$2),EA$3))</f>
        <v>1</v>
      </c>
      <c r="EB14">
        <f>IF(OR(ROW()-4&gt;INDEX($U$4:$U$11,$AC$2+1,1)-INDEX($U$4:$U$11,$AC$2,1),ROW()-4&gt;$AD$2),NA(),COUNTIF(INDEX($CB$5:$CH$201,INDEX($U$4:$U$11,1,1),$AC$2):INDEX($CB$5:$CH$201,INDEX($U$4:$U$11,1,1)+ROW()-5,$AC$2),EB$3))</f>
        <v>0</v>
      </c>
      <c r="EC14">
        <f>IF(OR(ROW()-4&gt;INDEX($U$4:$U$11,$AC$2+1,1)-INDEX($U$4:$U$11,$AC$2,1),ROW()-4&gt;$AD$2),NA(),COUNTIF(INDEX($CB$5:$CH$201,INDEX($U$4:$U$11,1,1),$AC$2):INDEX($CB$5:$CH$201,INDEX($U$4:$U$11,1,1)+ROW()-5,$AC$2),EC$3))</f>
        <v>0</v>
      </c>
      <c r="EE14">
        <f>IF(OR(ROW()-4&gt;INDEX($U$4:$U$11,$AC$2+1,1)-INDEX($U$4:$U$11,$AC$2,1),ROW()-4&gt;$AD$2),NA(),COUNTIF(INDEX($CB$5:$CH$201,INDEX($U$4:$U$11,1,1),$AC$2):INDEX($CB$5:$CH$201,INDEX($U$4:$U$11,1,1)+ROW()-5,$AC$2),EE$3))</f>
        <v>0</v>
      </c>
      <c r="EF14">
        <f>IF(OR(ROW()-4&gt;INDEX($U$4:$U$11,$AC$2+1,1)-INDEX($U$4:$U$11,$AC$2,1),ROW()-4&gt;$AD$2),NA(),COUNTIF(INDEX($CB$5:$CH$201,INDEX($U$4:$U$11,1,1),$AC$2):INDEX($CB$5:$CH$201,INDEX($U$4:$U$11,1,1)+ROW()-5,$AC$2),EF$3))</f>
        <v>0</v>
      </c>
      <c r="EG14">
        <f>IF(OR(ROW()-4&gt;INDEX($U$4:$U$11,$AC$2+1,1)-INDEX($U$4:$U$11,$AC$2,1),ROW()-4&gt;$AD$2),NA(),COUNTIF(INDEX($CB$5:$CH$201,INDEX($U$4:$U$11,1,1),$AC$2):INDEX($CB$5:$CH$201,INDEX($U$4:$U$11,1,1)+ROW()-5,$AC$2),EG$3))</f>
        <v>0</v>
      </c>
      <c r="EH14">
        <f>IF(OR(ROW()-4&gt;INDEX($U$4:$U$11,$AC$2+1,1)-INDEX($U$4:$U$11,$AC$2,1),ROW()-4&gt;$AD$2),NA(),COUNTIF(INDEX($CB$5:$CH$201,INDEX($U$4:$U$11,1,1),$AC$2):INDEX($CB$5:$CH$201,INDEX($U$4:$U$11,1,1)+ROW()-5,$AC$2),EH$3))</f>
        <v>1</v>
      </c>
      <c r="EI14">
        <f>IF(OR(ROW()-4&gt;INDEX($U$4:$U$11,$AC$2+1,1)-INDEX($U$4:$U$11,$AC$2,1),ROW()-4&gt;$AD$2),NA(),COUNTIF(INDEX($CB$5:$CH$201,INDEX($U$4:$U$11,1,1),$AC$2):INDEX($CB$5:$CH$201,INDEX($U$4:$U$11,1,1)+ROW()-5,$AC$2),EI$3))</f>
        <v>2</v>
      </c>
      <c r="EJ14">
        <f>IF(OR(ROW()-4&gt;INDEX($U$4:$U$11,$AC$2+1,1)-INDEX($U$4:$U$11,$AC$2,1),ROW()-4&gt;$AD$2),NA(),COUNTIF(INDEX($CB$5:$CH$201,INDEX($U$4:$U$11,1,1),$AC$2):INDEX($CB$5:$CH$201,INDEX($U$4:$U$11,1,1)+ROW()-5,$AC$2),EJ$3))</f>
        <v>1</v>
      </c>
      <c r="EK14">
        <f>IF(OR(ROW()-4&gt;INDEX($U$4:$U$11,$AC$2+1,1)-INDEX($U$4:$U$11,$AC$2,1),ROW()-4&gt;$AD$2),NA(),COUNTIF(INDEX($CB$5:$CH$201,INDEX($U$4:$U$11,1,1),$AC$2):INDEX($CB$5:$CH$201,INDEX($U$4:$U$11,1,1)+ROW()-5,$AC$2),EK$3))</f>
        <v>0</v>
      </c>
      <c r="EL14">
        <f>IF(OR(ROW()-4&gt;INDEX($U$4:$U$11,$AC$2+1,1)-INDEX($U$4:$U$11,$AC$2,1),ROW()-4&gt;$AD$2),NA(),COUNTIF(INDEX($CB$5:$CH$201,INDEX($U$4:$U$11,1,1),$AC$2):INDEX($CB$5:$CH$201,INDEX($U$4:$U$11,1,1)+ROW()-5,$AC$2),EL$3))</f>
        <v>0</v>
      </c>
      <c r="EN14">
        <f>IF(OR(ROW()-4&gt;INDEX($U$4:$U$11,$AC$2+1,1)-INDEX($U$4:$U$11,$AC$2,1),ROW()-4&gt;$AD$2),NA(),COUNTIF(INDEX($CJ$5:$CP$201,INDEX($U$4:$U$11,1,1),$AC$2):INDEX($CJ$5:$CP$201,INDEX($U$4:$U$11,1,1)+ROW()-5,$AC$2),EN$3))</f>
        <v>2</v>
      </c>
      <c r="EO14">
        <f>IF(OR(ROW()-4&gt;INDEX($U$4:$U$11,$AC$2+1,1)-INDEX($U$4:$U$11,$AC$2,1),ROW()-4&gt;$AD$2),NA(),COUNTIF(INDEX($CJ$5:$CP$201,INDEX($U$4:$U$11,1,1),$AC$2):INDEX($CJ$5:$CP$201,INDEX($U$4:$U$11,1,1)+ROW()-5,$AC$2),EO$3))</f>
        <v>1</v>
      </c>
      <c r="EQ14">
        <f>IF(OR(ROW()-4&gt;INDEX($U$4:$U$11,$AC$2+1,1)-INDEX($U$4:$U$11,$AC$2,1),ROW()-4&gt;$AD$2),NA(),COUNTIF(INDEX($CJ$5:$CP$201,INDEX($U$4:$U$11,1,1),$AC$2):INDEX($CJ$5:$CP$201,INDEX($U$4:$U$11,1,1)+ROW()-5,$AC$2),EQ$3))</f>
        <v>5</v>
      </c>
      <c r="ER14">
        <f>IF(OR(ROW()-4&gt;INDEX($U$4:$U$11,$AC$2+1,1)-INDEX($U$4:$U$11,$AC$2,1),ROW()-4&gt;$AD$2),NA(),COUNTIF(INDEX($CJ$5:$CP$201,INDEX($U$4:$U$11,1,1),$AC$2):INDEX($CJ$5:$CP$201,INDEX($U$4:$U$11,1,1)+ROW()-5,$AC$2),ER$3))</f>
        <v>1</v>
      </c>
      <c r="ET14">
        <f>IF(OR(ROW()-4&gt;INDEX($U$4:$U$11,$AC$2+1,1)-INDEX($U$4:$U$11,$AC$2,1),ROW()-4&gt;$AD$2),NA(),COUNTIF(INDEX($CR$5:$CX$201,INDEX($U$4:$U$11,1,1),$AC$2):INDEX($CR$5:$CX$201,INDEX($U$4:$U$11,1,1)+ROW()-5,$AC$2),ET$3))</f>
        <v>1</v>
      </c>
      <c r="EU14">
        <f>IF(OR(ROW()-4&gt;INDEX($U$4:$U$11,$AC$2+1,1)-INDEX($U$4:$U$11,$AC$2,1),ROW()-4&gt;$AD$2),NA(),COUNTIF(INDEX($CR$5:$CX$201,INDEX($U$4:$U$11,1,1),$AC$2):INDEX($CR$5:$CX$201,INDEX($U$4:$U$11,1,1)+ROW()-5,$AC$2),EU$3))</f>
        <v>0</v>
      </c>
      <c r="EV14">
        <f>IF(OR(ROW()-4&gt;INDEX($U$4:$U$11,$AC$2+1,1)-INDEX($U$4:$U$11,$AC$2,1),ROW()-4&gt;$AD$2),NA(),COUNTIF(INDEX($CR$5:$CX$201,INDEX($U$4:$U$11,1,1),$AC$2):INDEX($CR$5:$CX$201,INDEX($U$4:$U$11,1,1)+ROW()-5,$AC$2),EV$3))</f>
        <v>1</v>
      </c>
      <c r="EW14">
        <f>IF(OR(ROW()-4&gt;INDEX($U$4:$U$11,$AC$2+1,1)-INDEX($U$4:$U$11,$AC$2,1),ROW()-4&gt;$AD$2),NA(),COUNTIF(INDEX($CR$5:$CX$201,INDEX($U$4:$U$11,1,1),$AC$2):INDEX($CR$5:$CX$201,INDEX($U$4:$U$11,1,1)+ROW()-5,$AC$2),EW$3))</f>
        <v>1</v>
      </c>
      <c r="EX14">
        <f>IF(OR(ROW()-4&gt;INDEX($U$4:$U$11,$AC$2+1,1)-INDEX($U$4:$U$11,$AC$2,1),ROW()-4&gt;$AD$2),NA(),COUNTIF(INDEX($CR$5:$CX$201,INDEX($U$4:$U$11,1,1),$AC$2):INDEX($CR$5:$CX$201,INDEX($U$4:$U$11,1,1)+ROW()-5,$AC$2),EX$3))</f>
        <v>0</v>
      </c>
      <c r="EY14">
        <f>IF(OR(ROW()-4&gt;INDEX($U$4:$U$11,$AC$2+1,1)-INDEX($U$4:$U$11,$AC$2,1),ROW()-4&gt;$AD$2),NA(),COUNTIF(INDEX($CR$5:$CX$201,INDEX($U$4:$U$11,1,1),$AC$2):INDEX($CR$5:$CX$201,INDEX($U$4:$U$11,1,1)+ROW()-5,$AC$2),EY$3))</f>
        <v>1</v>
      </c>
      <c r="EZ14">
        <f>IF(OR(ROW()-4&gt;INDEX($U$4:$U$11,$AC$2+1,1)-INDEX($U$4:$U$11,$AC$2,1),ROW()-4&gt;$AD$2),NA(),COUNTIF(INDEX($CR$5:$CX$201,INDEX($U$4:$U$11,1,1),$AC$2):INDEX($CR$5:$CX$201,INDEX($U$4:$U$11,1,1)+ROW()-5,$AC$2),EZ$3))</f>
        <v>0</v>
      </c>
      <c r="FA14">
        <f>IF(OR(ROW()-4&gt;INDEX($U$4:$U$11,$AC$2+1,1)-INDEX($U$4:$U$11,$AC$2,1),ROW()-4&gt;$AD$2),NA(),COUNTIF(INDEX($CR$5:$CX$201,INDEX($U$4:$U$11,1,1),$AC$2):INDEX($CR$5:$CX$201,INDEX($U$4:$U$11,1,1)+ROW()-5,$AC$2),FA$3))</f>
        <v>0</v>
      </c>
      <c r="FC14">
        <f>IF(OR(ROW()-4&gt;INDEX($U$4:$U$11,$AC$2+1,1)-INDEX($U$4:$U$11,$AC$2,1),ROW()-4&gt;$AD$2),NA(),COUNTIF(INDEX($CR$5:$CX$201,INDEX($U$4:$U$11,1,1),$AC$2):INDEX($CR$5:$CX$201,INDEX($U$4:$U$11,1,1)+ROW()-5,$AC$2),FC$3))</f>
        <v>0</v>
      </c>
      <c r="FD14">
        <f>IF(OR(ROW()-4&gt;INDEX($U$4:$U$11,$AC$2+1,1)-INDEX($U$4:$U$11,$AC$2,1),ROW()-4&gt;$AD$2),NA(),COUNTIF(INDEX($CR$5:$CX$201,INDEX($U$4:$U$11,1,1),$AC$2):INDEX($CR$5:$CX$201,INDEX($U$4:$U$11,1,1)+ROW()-5,$AC$2),FD$3))</f>
        <v>0</v>
      </c>
      <c r="FE14">
        <f>IF(OR(ROW()-4&gt;INDEX($U$4:$U$11,$AC$2+1,1)-INDEX($U$4:$U$11,$AC$2,1),ROW()-4&gt;$AD$2),NA(),COUNTIF(INDEX($CR$5:$CX$201,INDEX($U$4:$U$11,1,1),$AC$2):INDEX($CR$5:$CX$201,INDEX($U$4:$U$11,1,1)+ROW()-5,$AC$2),FE$3))</f>
        <v>0</v>
      </c>
      <c r="FF14">
        <f>IF(OR(ROW()-4&gt;INDEX($U$4:$U$11,$AC$2+1,1)-INDEX($U$4:$U$11,$AC$2,1),ROW()-4&gt;$AD$2),NA(),COUNTIF(INDEX($CR$5:$CX$201,INDEX($U$4:$U$11,1,1),$AC$2):INDEX($CR$5:$CX$201,INDEX($U$4:$U$11,1,1)+ROW()-5,$AC$2),FF$3))</f>
        <v>2</v>
      </c>
      <c r="FG14">
        <f>IF(OR(ROW()-4&gt;INDEX($U$4:$U$11,$AC$2+1,1)-INDEX($U$4:$U$11,$AC$2,1),ROW()-4&gt;$AD$2),NA(),COUNTIF(INDEX($CR$5:$CX$201,INDEX($U$4:$U$11,1,1),$AC$2):INDEX($CR$5:$CX$201,INDEX($U$4:$U$11,1,1)+ROW()-5,$AC$2),FG$3))</f>
        <v>0</v>
      </c>
      <c r="FH14">
        <f>IF(OR(ROW()-4&gt;INDEX($U$4:$U$11,$AC$2+1,1)-INDEX($U$4:$U$11,$AC$2,1),ROW()-4&gt;$AD$2),NA(),COUNTIF(INDEX($CR$5:$CX$201,INDEX($U$4:$U$11,1,1),$AC$2):INDEX($CR$5:$CX$201,INDEX($U$4:$U$11,1,1)+ROW()-5,$AC$2),FH$3))</f>
        <v>4</v>
      </c>
      <c r="FI14">
        <f>IF(OR(ROW()-4&gt;INDEX($U$4:$U$11,$AC$2+1,1)-INDEX($U$4:$U$11,$AC$2,1),ROW()-4&gt;$AD$2),NA(),COUNTIF(INDEX($CR$5:$CX$201,INDEX($U$4:$U$11,1,1),$AC$2):INDEX($CR$5:$CX$201,INDEX($U$4:$U$11,1,1)+ROW()-5,$AC$2),FI$3))</f>
        <v>0</v>
      </c>
      <c r="FJ14">
        <f>IF(OR(ROW()-4&gt;INDEX($U$4:$U$11,$AC$2+1,1)-INDEX($U$4:$U$11,$AC$2,1),ROW()-4&gt;$AD$2),NA(),COUNTIF(INDEX($CR$5:$CX$201,INDEX($U$4:$U$11,1,1),$AC$2):INDEX($CR$5:$CX$201,INDEX($U$4:$U$11,1,1)+ROW()-5,$AC$2),FJ$3))</f>
        <v>0</v>
      </c>
      <c r="FL14">
        <f>IF(OR(ROW()-4&gt;INDEX($U$4:$U$11,$AC$2+1,1)-INDEX($U$4:$U$11,$AC$2,1),ROW()-4&gt;$AD$2),NA(),COUNTIF(INDEX($CZ$5:$DF$201,INDEX($U$4:$U$11,1,1),$AC$2):INDEX($CZ$5:$DF$201,INDEX($U$4:$U$11,1,1)+ROW()-5,$AC$2),FL$3))</f>
        <v>0</v>
      </c>
      <c r="FM14">
        <f>IF(OR(ROW()-4&gt;INDEX($U$4:$U$11,$AC$2+1,1)-INDEX($U$4:$U$11,$AC$2,1),ROW()-4&gt;$AD$2),NA(),COUNTIF(INDEX($CZ$5:$DF$201,INDEX($U$4:$U$11,1,1),$AC$2):INDEX($CZ$5:$DF$201,INDEX($U$4:$U$11,1,1)+ROW()-5,$AC$2),FM$3))</f>
        <v>1</v>
      </c>
      <c r="FN14">
        <f>IF(OR(ROW()-4&gt;INDEX($U$4:$U$11,$AC$2+1,1)-INDEX($U$4:$U$11,$AC$2,1),ROW()-4&gt;$AD$2),NA(),COUNTIF(INDEX($CZ$5:$DF$201,INDEX($U$4:$U$11,1,1),$AC$2):INDEX($CZ$5:$DF$201,INDEX($U$4:$U$11,1,1)+ROW()-5,$AC$2),FN$3))</f>
        <v>0</v>
      </c>
      <c r="FO14">
        <f>IF(OR(ROW()-4&gt;INDEX($U$4:$U$11,$AC$2+1,1)-INDEX($U$4:$U$11,$AC$2,1),ROW()-4&gt;$AD$2),NA(),COUNTIF(INDEX($CZ$5:$DF$201,INDEX($U$4:$U$11,1,1),$AC$2):INDEX($CZ$5:$DF$201,INDEX($U$4:$U$11,1,1)+ROW()-5,$AC$2),FO$3))</f>
        <v>2</v>
      </c>
      <c r="FP14">
        <f>IF(OR(ROW()-4&gt;INDEX($U$4:$U$11,$AC$2+1,1)-INDEX($U$4:$U$11,$AC$2,1),ROW()-4&gt;$AD$2),NA(),COUNTIF(INDEX($CZ$5:$DF$201,INDEX($U$4:$U$11,1,1),$AC$2):INDEX($CZ$5:$DF$201,INDEX($U$4:$U$11,1,1)+ROW()-5,$AC$2),FP$3))</f>
        <v>0</v>
      </c>
      <c r="FQ14">
        <f>IF(OR(ROW()-4&gt;INDEX($U$4:$U$11,$AC$2+1,1)-INDEX($U$4:$U$11,$AC$2,1),ROW()-4&gt;$AD$2),NA(),COUNTIF(INDEX($CZ$5:$DF$201,INDEX($U$4:$U$11,1,1),$AC$2):INDEX($CZ$5:$DF$201,INDEX($U$4:$U$11,1,1)+ROW()-5,$AC$2),FQ$3))</f>
        <v>1</v>
      </c>
      <c r="FR14">
        <f>IF(OR(ROW()-4&gt;INDEX($U$4:$U$11,$AC$2+1,1)-INDEX($U$4:$U$11,$AC$2,1),ROW()-4&gt;$AD$2),NA(),COUNTIF(INDEX($CZ$5:$DF$201,INDEX($U$4:$U$11,1,1),$AC$2):INDEX($CZ$5:$DF$201,INDEX($U$4:$U$11,1,1)+ROW()-5,$AC$2),FR$3))</f>
        <v>0</v>
      </c>
      <c r="FS14">
        <f>IF(OR(ROW()-4&gt;INDEX($U$4:$U$11,$AC$2+1,1)-INDEX($U$4:$U$11,$AC$2,1),ROW()-4&gt;$AD$2),NA(),COUNTIF(INDEX($CZ$5:$DF$201,INDEX($U$4:$U$11,1,1),$AC$2):INDEX($CZ$5:$DF$201,INDEX($U$4:$U$11,1,1)+ROW()-5,$AC$2),FS$3))</f>
        <v>0</v>
      </c>
      <c r="FT14">
        <f>IF(OR(ROW()-4&gt;INDEX($U$4:$U$11,$AC$2+1,1)-INDEX($U$4:$U$11,$AC$2,1),ROW()-4&gt;$AD$2),NA(),COUNTIF(INDEX($CZ$5:$DF$201,INDEX($U$4:$U$11,1,1),$AC$2):INDEX($CZ$5:$DF$201,INDEX($U$4:$U$11,1,1)+ROW()-5,$AC$2),FT$3))</f>
        <v>0</v>
      </c>
      <c r="FU14">
        <f>IF(OR(ROW()-4&gt;INDEX($U$4:$U$11,$AC$2+1,1)-INDEX($U$4:$U$11,$AC$2,1),ROW()-4&gt;$AD$2),NA(),COUNTIF(INDEX($CZ$5:$DF$201,INDEX($U$4:$U$11,1,1),$AC$2):INDEX($CZ$5:$DF$201,INDEX($U$4:$U$11,1,1)+ROW()-5,$AC$2),FU$3))</f>
        <v>0</v>
      </c>
      <c r="FW14">
        <f>IF(OR(ROW()-4&gt;INDEX($U$4:$U$11,$AC$2+1,1)-INDEX($U$4:$U$11,$AC$2,1),ROW()-4&gt;$AD$2),NA(),COUNTIF(INDEX($CZ$5:$DF$201,INDEX($U$4:$U$11,1,1),$AC$2):INDEX($CZ$5:$DF$201,INDEX($U$4:$U$11,1,1)+ROW()-5,$AC$2),FW$3))</f>
        <v>0</v>
      </c>
      <c r="FX14">
        <f>IF(OR(ROW()-4&gt;INDEX($U$4:$U$11,$AC$2+1,1)-INDEX($U$4:$U$11,$AC$2,1),ROW()-4&gt;$AD$2),NA(),COUNTIF(INDEX($CZ$5:$DF$201,INDEX($U$4:$U$11,1,1),$AC$2):INDEX($CZ$5:$DF$201,INDEX($U$4:$U$11,1,1)+ROW()-5,$AC$2),FX$3))</f>
        <v>1</v>
      </c>
      <c r="FY14">
        <f>IF(OR(ROW()-4&gt;INDEX($U$4:$U$11,$AC$2+1,1)-INDEX($U$4:$U$11,$AC$2,1),ROW()-4&gt;$AD$2),NA(),COUNTIF(INDEX($CZ$5:$DF$201,INDEX($U$4:$U$11,1,1),$AC$2):INDEX($CZ$5:$DF$201,INDEX($U$4:$U$11,1,1)+ROW()-5,$AC$2),FY$3))</f>
        <v>0</v>
      </c>
      <c r="FZ14">
        <f>IF(OR(ROW()-4&gt;INDEX($U$4:$U$11,$AC$2+1,1)-INDEX($U$4:$U$11,$AC$2,1),ROW()-4&gt;$AD$2),NA(),COUNTIF(INDEX($CZ$5:$DF$201,INDEX($U$4:$U$11,1,1),$AC$2):INDEX($CZ$5:$DF$201,INDEX($U$4:$U$11,1,1)+ROW()-5,$AC$2),FZ$3))</f>
        <v>0</v>
      </c>
      <c r="GA14">
        <f>IF(OR(ROW()-4&gt;INDEX($U$4:$U$11,$AC$2+1,1)-INDEX($U$4:$U$11,$AC$2,1),ROW()-4&gt;$AD$2),NA(),COUNTIF(INDEX($CZ$5:$DF$201,INDEX($U$4:$U$11,1,1),$AC$2):INDEX($CZ$5:$DF$201,INDEX($U$4:$U$11,1,1)+ROW()-5,$AC$2),GA$3))</f>
        <v>1</v>
      </c>
      <c r="GB14">
        <f>IF(OR(ROW()-4&gt;INDEX($U$4:$U$11,$AC$2+1,1)-INDEX($U$4:$U$11,$AC$2,1),ROW()-4&gt;$AD$2),NA(),COUNTIF(INDEX($CZ$5:$DF$201,INDEX($U$4:$U$11,1,1),$AC$2):INDEX($CZ$5:$DF$201,INDEX($U$4:$U$11,1,1)+ROW()-5,$AC$2),GB$3))</f>
        <v>1</v>
      </c>
      <c r="GC14">
        <f>IF(OR(ROW()-4&gt;INDEX($U$4:$U$11,$AC$2+1,1)-INDEX($U$4:$U$11,$AC$2,1),ROW()-4&gt;$AD$2),NA(),COUNTIF(INDEX($CZ$5:$DF$201,INDEX($U$4:$U$11,1,1),$AC$2):INDEX($CZ$5:$DF$201,INDEX($U$4:$U$11,1,1)+ROW()-5,$AC$2),GC$3))</f>
        <v>1</v>
      </c>
      <c r="GD14">
        <f>IF(OR(ROW()-4&gt;INDEX($U$4:$U$11,$AC$2+1,1)-INDEX($U$4:$U$11,$AC$2,1),ROW()-4&gt;$AD$2),NA(),COUNTIF(INDEX($CZ$5:$DF$201,INDEX($U$4:$U$11,1,1),$AC$2):INDEX($CZ$5:$DF$201,INDEX($U$4:$U$11,1,1)+ROW()-5,$AC$2),GD$3))</f>
        <v>1</v>
      </c>
      <c r="GE14">
        <f>IF(OR(ROW()-4&gt;INDEX($U$4:$U$11,$AC$2+1,1)-INDEX($U$4:$U$11,$AC$2,1),ROW()-4&gt;$AD$2),NA(),COUNTIF(INDEX($CZ$5:$DF$201,INDEX($U$4:$U$11,1,1),$AC$2):INDEX($CZ$5:$DF$201,INDEX($U$4:$U$11,1,1)+ROW()-5,$AC$2),GE$3))</f>
        <v>0</v>
      </c>
      <c r="GF14">
        <f>IF(OR(ROW()-4&gt;INDEX($U$4:$U$11,$AC$2+1,1)-INDEX($U$4:$U$11,$AC$2,1),ROW()-4&gt;$AD$2),NA(),COUNTIF(INDEX($CZ$5:$DF$201,INDEX($U$4:$U$11,1,1),$AC$2):INDEX($CZ$5:$DF$201,INDEX($U$4:$U$11,1,1)+ROW()-5,$AC$2),GF$3))</f>
        <v>0</v>
      </c>
      <c r="GK14" t="s">
        <v>36</v>
      </c>
      <c r="GQ14" s="66" t="str">
        <f>DP1</f>
        <v>B</v>
      </c>
      <c r="GR14" s="66"/>
      <c r="GS14" s="66" t="str">
        <f>DQ1</f>
        <v>F</v>
      </c>
      <c r="GT14" s="66"/>
      <c r="GV14" s="67" t="str">
        <f>DS1</f>
        <v>B</v>
      </c>
      <c r="GW14" s="67"/>
      <c r="GX14" s="67" t="str">
        <f>DT1</f>
        <v>F</v>
      </c>
      <c r="GY14" s="67"/>
    </row>
    <row r="15" spans="1:224" x14ac:dyDescent="0.45">
      <c r="A15" t="str">
        <f>データの貼付!A13</f>
        <v>KIHARA Miyuu</v>
      </c>
      <c r="B15">
        <f>データの貼付!B13</f>
        <v>2.9323263888888888E-3</v>
      </c>
      <c r="C15">
        <f>データの貼付!C13</f>
        <v>5.4062499999999999E-5</v>
      </c>
      <c r="D15">
        <f>データの貼付!D13</f>
        <v>0</v>
      </c>
      <c r="E15" t="str">
        <f>データの貼付!F13</f>
        <v>KIHARA Miyuu</v>
      </c>
      <c r="F15">
        <f>データの貼付!E13</f>
        <v>0</v>
      </c>
      <c r="G15" t="str">
        <f>データの貼付!G13</f>
        <v>#01</v>
      </c>
      <c r="H15" t="str">
        <f>データの貼付!H13</f>
        <v>KIHARA Miyuu</v>
      </c>
      <c r="I15" t="str">
        <f>データの貼付!I13</f>
        <v>(Side)</v>
      </c>
      <c r="J15" t="str">
        <f>データの貼付!J13</f>
        <v>B</v>
      </c>
      <c r="K15" t="str">
        <f>データの貼付!K13</f>
        <v>FMS</v>
      </c>
      <c r="L15" t="str">
        <f>データの貼付!L13</f>
        <v>B</v>
      </c>
      <c r="M15" t="str">
        <f>データの貼付!M13</f>
        <v>Chiquita</v>
      </c>
      <c r="N15" t="str">
        <f>データの貼付!N13</f>
        <v>ネットオーバー</v>
      </c>
      <c r="R15">
        <f t="shared" si="59"/>
        <v>0</v>
      </c>
      <c r="S15">
        <f>SUM(R$4:R15)</f>
        <v>1</v>
      </c>
      <c r="T15" t="str">
        <f t="shared" si="60"/>
        <v/>
      </c>
      <c r="W15" t="str">
        <f t="shared" si="57"/>
        <v>KIHARA Miyuu_KIHARA Miyuu</v>
      </c>
      <c r="X15" t="str">
        <f t="shared" si="58"/>
        <v>KIHARA Miyuu_#01</v>
      </c>
      <c r="Y15" t="str">
        <f>$AC$3&amp;"RVP"</f>
        <v>FENG TianweiRVP</v>
      </c>
      <c r="Z15">
        <f>(INDEX($AV$5:$BB$40,$AD$2,$AC$2)&lt;&gt;INDEX($BD$5:$BJ$40,$AD$2,$AC$2))*(INDEX($AV$5:$BB$40,$AD$2,$AC$2)=$AC$3)</f>
        <v>1</v>
      </c>
      <c r="AC15" s="8">
        <f>IF(OR(ROW()-4&gt;INDEX($U$4:$U$11,AC$2+1)-INDEX($U$4:$U$11,AC$2),ROW()-4&gt;AD$2),NA(),COUNTIF(INDEX($W$4:$W$200,INDEX($U$4:$U$11,AC$2)):INDEX($W$4:$W$200,INDEX($U$4:$U$11,AC$2)+ROW()-5),AC$3&amp;"_"&amp;AC$3)/(COUNTIF(INDEX($W$4:$W$200,INDEX($U$4:$U$11,AC$2)):INDEX($W$4:$W$200,INDEX($U$4:$U$11,AC$2)+ROW()-5),AC$3&amp;"_"&amp;AC$3)+COUNTIF(INDEX($W$4:$W$200,INDEX($U$4:$U$11,AC$2)):INDEX($W$4:$W$200,INDEX($U$4:$U$11,AC$2)+ROW()-5),AD$3&amp;"_"&amp;AC$3)))</f>
        <v>0.66666666666666663</v>
      </c>
      <c r="AD15" s="8">
        <f>IF(OR(ROW()-4&gt;INDEX($U$4:$U$11,AC$2+1)-INDEX($U$4:$U$11,AC$2),ROW()-4&gt;AD$2),NA(),COUNTIF(INDEX($W$4:$W$200,INDEX($U$4:$U$11,AC$2)):INDEX($W$4:$W$200,INDEX($U$4:$U$11,AC$2)+ROW()-5),AD$3&amp;"_"&amp;AD$3)/(COUNTIF(INDEX($W$4:$W$200,INDEX($U$4:$U$11,AC$2)):INDEX($W$4:$W$200,INDEX($U$4:$U$11,AC$2)+ROW()-5),AD$3&amp;"_"&amp;AD$3)+COUNTIF(INDEX($W$4:$W$200,INDEX($U$4:$U$11,AC$2)):INDEX($W$4:$W$200,INDEX($U$4:$U$11,AC$2)+ROW()-5),AC$3&amp;"_"&amp;AD$3)))</f>
        <v>0.4</v>
      </c>
      <c r="AE15" s="10">
        <f>IF(OR(ROW()-4&gt;INDEX($U$4:$U$11,AC$2+1)-INDEX($U$4:$U$11,AC$2),ROW()-4&gt;AD$2),NA(),COUNTIF(INDEX($W$4:$W$200,INDEX($U$4:$U$11,AC$2)):INDEX($W$4:$W$200,INDEX($U$4:$U$11,AC$2)+ROW()-5),AC$3&amp;"_"&amp;AD$3)/(COUNTIF(INDEX($W$4:$W$200,INDEX($U$4:$U$11,AC$2)):INDEX($W$4:$W$200,INDEX($U$4:$U$11,AC$2)+ROW()-5),AC$3&amp;"_"&amp;AD$3)+COUNTIF(INDEX($W$4:$W$200,INDEX($U$4:$U$11,AC$2)):INDEX($W$4:$W$200,INDEX($U$4:$U$11,AC$2)+ROW()-5),AD$3&amp;"_"&amp;AD$3)))</f>
        <v>0.6</v>
      </c>
      <c r="AF15" s="10">
        <f>IF(OR(ROW()-4&gt;INDEX($U$4:$U$11,AC$2+1)-INDEX($U$4:$U$11,AC$2),ROW()-4&gt;AD$2),NA(),COUNTIF(INDEX($W$4:$W$200,INDEX($U$4:$U$11,AC$2)):INDEX($W$4:$W$200,INDEX($U$4:$U$11,AC$2)+ROW()-5),AD$3&amp;"_"&amp;AC$3)/(COUNTIF(INDEX($W$4:$W$200,INDEX($U$4:$U$11,AC$2)):INDEX($W$4:$W$200,INDEX($U$4:$U$11,AC$2)+ROW()-5),AD$3&amp;"_"&amp;AC$3)+COUNTIF(INDEX($W$4:$W$200,INDEX($U$4:$U$11,AC$2)):INDEX($W$4:$W$200,INDEX($U$4:$U$11,AC$2)+ROW()-5),AC$3&amp;"_"&amp;AC$3)))</f>
        <v>0.33333333333333331</v>
      </c>
      <c r="AG15" s="10">
        <f>IF(OR(ROW()-4&gt;INDEX($U$4:$U$11,AC$2+1)-INDEX($U$4:$U$11,AC$2),ROW()-4&gt;AD$2),NA(),COUNTIF(INDEX($X$4:$X$200,INDEX($U$4:$U$11,AC$2)):INDEX($X$4:$X$200,INDEX($U$4:$U$11,AC$2)+ROW()-5),AC$3&amp;"_#03")/(COUNTIF(INDEX($W$4:$W$200,INDEX($U$4:$U$11,AC$2)):INDEX($W$4:$W$200,INDEX($U$4:$U$11,AC$2)+ROW()-5),AC$3&amp;"_"&amp;AC$3)+COUNTIF(INDEX($W$4:$W$200,INDEX($U$4:$U$11,AC$2)):INDEX($W$4:$W$200,INDEX($U$4:$U$11,AC$2)+ROW()-5),AD$3&amp;"_"&amp;AC$3)))</f>
        <v>0.33333333333333331</v>
      </c>
      <c r="AH15" s="10">
        <f>IF(OR(ROW()-4&gt;INDEX($U$4:$U$11,AC$2+1)-INDEX($U$4:$U$11,AC$2),ROW()-4&gt;AD$2),NA(),COUNTIF(INDEX($X$4:$X$200,INDEX($U$4:$U$11,AC$2)):INDEX($X$4:$X$200,INDEX($U$4:$U$11,AC$2)+ROW()-5),AD$3&amp;"_#03")/(COUNTIF(INDEX($W$4:$W$200,INDEX($U$4:$U$11,AC$2)):INDEX($W$4:$W$200,INDEX($U$4:$U$11,AC$2)+ROW()-5),AD$3&amp;"_"&amp;AD$3)+COUNTIF(INDEX($W$4:$W$200,INDEX($U$4:$U$11,AC$2)):INDEX($W$4:$W$200,INDEX($U$4:$U$11,AC$2)+ROW()-5),AC$3&amp;"_"&amp;AD$3)))</f>
        <v>0</v>
      </c>
      <c r="AI15" s="10">
        <f>IF(OR(ROW()-4&gt;INDEX($U$4:$U$11,AC$2+1)-INDEX($U$4:$U$11,AC$2),ROW()-4&gt;AD$2),NA(),(COUNTIF(INDEX($X$4:$X$200,INDEX($U$4:$U$11,AC$2)):INDEX($X$4:$X$200,INDEX($U$4:$U$11,AC$2)+ROW()-5),AC$3&amp;"_#03")-COUNTIF(INDEX($X$4:$X$200,INDEX($U$4:$U$11,AC$2)):INDEX($X$4:$X$200,INDEX($U$4:$U$11,AC$2)+ROW()-5),AD$3&amp;"_#02"))/(COUNTIF(INDEX($W$4:$W$200,INDEX($U$4:$U$11,AC$2)):INDEX($W$4:$W$200,INDEX($U$4:$U$11,AC$2)+ROW()-5),AC$3&amp;"_"&amp;AC$3)+COUNTIF(INDEX($W$4:$W$200,INDEX($U$4:$U$11,AC$2)):INDEX($W$4:$W$200,INDEX($U$4:$U$11,AC$2)+ROW()-5),AD$3&amp;"_"&amp;AC$3)))</f>
        <v>0.16666666666666666</v>
      </c>
      <c r="AJ15" s="10">
        <f>IF(OR(ROW()-4&gt;INDEX($U$4:$U$11,AC$2+1)-INDEX($U$4:$U$11,AC$2),ROW()-4&gt;AD$2),NA(),(COUNTIF(INDEX($X$4:$X$200,INDEX($U$4:$U$11,AC$2)):INDEX($X$4:$X$200,INDEX($U$4:$U$11,AC$2)+ROW()-5),AD$3&amp;"_#03")-COUNTIF(INDEX($X$4:$X$200,INDEX($U$4:$U$11,AC$2)):INDEX($X$4:$X$200,INDEX($U$4:$U$11,AC$2)+ROW()-5),AC$3&amp;"_#02"))/(COUNTIF(INDEX($W$4:$W$200,INDEX($U$4:$U$11,AC$2)):INDEX($W$4:$W$200,INDEX($U$4:$U$11,AC$2)+ROW()-5),AD$3&amp;"_"&amp;AD$3)+COUNTIF(INDEX($W$4:$W$200,INDEX($U$4:$U$11,AC$2)):INDEX($W$4:$W$200,INDEX($U$4:$U$11,AC$2)+ROW()-5),AC$3&amp;"_"&amp;AD$3)))</f>
        <v>-0.2</v>
      </c>
      <c r="AK15" s="10">
        <f>IF(OR(ROW()-4&gt;INDEX($U$4:$U$11,AC$2+1)-INDEX($U$4:$U$11,AC$2),ROW()-4&gt;AD$2),NA(),(COUNTIF(INDEX($X$4:$X$200,INDEX($U$4:$U$11,AC$2)):INDEX($X$4:$X$200,INDEX($U$4:$U$11,AC$2)+ROW()-5),AC$3&amp;"_#01")+COUNTIF(INDEX($X$4:$X$200,INDEX($U$4:$U$11,AC$2)):INDEX($X$4:$X$200,INDEX($U$4:$U$11,AC$2)+ROW()-5),AC$3&amp;"_#03"))/(COUNTIF(INDEX($W$4:$W$200,INDEX($U$4:$U$11,AC$2)):INDEX($W$4:$W$200,INDEX($U$4:$U$11,AC$2)+ROW()-5),AC$3&amp;"_"&amp;AC$3)+COUNTIF(INDEX($W$4:$W$200,INDEX($U$4:$U$11,AC$2)):INDEX($W$4:$W$200,INDEX($U$4:$U$11,AC$2)+ROW()-5),AD$3&amp;"_"&amp;AC$3)))</f>
        <v>0.5</v>
      </c>
      <c r="AL15" s="10">
        <f>IF(OR(ROW()-4&gt;INDEX($U$4:$U$11,AC$2+1)-INDEX($U$4:$U$11,AC$2),ROW()-4&gt;AD$2),NA(),(COUNTIF(INDEX($X$4:$X$200,INDEX($U$4:$U$11,AC$2)):INDEX($X$4:$X$200,INDEX($U$4:$U$11,AC$2)+ROW()-5),AD$3&amp;"_#01")+COUNTIF(INDEX($X$4:$X$200,INDEX($U$4:$U$11,AC$2)):INDEX($X$4:$X$200,INDEX($U$4:$U$11,AC$2)+ROW()-5),AD$3&amp;"_#03"))/(COUNTIF(INDEX($W$4:$W$200,INDEX($U$4:$U$11,AC$2)):INDEX($W$4:$W$200,INDEX($U$4:$U$11,AC$2)+ROW()-5),AD$3&amp;"_"&amp;AD$3)+COUNTIF(INDEX($W$4:$W$200,INDEX($U$4:$U$11,AC$2)):INDEX($W$4:$W$200,INDEX($U$4:$U$11,AC$2)+ROW()-5),AC$3&amp;"_"&amp;AD$3)))</f>
        <v>0.2</v>
      </c>
      <c r="AN15">
        <f t="shared" si="125"/>
        <v>11</v>
      </c>
      <c r="AO15">
        <f t="shared" si="111"/>
        <v>28</v>
      </c>
      <c r="AP15">
        <f t="shared" si="112"/>
        <v>43</v>
      </c>
      <c r="AQ15">
        <f t="shared" si="113"/>
        <v>59</v>
      </c>
      <c r="AR15" t="str">
        <f t="shared" si="114"/>
        <v/>
      </c>
      <c r="AS15" t="e">
        <f t="shared" si="115"/>
        <v>#VALUE!</v>
      </c>
      <c r="AT15" t="e">
        <f t="shared" si="116"/>
        <v>#VALUE!</v>
      </c>
      <c r="AV15" t="str">
        <f t="shared" si="117"/>
        <v>SL</v>
      </c>
      <c r="AW15" t="str">
        <f t="shared" si="63"/>
        <v>FENG Tianwei</v>
      </c>
      <c r="AX15" t="str">
        <f t="shared" si="64"/>
        <v>KIHARA Miyuu</v>
      </c>
      <c r="AY15" t="str">
        <f t="shared" si="65"/>
        <v>FENG Tianwei</v>
      </c>
      <c r="AZ15" t="e">
        <f t="shared" si="66"/>
        <v>#VALUE!</v>
      </c>
      <c r="BA15" t="e">
        <f t="shared" si="67"/>
        <v>#VALUE!</v>
      </c>
      <c r="BB15" t="e">
        <f t="shared" si="68"/>
        <v>#VALUE!</v>
      </c>
      <c r="BD15" t="str">
        <f t="shared" si="118"/>
        <v>KIHARA Miyuu</v>
      </c>
      <c r="BE15" t="str">
        <f t="shared" si="69"/>
        <v>FENG Tianwei</v>
      </c>
      <c r="BF15" t="str">
        <f t="shared" si="70"/>
        <v>KIHARA Miyuu</v>
      </c>
      <c r="BG15" t="str">
        <f t="shared" si="71"/>
        <v>FENG Tianwei</v>
      </c>
      <c r="BH15" t="e">
        <f t="shared" si="72"/>
        <v>#VALUE!</v>
      </c>
      <c r="BI15" t="e">
        <f t="shared" si="73"/>
        <v>#VALUE!</v>
      </c>
      <c r="BJ15" t="e">
        <f t="shared" si="74"/>
        <v>#VALUE!</v>
      </c>
      <c r="BL15" t="str">
        <f t="shared" si="119"/>
        <v>KIHARA Miyuu_SL</v>
      </c>
      <c r="BM15" t="str">
        <f t="shared" si="75"/>
        <v>FENG Tianwei_Back</v>
      </c>
      <c r="BN15" t="str">
        <f t="shared" si="76"/>
        <v>KIHARA Miyuu_(Side)</v>
      </c>
      <c r="BO15" t="str">
        <f t="shared" si="77"/>
        <v>FENG Tianwei_Side</v>
      </c>
      <c r="BP15" t="e">
        <f t="shared" si="78"/>
        <v>#VALUE!</v>
      </c>
      <c r="BQ15" t="e">
        <f t="shared" si="79"/>
        <v>#VALUE!</v>
      </c>
      <c r="BR15" t="e">
        <f t="shared" si="80"/>
        <v>#VALUE!</v>
      </c>
      <c r="BT15" t="str">
        <f t="shared" si="120"/>
        <v>KIHARA Miyuu_SL</v>
      </c>
      <c r="BU15" t="str">
        <f t="shared" si="81"/>
        <v>FENG Tianwei_F</v>
      </c>
      <c r="BV15" t="str">
        <f t="shared" si="82"/>
        <v>KIHARA Miyuu_B</v>
      </c>
      <c r="BW15" t="str">
        <f t="shared" si="83"/>
        <v>FENG Tianwei_B</v>
      </c>
      <c r="BX15" t="e">
        <f t="shared" si="84"/>
        <v>#VALUE!</v>
      </c>
      <c r="BY15" t="e">
        <f t="shared" si="85"/>
        <v>#VALUE!</v>
      </c>
      <c r="BZ15" t="e">
        <f t="shared" si="86"/>
        <v>#VALUE!</v>
      </c>
      <c r="CB15" t="str">
        <f t="shared" si="121"/>
        <v>KIHARA Miyuu_SL</v>
      </c>
      <c r="CC15" t="str">
        <f t="shared" si="87"/>
        <v>FENG Tianwei_FS</v>
      </c>
      <c r="CD15" t="str">
        <f t="shared" si="88"/>
        <v>KIHARA Miyuu_FS</v>
      </c>
      <c r="CE15" t="str">
        <f t="shared" si="89"/>
        <v>FENG Tianwei_BM</v>
      </c>
      <c r="CF15" t="e">
        <f t="shared" si="90"/>
        <v>#VALUE!</v>
      </c>
      <c r="CG15" t="e">
        <f t="shared" si="91"/>
        <v>#VALUE!</v>
      </c>
      <c r="CH15" t="e">
        <f t="shared" si="92"/>
        <v>#VALUE!</v>
      </c>
      <c r="CJ15" t="str">
        <f t="shared" si="122"/>
        <v>FENG Tianwei_SL</v>
      </c>
      <c r="CK15" t="str">
        <f t="shared" si="93"/>
        <v>KIHARA Miyuu_F</v>
      </c>
      <c r="CL15" t="str">
        <f t="shared" si="94"/>
        <v>FENG Tianwei_F</v>
      </c>
      <c r="CM15" t="str">
        <f t="shared" si="95"/>
        <v>KIHARA Miyuu_F</v>
      </c>
      <c r="CN15" t="e">
        <f t="shared" si="96"/>
        <v>#VALUE!</v>
      </c>
      <c r="CO15" t="e">
        <f t="shared" si="97"/>
        <v>#VALUE!</v>
      </c>
      <c r="CP15" t="e">
        <f t="shared" si="98"/>
        <v>#VALUE!</v>
      </c>
      <c r="CR15" t="str">
        <f t="shared" si="123"/>
        <v>FENG Tianwei_SL</v>
      </c>
      <c r="CS15" t="str">
        <f t="shared" si="99"/>
        <v>KIHARA Miyuu_Push</v>
      </c>
      <c r="CT15" t="str">
        <f t="shared" si="100"/>
        <v>FENG Tianwei_Push</v>
      </c>
      <c r="CU15" t="str">
        <f t="shared" si="101"/>
        <v>KIHARA Miyuu_ドライブ</v>
      </c>
      <c r="CV15" t="e">
        <f t="shared" si="102"/>
        <v>#VALUE!</v>
      </c>
      <c r="CW15" t="e">
        <f t="shared" si="103"/>
        <v>#VALUE!</v>
      </c>
      <c r="CX15" t="e">
        <f t="shared" si="104"/>
        <v>#VALUE!</v>
      </c>
      <c r="CZ15" t="str">
        <f t="shared" si="124"/>
        <v>FENG Tianwei_SL</v>
      </c>
      <c r="DA15" t="str">
        <f t="shared" si="105"/>
        <v>KIHARA Miyuu_BM</v>
      </c>
      <c r="DB15" t="str">
        <f t="shared" si="106"/>
        <v>FENG Tianwei_ネット</v>
      </c>
      <c r="DC15" t="str">
        <f t="shared" si="107"/>
        <v>KIHARA Miyuu_オーバーミス</v>
      </c>
      <c r="DD15" t="e">
        <f t="shared" si="108"/>
        <v>#VALUE!</v>
      </c>
      <c r="DE15" t="e">
        <f t="shared" si="109"/>
        <v>#VALUE!</v>
      </c>
      <c r="DF15" t="e">
        <f t="shared" si="110"/>
        <v>#VALUE!</v>
      </c>
      <c r="DH15">
        <f>IF(OR(ROW()-4&gt;INDEX($U$4:$U$11,$AC$2+1,1)-INDEX($U$4:$U$11,$AC$2,1),ROW()-4&gt;$AD$2),NA(),COUNTIF(INDEX($BL$5:$BR$50,INDEX($U$4:$U$11,1,1),$AC$2):INDEX($BL$5:$BR$50,INDEX($U$4:$U$11,1,1)+ROW()-5,$AC$2),DH$3))</f>
        <v>2</v>
      </c>
      <c r="DI15">
        <f>IF(OR(ROW()-4&gt;INDEX($U$4:$U$11,$AC$2+1,1)-INDEX($U$4:$U$11,$AC$2,1),ROW()-4&gt;$AD$2),NA(),COUNTIF(INDEX($BL$5:$BR$50,INDEX($U$4:$U$11,1,1),$AC$2):INDEX($BL$5:$BR$50,INDEX($U$4:$U$11,1,1)+ROW()-5,$AC$2),DI$3))</f>
        <v>4</v>
      </c>
      <c r="DJ15">
        <f>IF(OR(ROW()-4&gt;INDEX($U$4:$U$11,$AC$2+1,1)-INDEX($U$4:$U$11,$AC$2,1),ROW()-4&gt;$AD$2),NA(),COUNTIF(INDEX($BL$5:$BR$50,INDEX($U$4:$U$11,1,1),$AC$2):INDEX($BL$5:$BR$50,INDEX($U$4:$U$11,1,1)+ROW()-5,$AC$2),DJ$3))</f>
        <v>0</v>
      </c>
      <c r="DL15">
        <f>IF(OR(ROW()-4&gt;INDEX($U$4:$U$11,$AC$2+1,1)-INDEX($U$4:$U$11,$AC$2,1),ROW()-4&gt;$AD$2),NA(),COUNTIF(INDEX($BL$5:$BR$50,INDEX($U$4:$U$11,1,1),$AC$2):INDEX($BL$5:$BR$50,INDEX($U$4:$U$11,1,1)+ROW()-5,$AC$2),DL$3))</f>
        <v>0</v>
      </c>
      <c r="DM15">
        <f>IF(OR(ROW()-4&gt;INDEX($U$4:$U$11,$AC$2+1,1)-INDEX($U$4:$U$11,$AC$2,1),ROW()-4&gt;$AD$2),NA(),COUNTIF(INDEX($BL$5:$BR$50,INDEX($U$4:$U$11,1,1),$AC$2):INDEX($BL$5:$BR$50,INDEX($U$4:$U$11,1,1)+ROW()-5,$AC$2),DM$3))</f>
        <v>0</v>
      </c>
      <c r="DN15">
        <f>IF(OR(ROW()-4&gt;INDEX($U$4:$U$11,$AC$2+1,1)-INDEX($U$4:$U$11,$AC$2,1),ROW()-4&gt;$AD$2),NA(),COUNTIF(INDEX($BL$5:$BR$50,INDEX($U$4:$U$11,1,1),$AC$2):INDEX($BL$5:$BR$50,INDEX($U$4:$U$11,1,1)+ROW()-5,$AC$2),DN$3))</f>
        <v>5</v>
      </c>
      <c r="DP15">
        <f>IF(OR(ROW()-4&gt;INDEX($U$4:$U$11,$AC$2+1,1)-INDEX($U$4:$U$11,$AC$2,1),ROW()-4&gt;$AD$2),NA(),COUNTIF(INDEX($BT$5:$BZ$201,INDEX($U$4:$U$11,1,1),$AC$2):INDEX($BT$5:$BZ$201,INDEX($U$4:$U$11,1,1)+ROW()-5,$AC$2),DP$3))</f>
        <v>6</v>
      </c>
      <c r="DQ15">
        <f>IF(OR(ROW()-4&gt;INDEX($U$4:$U$11,$AC$2+1,1)-INDEX($U$4:$U$11,$AC$2,1),ROW()-4&gt;$AD$2),NA(),COUNTIF(INDEX($BT$5:$BZ$201,INDEX($U$4:$U$11,1,1),$AC$2):INDEX($BT$5:$BZ$201,INDEX($U$4:$U$11,1,1)+ROW()-5,$AC$2),DQ$3))</f>
        <v>0</v>
      </c>
      <c r="DS15">
        <f>IF(OR(ROW()-4&gt;INDEX($U$4:$U$11,$AC$2+1,1)-INDEX($U$4:$U$11,$AC$2,1),ROW()-4&gt;$AD$2),NA(),COUNTIF(INDEX($BT$5:$BZ$201,INDEX($U$4:$U$11,1,1),$AC$2):INDEX($BT$5:$BZ$201,INDEX($U$4:$U$11,1,1)+ROW()-5,$AC$2),DS$3))</f>
        <v>5</v>
      </c>
      <c r="DT15">
        <f>IF(OR(ROW()-4&gt;INDEX($U$4:$U$11,$AC$2+1,1)-INDEX($U$4:$U$11,$AC$2,1),ROW()-4&gt;$AD$2),NA(),COUNTIF(INDEX($BT$5:$BZ$201,INDEX($U$4:$U$11,1,1),$AC$2):INDEX($BT$5:$BZ$201,INDEX($U$4:$U$11,1,1)+ROW()-5,$AC$2),DT$3))</f>
        <v>0</v>
      </c>
      <c r="DV15">
        <f>IF(OR(ROW()-4&gt;INDEX($U$4:$U$11,$AC$2+1,1)-INDEX($U$4:$U$11,$AC$2,1),ROW()-4&gt;$AD$2),NA(),COUNTIF(INDEX($CB$5:$CH$201,INDEX($U$4:$U$11,1,1),$AC$2):INDEX($CB$5:$CH$201,INDEX($U$4:$U$11,1,1)+ROW()-5,$AC$2),DV$3))</f>
        <v>0</v>
      </c>
      <c r="DW15">
        <f>IF(OR(ROW()-4&gt;INDEX($U$4:$U$11,$AC$2+1,1)-INDEX($U$4:$U$11,$AC$2,1),ROW()-4&gt;$AD$2),NA(),COUNTIF(INDEX($CB$5:$CH$201,INDEX($U$4:$U$11,1,1),$AC$2):INDEX($CB$5:$CH$201,INDEX($U$4:$U$11,1,1)+ROW()-5,$AC$2),DW$3))</f>
        <v>0</v>
      </c>
      <c r="DX15">
        <f>IF(OR(ROW()-4&gt;INDEX($U$4:$U$11,$AC$2+1,1)-INDEX($U$4:$U$11,$AC$2,1),ROW()-4&gt;$AD$2),NA(),COUNTIF(INDEX($CB$5:$CH$201,INDEX($U$4:$U$11,1,1),$AC$2):INDEX($CB$5:$CH$201,INDEX($U$4:$U$11,1,1)+ROW()-5,$AC$2),DX$3))</f>
        <v>3</v>
      </c>
      <c r="DY15">
        <f>IF(OR(ROW()-4&gt;INDEX($U$4:$U$11,$AC$2+1,1)-INDEX($U$4:$U$11,$AC$2,1),ROW()-4&gt;$AD$2),NA(),COUNTIF(INDEX($CB$5:$CH$201,INDEX($U$4:$U$11,1,1),$AC$2):INDEX($CB$5:$CH$201,INDEX($U$4:$U$11,1,1)+ROW()-5,$AC$2),DY$3))</f>
        <v>1</v>
      </c>
      <c r="DZ15">
        <f>IF(OR(ROW()-4&gt;INDEX($U$4:$U$11,$AC$2+1,1)-INDEX($U$4:$U$11,$AC$2,1),ROW()-4&gt;$AD$2),NA(),COUNTIF(INDEX($CB$5:$CH$201,INDEX($U$4:$U$11,1,1),$AC$2):INDEX($CB$5:$CH$201,INDEX($U$4:$U$11,1,1)+ROW()-5,$AC$2),DZ$3))</f>
        <v>1</v>
      </c>
      <c r="EA15">
        <f>IF(OR(ROW()-4&gt;INDEX($U$4:$U$11,$AC$2+1,1)-INDEX($U$4:$U$11,$AC$2,1),ROW()-4&gt;$AD$2),NA(),COUNTIF(INDEX($CB$5:$CH$201,INDEX($U$4:$U$11,1,1),$AC$2):INDEX($CB$5:$CH$201,INDEX($U$4:$U$11,1,1)+ROW()-5,$AC$2),EA$3))</f>
        <v>1</v>
      </c>
      <c r="EB15">
        <f>IF(OR(ROW()-4&gt;INDEX($U$4:$U$11,$AC$2+1,1)-INDEX($U$4:$U$11,$AC$2,1),ROW()-4&gt;$AD$2),NA(),COUNTIF(INDEX($CB$5:$CH$201,INDEX($U$4:$U$11,1,1),$AC$2):INDEX($CB$5:$CH$201,INDEX($U$4:$U$11,1,1)+ROW()-5,$AC$2),EB$3))</f>
        <v>0</v>
      </c>
      <c r="EC15">
        <f>IF(OR(ROW()-4&gt;INDEX($U$4:$U$11,$AC$2+1,1)-INDEX($U$4:$U$11,$AC$2,1),ROW()-4&gt;$AD$2),NA(),COUNTIF(INDEX($CB$5:$CH$201,INDEX($U$4:$U$11,1,1),$AC$2):INDEX($CB$5:$CH$201,INDEX($U$4:$U$11,1,1)+ROW()-5,$AC$2),EC$3))</f>
        <v>0</v>
      </c>
      <c r="EE15">
        <f>IF(OR(ROW()-4&gt;INDEX($U$4:$U$11,$AC$2+1,1)-INDEX($U$4:$U$11,$AC$2,1),ROW()-4&gt;$AD$2),NA(),COUNTIF(INDEX($CB$5:$CH$201,INDEX($U$4:$U$11,1,1),$AC$2):INDEX($CB$5:$CH$201,INDEX($U$4:$U$11,1,1)+ROW()-5,$AC$2),EE$3))</f>
        <v>0</v>
      </c>
      <c r="EF15">
        <f>IF(OR(ROW()-4&gt;INDEX($U$4:$U$11,$AC$2+1,1)-INDEX($U$4:$U$11,$AC$2,1),ROW()-4&gt;$AD$2),NA(),COUNTIF(INDEX($CB$5:$CH$201,INDEX($U$4:$U$11,1,1),$AC$2):INDEX($CB$5:$CH$201,INDEX($U$4:$U$11,1,1)+ROW()-5,$AC$2),EF$3))</f>
        <v>0</v>
      </c>
      <c r="EG15">
        <f>IF(OR(ROW()-4&gt;INDEX($U$4:$U$11,$AC$2+1,1)-INDEX($U$4:$U$11,$AC$2,1),ROW()-4&gt;$AD$2),NA(),COUNTIF(INDEX($CB$5:$CH$201,INDEX($U$4:$U$11,1,1),$AC$2):INDEX($CB$5:$CH$201,INDEX($U$4:$U$11,1,1)+ROW()-5,$AC$2),EG$3))</f>
        <v>0</v>
      </c>
      <c r="EH15">
        <f>IF(OR(ROW()-4&gt;INDEX($U$4:$U$11,$AC$2+1,1)-INDEX($U$4:$U$11,$AC$2,1),ROW()-4&gt;$AD$2),NA(),COUNTIF(INDEX($CB$5:$CH$201,INDEX($U$4:$U$11,1,1),$AC$2):INDEX($CB$5:$CH$201,INDEX($U$4:$U$11,1,1)+ROW()-5,$AC$2),EH$3))</f>
        <v>1</v>
      </c>
      <c r="EI15">
        <f>IF(OR(ROW()-4&gt;INDEX($U$4:$U$11,$AC$2+1,1)-INDEX($U$4:$U$11,$AC$2,1),ROW()-4&gt;$AD$2),NA(),COUNTIF(INDEX($CB$5:$CH$201,INDEX($U$4:$U$11,1,1),$AC$2):INDEX($CB$5:$CH$201,INDEX($U$4:$U$11,1,1)+ROW()-5,$AC$2),EI$3))</f>
        <v>3</v>
      </c>
      <c r="EJ15">
        <f>IF(OR(ROW()-4&gt;INDEX($U$4:$U$11,$AC$2+1,1)-INDEX($U$4:$U$11,$AC$2,1),ROW()-4&gt;$AD$2),NA(),COUNTIF(INDEX($CB$5:$CH$201,INDEX($U$4:$U$11,1,1),$AC$2):INDEX($CB$5:$CH$201,INDEX($U$4:$U$11,1,1)+ROW()-5,$AC$2),EJ$3))</f>
        <v>1</v>
      </c>
      <c r="EK15">
        <f>IF(OR(ROW()-4&gt;INDEX($U$4:$U$11,$AC$2+1,1)-INDEX($U$4:$U$11,$AC$2,1),ROW()-4&gt;$AD$2),NA(),COUNTIF(INDEX($CB$5:$CH$201,INDEX($U$4:$U$11,1,1),$AC$2):INDEX($CB$5:$CH$201,INDEX($U$4:$U$11,1,1)+ROW()-5,$AC$2),EK$3))</f>
        <v>0</v>
      </c>
      <c r="EL15">
        <f>IF(OR(ROW()-4&gt;INDEX($U$4:$U$11,$AC$2+1,1)-INDEX($U$4:$U$11,$AC$2,1),ROW()-4&gt;$AD$2),NA(),COUNTIF(INDEX($CB$5:$CH$201,INDEX($U$4:$U$11,1,1),$AC$2):INDEX($CB$5:$CH$201,INDEX($U$4:$U$11,1,1)+ROW()-5,$AC$2),EL$3))</f>
        <v>0</v>
      </c>
      <c r="EN15">
        <f>IF(OR(ROW()-4&gt;INDEX($U$4:$U$11,$AC$2+1,1)-INDEX($U$4:$U$11,$AC$2,1),ROW()-4&gt;$AD$2),NA(),COUNTIF(INDEX($CJ$5:$CP$201,INDEX($U$4:$U$11,1,1),$AC$2):INDEX($CJ$5:$CP$201,INDEX($U$4:$U$11,1,1)+ROW()-5,$AC$2),EN$3))</f>
        <v>2</v>
      </c>
      <c r="EO15">
        <f>IF(OR(ROW()-4&gt;INDEX($U$4:$U$11,$AC$2+1,1)-INDEX($U$4:$U$11,$AC$2,1),ROW()-4&gt;$AD$2),NA(),COUNTIF(INDEX($CJ$5:$CP$201,INDEX($U$4:$U$11,1,1),$AC$2):INDEX($CJ$5:$CP$201,INDEX($U$4:$U$11,1,1)+ROW()-5,$AC$2),EO$3))</f>
        <v>2</v>
      </c>
      <c r="EQ15">
        <f>IF(OR(ROW()-4&gt;INDEX($U$4:$U$11,$AC$2+1,1)-INDEX($U$4:$U$11,$AC$2,1),ROW()-4&gt;$AD$2),NA(),COUNTIF(INDEX($CJ$5:$CP$201,INDEX($U$4:$U$11,1,1),$AC$2):INDEX($CJ$5:$CP$201,INDEX($U$4:$U$11,1,1)+ROW()-5,$AC$2),EQ$3))</f>
        <v>5</v>
      </c>
      <c r="ER15">
        <f>IF(OR(ROW()-4&gt;INDEX($U$4:$U$11,$AC$2+1,1)-INDEX($U$4:$U$11,$AC$2,1),ROW()-4&gt;$AD$2),NA(),COUNTIF(INDEX($CJ$5:$CP$201,INDEX($U$4:$U$11,1,1),$AC$2):INDEX($CJ$5:$CP$201,INDEX($U$4:$U$11,1,1)+ROW()-5,$AC$2),ER$3))</f>
        <v>1</v>
      </c>
      <c r="ET15">
        <f>IF(OR(ROW()-4&gt;INDEX($U$4:$U$11,$AC$2+1,1)-INDEX($U$4:$U$11,$AC$2,1),ROW()-4&gt;$AD$2),NA(),COUNTIF(INDEX($CR$5:$CX$201,INDEX($U$4:$U$11,1,1),$AC$2):INDEX($CR$5:$CX$201,INDEX($U$4:$U$11,1,1)+ROW()-5,$AC$2),ET$3))</f>
        <v>1</v>
      </c>
      <c r="EU15">
        <f>IF(OR(ROW()-4&gt;INDEX($U$4:$U$11,$AC$2+1,1)-INDEX($U$4:$U$11,$AC$2,1),ROW()-4&gt;$AD$2),NA(),COUNTIF(INDEX($CR$5:$CX$201,INDEX($U$4:$U$11,1,1),$AC$2):INDEX($CR$5:$CX$201,INDEX($U$4:$U$11,1,1)+ROW()-5,$AC$2),EU$3))</f>
        <v>0</v>
      </c>
      <c r="EV15">
        <f>IF(OR(ROW()-4&gt;INDEX($U$4:$U$11,$AC$2+1,1)-INDEX($U$4:$U$11,$AC$2,1),ROW()-4&gt;$AD$2),NA(),COUNTIF(INDEX($CR$5:$CX$201,INDEX($U$4:$U$11,1,1),$AC$2):INDEX($CR$5:$CX$201,INDEX($U$4:$U$11,1,1)+ROW()-5,$AC$2),EV$3))</f>
        <v>2</v>
      </c>
      <c r="EW15">
        <f>IF(OR(ROW()-4&gt;INDEX($U$4:$U$11,$AC$2+1,1)-INDEX($U$4:$U$11,$AC$2,1),ROW()-4&gt;$AD$2),NA(),COUNTIF(INDEX($CR$5:$CX$201,INDEX($U$4:$U$11,1,1),$AC$2):INDEX($CR$5:$CX$201,INDEX($U$4:$U$11,1,1)+ROW()-5,$AC$2),EW$3))</f>
        <v>1</v>
      </c>
      <c r="EX15">
        <f>IF(OR(ROW()-4&gt;INDEX($U$4:$U$11,$AC$2+1,1)-INDEX($U$4:$U$11,$AC$2,1),ROW()-4&gt;$AD$2),NA(),COUNTIF(INDEX($CR$5:$CX$201,INDEX($U$4:$U$11,1,1),$AC$2):INDEX($CR$5:$CX$201,INDEX($U$4:$U$11,1,1)+ROW()-5,$AC$2),EX$3))</f>
        <v>0</v>
      </c>
      <c r="EY15">
        <f>IF(OR(ROW()-4&gt;INDEX($U$4:$U$11,$AC$2+1,1)-INDEX($U$4:$U$11,$AC$2,1),ROW()-4&gt;$AD$2),NA(),COUNTIF(INDEX($CR$5:$CX$201,INDEX($U$4:$U$11,1,1),$AC$2):INDEX($CR$5:$CX$201,INDEX($U$4:$U$11,1,1)+ROW()-5,$AC$2),EY$3))</f>
        <v>1</v>
      </c>
      <c r="EZ15">
        <f>IF(OR(ROW()-4&gt;INDEX($U$4:$U$11,$AC$2+1,1)-INDEX($U$4:$U$11,$AC$2,1),ROW()-4&gt;$AD$2),NA(),COUNTIF(INDEX($CR$5:$CX$201,INDEX($U$4:$U$11,1,1),$AC$2):INDEX($CR$5:$CX$201,INDEX($U$4:$U$11,1,1)+ROW()-5,$AC$2),EZ$3))</f>
        <v>0</v>
      </c>
      <c r="FA15">
        <f>IF(OR(ROW()-4&gt;INDEX($U$4:$U$11,$AC$2+1,1)-INDEX($U$4:$U$11,$AC$2,1),ROW()-4&gt;$AD$2),NA(),COUNTIF(INDEX($CR$5:$CX$201,INDEX($U$4:$U$11,1,1),$AC$2):INDEX($CR$5:$CX$201,INDEX($U$4:$U$11,1,1)+ROW()-5,$AC$2),FA$3))</f>
        <v>0</v>
      </c>
      <c r="FC15">
        <f>IF(OR(ROW()-4&gt;INDEX($U$4:$U$11,$AC$2+1,1)-INDEX($U$4:$U$11,$AC$2,1),ROW()-4&gt;$AD$2),NA(),COUNTIF(INDEX($CR$5:$CX$201,INDEX($U$4:$U$11,1,1),$AC$2):INDEX($CR$5:$CX$201,INDEX($U$4:$U$11,1,1)+ROW()-5,$AC$2),FC$3))</f>
        <v>0</v>
      </c>
      <c r="FD15">
        <f>IF(OR(ROW()-4&gt;INDEX($U$4:$U$11,$AC$2+1,1)-INDEX($U$4:$U$11,$AC$2,1),ROW()-4&gt;$AD$2),NA(),COUNTIF(INDEX($CR$5:$CX$201,INDEX($U$4:$U$11,1,1),$AC$2):INDEX($CR$5:$CX$201,INDEX($U$4:$U$11,1,1)+ROW()-5,$AC$2),FD$3))</f>
        <v>0</v>
      </c>
      <c r="FE15">
        <f>IF(OR(ROW()-4&gt;INDEX($U$4:$U$11,$AC$2+1,1)-INDEX($U$4:$U$11,$AC$2,1),ROW()-4&gt;$AD$2),NA(),COUNTIF(INDEX($CR$5:$CX$201,INDEX($U$4:$U$11,1,1),$AC$2):INDEX($CR$5:$CX$201,INDEX($U$4:$U$11,1,1)+ROW()-5,$AC$2),FE$3))</f>
        <v>0</v>
      </c>
      <c r="FF15">
        <f>IF(OR(ROW()-4&gt;INDEX($U$4:$U$11,$AC$2+1,1)-INDEX($U$4:$U$11,$AC$2,1),ROW()-4&gt;$AD$2),NA(),COUNTIF(INDEX($CR$5:$CX$201,INDEX($U$4:$U$11,1,1),$AC$2):INDEX($CR$5:$CX$201,INDEX($U$4:$U$11,1,1)+ROW()-5,$AC$2),FF$3))</f>
        <v>2</v>
      </c>
      <c r="FG15">
        <f>IF(OR(ROW()-4&gt;INDEX($U$4:$U$11,$AC$2+1,1)-INDEX($U$4:$U$11,$AC$2,1),ROW()-4&gt;$AD$2),NA(),COUNTIF(INDEX($CR$5:$CX$201,INDEX($U$4:$U$11,1,1),$AC$2):INDEX($CR$5:$CX$201,INDEX($U$4:$U$11,1,1)+ROW()-5,$AC$2),FG$3))</f>
        <v>0</v>
      </c>
      <c r="FH15">
        <f>IF(OR(ROW()-4&gt;INDEX($U$4:$U$11,$AC$2+1,1)-INDEX($U$4:$U$11,$AC$2,1),ROW()-4&gt;$AD$2),NA(),COUNTIF(INDEX($CR$5:$CX$201,INDEX($U$4:$U$11,1,1),$AC$2):INDEX($CR$5:$CX$201,INDEX($U$4:$U$11,1,1)+ROW()-5,$AC$2),FH$3))</f>
        <v>4</v>
      </c>
      <c r="FI15">
        <f>IF(OR(ROW()-4&gt;INDEX($U$4:$U$11,$AC$2+1,1)-INDEX($U$4:$U$11,$AC$2,1),ROW()-4&gt;$AD$2),NA(),COUNTIF(INDEX($CR$5:$CX$201,INDEX($U$4:$U$11,1,1),$AC$2):INDEX($CR$5:$CX$201,INDEX($U$4:$U$11,1,1)+ROW()-5,$AC$2),FI$3))</f>
        <v>0</v>
      </c>
      <c r="FJ15">
        <f>IF(OR(ROW()-4&gt;INDEX($U$4:$U$11,$AC$2+1,1)-INDEX($U$4:$U$11,$AC$2,1),ROW()-4&gt;$AD$2),NA(),COUNTIF(INDEX($CR$5:$CX$201,INDEX($U$4:$U$11,1,1),$AC$2):INDEX($CR$5:$CX$201,INDEX($U$4:$U$11,1,1)+ROW()-5,$AC$2),FJ$3))</f>
        <v>0</v>
      </c>
      <c r="FL15">
        <f>IF(OR(ROW()-4&gt;INDEX($U$4:$U$11,$AC$2+1,1)-INDEX($U$4:$U$11,$AC$2,1),ROW()-4&gt;$AD$2),NA(),COUNTIF(INDEX($CZ$5:$DF$201,INDEX($U$4:$U$11,1,1),$AC$2):INDEX($CZ$5:$DF$201,INDEX($U$4:$U$11,1,1)+ROW()-5,$AC$2),FL$3))</f>
        <v>0</v>
      </c>
      <c r="FM15">
        <f>IF(OR(ROW()-4&gt;INDEX($U$4:$U$11,$AC$2+1,1)-INDEX($U$4:$U$11,$AC$2,1),ROW()-4&gt;$AD$2),NA(),COUNTIF(INDEX($CZ$5:$DF$201,INDEX($U$4:$U$11,1,1),$AC$2):INDEX($CZ$5:$DF$201,INDEX($U$4:$U$11,1,1)+ROW()-5,$AC$2),FM$3))</f>
        <v>1</v>
      </c>
      <c r="FN15">
        <f>IF(OR(ROW()-4&gt;INDEX($U$4:$U$11,$AC$2+1,1)-INDEX($U$4:$U$11,$AC$2,1),ROW()-4&gt;$AD$2),NA(),COUNTIF(INDEX($CZ$5:$DF$201,INDEX($U$4:$U$11,1,1),$AC$2):INDEX($CZ$5:$DF$201,INDEX($U$4:$U$11,1,1)+ROW()-5,$AC$2),FN$3))</f>
        <v>0</v>
      </c>
      <c r="FO15">
        <f>IF(OR(ROW()-4&gt;INDEX($U$4:$U$11,$AC$2+1,1)-INDEX($U$4:$U$11,$AC$2,1),ROW()-4&gt;$AD$2),NA(),COUNTIF(INDEX($CZ$5:$DF$201,INDEX($U$4:$U$11,1,1),$AC$2):INDEX($CZ$5:$DF$201,INDEX($U$4:$U$11,1,1)+ROW()-5,$AC$2),FO$3))</f>
        <v>2</v>
      </c>
      <c r="FP15">
        <f>IF(OR(ROW()-4&gt;INDEX($U$4:$U$11,$AC$2+1,1)-INDEX($U$4:$U$11,$AC$2,1),ROW()-4&gt;$AD$2),NA(),COUNTIF(INDEX($CZ$5:$DF$201,INDEX($U$4:$U$11,1,1),$AC$2):INDEX($CZ$5:$DF$201,INDEX($U$4:$U$11,1,1)+ROW()-5,$AC$2),FP$3))</f>
        <v>0</v>
      </c>
      <c r="FQ15">
        <f>IF(OR(ROW()-4&gt;INDEX($U$4:$U$11,$AC$2+1,1)-INDEX($U$4:$U$11,$AC$2,1),ROW()-4&gt;$AD$2),NA(),COUNTIF(INDEX($CZ$5:$DF$201,INDEX($U$4:$U$11,1,1),$AC$2):INDEX($CZ$5:$DF$201,INDEX($U$4:$U$11,1,1)+ROW()-5,$AC$2),FQ$3))</f>
        <v>1</v>
      </c>
      <c r="FR15">
        <f>IF(OR(ROW()-4&gt;INDEX($U$4:$U$11,$AC$2+1,1)-INDEX($U$4:$U$11,$AC$2,1),ROW()-4&gt;$AD$2),NA(),COUNTIF(INDEX($CZ$5:$DF$201,INDEX($U$4:$U$11,1,1),$AC$2):INDEX($CZ$5:$DF$201,INDEX($U$4:$U$11,1,1)+ROW()-5,$AC$2),FR$3))</f>
        <v>0</v>
      </c>
      <c r="FS15">
        <f>IF(OR(ROW()-4&gt;INDEX($U$4:$U$11,$AC$2+1,1)-INDEX($U$4:$U$11,$AC$2,1),ROW()-4&gt;$AD$2),NA(),COUNTIF(INDEX($CZ$5:$DF$201,INDEX($U$4:$U$11,1,1),$AC$2):INDEX($CZ$5:$DF$201,INDEX($U$4:$U$11,1,1)+ROW()-5,$AC$2),FS$3))</f>
        <v>0</v>
      </c>
      <c r="FT15">
        <f>IF(OR(ROW()-4&gt;INDEX($U$4:$U$11,$AC$2+1,1)-INDEX($U$4:$U$11,$AC$2,1),ROW()-4&gt;$AD$2),NA(),COUNTIF(INDEX($CZ$5:$DF$201,INDEX($U$4:$U$11,1,1),$AC$2):INDEX($CZ$5:$DF$201,INDEX($U$4:$U$11,1,1)+ROW()-5,$AC$2),FT$3))</f>
        <v>0</v>
      </c>
      <c r="FU15">
        <f>IF(OR(ROW()-4&gt;INDEX($U$4:$U$11,$AC$2+1,1)-INDEX($U$4:$U$11,$AC$2,1),ROW()-4&gt;$AD$2),NA(),COUNTIF(INDEX($CZ$5:$DF$201,INDEX($U$4:$U$11,1,1),$AC$2):INDEX($CZ$5:$DF$201,INDEX($U$4:$U$11,1,1)+ROW()-5,$AC$2),FU$3))</f>
        <v>1</v>
      </c>
      <c r="FW15">
        <f>IF(OR(ROW()-4&gt;INDEX($U$4:$U$11,$AC$2+1,1)-INDEX($U$4:$U$11,$AC$2,1),ROW()-4&gt;$AD$2),NA(),COUNTIF(INDEX($CZ$5:$DF$201,INDEX($U$4:$U$11,1,1),$AC$2):INDEX($CZ$5:$DF$201,INDEX($U$4:$U$11,1,1)+ROW()-5,$AC$2),FW$3))</f>
        <v>0</v>
      </c>
      <c r="FX15">
        <f>IF(OR(ROW()-4&gt;INDEX($U$4:$U$11,$AC$2+1,1)-INDEX($U$4:$U$11,$AC$2,1),ROW()-4&gt;$AD$2),NA(),COUNTIF(INDEX($CZ$5:$DF$201,INDEX($U$4:$U$11,1,1),$AC$2):INDEX($CZ$5:$DF$201,INDEX($U$4:$U$11,1,1)+ROW()-5,$AC$2),FX$3))</f>
        <v>1</v>
      </c>
      <c r="FY15">
        <f>IF(OR(ROW()-4&gt;INDEX($U$4:$U$11,$AC$2+1,1)-INDEX($U$4:$U$11,$AC$2,1),ROW()-4&gt;$AD$2),NA(),COUNTIF(INDEX($CZ$5:$DF$201,INDEX($U$4:$U$11,1,1),$AC$2):INDEX($CZ$5:$DF$201,INDEX($U$4:$U$11,1,1)+ROW()-5,$AC$2),FY$3))</f>
        <v>0</v>
      </c>
      <c r="FZ15">
        <f>IF(OR(ROW()-4&gt;INDEX($U$4:$U$11,$AC$2+1,1)-INDEX($U$4:$U$11,$AC$2,1),ROW()-4&gt;$AD$2),NA(),COUNTIF(INDEX($CZ$5:$DF$201,INDEX($U$4:$U$11,1,1),$AC$2):INDEX($CZ$5:$DF$201,INDEX($U$4:$U$11,1,1)+ROW()-5,$AC$2),FZ$3))</f>
        <v>0</v>
      </c>
      <c r="GA15">
        <f>IF(OR(ROW()-4&gt;INDEX($U$4:$U$11,$AC$2+1,1)-INDEX($U$4:$U$11,$AC$2,1),ROW()-4&gt;$AD$2),NA(),COUNTIF(INDEX($CZ$5:$DF$201,INDEX($U$4:$U$11,1,1),$AC$2):INDEX($CZ$5:$DF$201,INDEX($U$4:$U$11,1,1)+ROW()-5,$AC$2),GA$3))</f>
        <v>1</v>
      </c>
      <c r="GB15">
        <f>IF(OR(ROW()-4&gt;INDEX($U$4:$U$11,$AC$2+1,1)-INDEX($U$4:$U$11,$AC$2,1),ROW()-4&gt;$AD$2),NA(),COUNTIF(INDEX($CZ$5:$DF$201,INDEX($U$4:$U$11,1,1),$AC$2):INDEX($CZ$5:$DF$201,INDEX($U$4:$U$11,1,1)+ROW()-5,$AC$2),GB$3))</f>
        <v>1</v>
      </c>
      <c r="GC15">
        <f>IF(OR(ROW()-4&gt;INDEX($U$4:$U$11,$AC$2+1,1)-INDEX($U$4:$U$11,$AC$2,1),ROW()-4&gt;$AD$2),NA(),COUNTIF(INDEX($CZ$5:$DF$201,INDEX($U$4:$U$11,1,1),$AC$2):INDEX($CZ$5:$DF$201,INDEX($U$4:$U$11,1,1)+ROW()-5,$AC$2),GC$3))</f>
        <v>1</v>
      </c>
      <c r="GD15">
        <f>IF(OR(ROW()-4&gt;INDEX($U$4:$U$11,$AC$2+1,1)-INDEX($U$4:$U$11,$AC$2,1),ROW()-4&gt;$AD$2),NA(),COUNTIF(INDEX($CZ$5:$DF$201,INDEX($U$4:$U$11,1,1),$AC$2):INDEX($CZ$5:$DF$201,INDEX($U$4:$U$11,1,1)+ROW()-5,$AC$2),GD$3))</f>
        <v>1</v>
      </c>
      <c r="GE15">
        <f>IF(OR(ROW()-4&gt;INDEX($U$4:$U$11,$AC$2+1,1)-INDEX($U$4:$U$11,$AC$2,1),ROW()-4&gt;$AD$2),NA(),COUNTIF(INDEX($CZ$5:$DF$201,INDEX($U$4:$U$11,1,1),$AC$2):INDEX($CZ$5:$DF$201,INDEX($U$4:$U$11,1,1)+ROW()-5,$AC$2),GE$3))</f>
        <v>0</v>
      </c>
      <c r="GF15">
        <f>IF(OR(ROW()-4&gt;INDEX($U$4:$U$11,$AC$2+1,1)-INDEX($U$4:$U$11,$AC$2,1),ROW()-4&gt;$AD$2),NA(),COUNTIF(INDEX($CZ$5:$DF$201,INDEX($U$4:$U$11,1,1),$AC$2):INDEX($CZ$5:$DF$201,INDEX($U$4:$U$11,1,1)+ROW()-5,$AC$2),GF$3))</f>
        <v>0</v>
      </c>
      <c r="GQ15" s="66">
        <f>INDEX($DP$4:$DP$40,$AD$2+1)-INDEX($DP$4:$DP$40,$AD$2)</f>
        <v>0</v>
      </c>
      <c r="GR15" s="66"/>
      <c r="GS15" s="66">
        <f>INDEX($DQ$4:$DQ$40,$AD$2+1)-INDEX($DQ$4:$DQ$40,$AD$2)</f>
        <v>0</v>
      </c>
      <c r="GT15" s="66"/>
      <c r="GV15" s="67">
        <f>INDEX($DS$4:$DS$40,$AD$2+1)-INDEX($DS$4:$DS$40,$AD$2)</f>
        <v>1</v>
      </c>
      <c r="GW15" s="67"/>
      <c r="GX15" s="67">
        <f>INDEX($DT$4:$DT$40,$AD$2+1)-INDEX($DT$4:$DT$40,$AD$2)</f>
        <v>0</v>
      </c>
      <c r="GY15" s="67"/>
    </row>
    <row r="16" spans="1:224" x14ac:dyDescent="0.45">
      <c r="A16" t="str">
        <f>データの貼付!A14</f>
        <v>KIHARA Miyuu</v>
      </c>
      <c r="B16">
        <f>データの貼付!B14</f>
        <v>3.1092013888888888E-3</v>
      </c>
      <c r="C16">
        <f>データの貼付!C14</f>
        <v>5.8692129629629621E-5</v>
      </c>
      <c r="D16">
        <f>データの貼付!D14</f>
        <v>0</v>
      </c>
      <c r="E16" t="str">
        <f>データの貼付!F14</f>
        <v>KIHARA Miyuu</v>
      </c>
      <c r="F16">
        <f>データの貼付!E14</f>
        <v>0</v>
      </c>
      <c r="G16" t="str">
        <f>データの貼付!G14</f>
        <v>#01</v>
      </c>
      <c r="H16" t="str">
        <f>データの貼付!H14</f>
        <v>KIHARA Miyuu</v>
      </c>
      <c r="I16" t="str">
        <f>データの貼付!I14</f>
        <v>(Side)</v>
      </c>
      <c r="J16" t="str">
        <f>データの貼付!J14</f>
        <v>B</v>
      </c>
      <c r="K16" t="str">
        <f>データの貼付!K14</f>
        <v>BS</v>
      </c>
      <c r="L16" t="str">
        <f>データの貼付!L14</f>
        <v>B</v>
      </c>
      <c r="M16" t="str">
        <f>データの貼付!M14</f>
        <v>Push</v>
      </c>
      <c r="N16" t="str">
        <f>データの貼付!N14</f>
        <v>ネット</v>
      </c>
      <c r="R16">
        <f t="shared" si="59"/>
        <v>0</v>
      </c>
      <c r="S16">
        <f>SUM(R$4:R16)</f>
        <v>1</v>
      </c>
      <c r="T16" t="str">
        <f t="shared" si="60"/>
        <v/>
      </c>
      <c r="W16" t="str">
        <f t="shared" si="57"/>
        <v>KIHARA Miyuu_KIHARA Miyuu</v>
      </c>
      <c r="X16" t="str">
        <f t="shared" si="58"/>
        <v>KIHARA Miyuu_#01</v>
      </c>
      <c r="Y16" t="str">
        <f>$AD$3&amp;"SVP"</f>
        <v>KIHARA MiyuuSVP</v>
      </c>
      <c r="Z16">
        <f>(INDEX($AV$5:$BB$40,$AD$2,$AC$2)=INDEX($BD$5:$BJ$40,$AD$2,$AC$2))*(INDEX($AV$5:$BB$40,$AD$2,$AC$2)=$AD$3)</f>
        <v>0</v>
      </c>
      <c r="AC16" s="8">
        <f>IF(OR(ROW()-4&gt;INDEX($U$4:$U$11,AC$2+1)-INDEX($U$4:$U$11,AC$2),ROW()-4&gt;AD$2),NA(),COUNTIF(INDEX($W$4:$W$200,INDEX($U$4:$U$11,AC$2)):INDEX($W$4:$W$200,INDEX($U$4:$U$11,AC$2)+ROW()-5),AC$3&amp;"_"&amp;AC$3)/(COUNTIF(INDEX($W$4:$W$200,INDEX($U$4:$U$11,AC$2)):INDEX($W$4:$W$200,INDEX($U$4:$U$11,AC$2)+ROW()-5),AC$3&amp;"_"&amp;AC$3)+COUNTIF(INDEX($W$4:$W$200,INDEX($U$4:$U$11,AC$2)):INDEX($W$4:$W$200,INDEX($U$4:$U$11,AC$2)+ROW()-5),AD$3&amp;"_"&amp;AC$3)))</f>
        <v>0.66666666666666663</v>
      </c>
      <c r="AD16" s="8">
        <f>IF(OR(ROW()-4&gt;INDEX($U$4:$U$11,AC$2+1)-INDEX($U$4:$U$11,AC$2),ROW()-4&gt;AD$2),NA(),COUNTIF(INDEX($W$4:$W$200,INDEX($U$4:$U$11,AC$2)):INDEX($W$4:$W$200,INDEX($U$4:$U$11,AC$2)+ROW()-5),AD$3&amp;"_"&amp;AD$3)/(COUNTIF(INDEX($W$4:$W$200,INDEX($U$4:$U$11,AC$2)):INDEX($W$4:$W$200,INDEX($U$4:$U$11,AC$2)+ROW()-5),AD$3&amp;"_"&amp;AD$3)+COUNTIF(INDEX($W$4:$W$200,INDEX($U$4:$U$11,AC$2)):INDEX($W$4:$W$200,INDEX($U$4:$U$11,AC$2)+ROW()-5),AC$3&amp;"_"&amp;AD$3)))</f>
        <v>0.5</v>
      </c>
      <c r="AE16" s="10">
        <f>IF(OR(ROW()-4&gt;INDEX($U$4:$U$11,AC$2+1)-INDEX($U$4:$U$11,AC$2),ROW()-4&gt;AD$2),NA(),COUNTIF(INDEX($W$4:$W$200,INDEX($U$4:$U$11,AC$2)):INDEX($W$4:$W$200,INDEX($U$4:$U$11,AC$2)+ROW()-5),AC$3&amp;"_"&amp;AD$3)/(COUNTIF(INDEX($W$4:$W$200,INDEX($U$4:$U$11,AC$2)):INDEX($W$4:$W$200,INDEX($U$4:$U$11,AC$2)+ROW()-5),AC$3&amp;"_"&amp;AD$3)+COUNTIF(INDEX($W$4:$W$200,INDEX($U$4:$U$11,AC$2)):INDEX($W$4:$W$200,INDEX($U$4:$U$11,AC$2)+ROW()-5),AD$3&amp;"_"&amp;AD$3)))</f>
        <v>0.5</v>
      </c>
      <c r="AF16" s="10">
        <f>IF(OR(ROW()-4&gt;INDEX($U$4:$U$11,AC$2+1)-INDEX($U$4:$U$11,AC$2),ROW()-4&gt;AD$2),NA(),COUNTIF(INDEX($W$4:$W$200,INDEX($U$4:$U$11,AC$2)):INDEX($W$4:$W$200,INDEX($U$4:$U$11,AC$2)+ROW()-5),AD$3&amp;"_"&amp;AC$3)/(COUNTIF(INDEX($W$4:$W$200,INDEX($U$4:$U$11,AC$2)):INDEX($W$4:$W$200,INDEX($U$4:$U$11,AC$2)+ROW()-5),AD$3&amp;"_"&amp;AC$3)+COUNTIF(INDEX($W$4:$W$200,INDEX($U$4:$U$11,AC$2)):INDEX($W$4:$W$200,INDEX($U$4:$U$11,AC$2)+ROW()-5),AC$3&amp;"_"&amp;AC$3)))</f>
        <v>0.33333333333333331</v>
      </c>
      <c r="AG16" s="10">
        <f>IF(OR(ROW()-4&gt;INDEX($U$4:$U$11,AC$2+1)-INDEX($U$4:$U$11,AC$2),ROW()-4&gt;AD$2),NA(),COUNTIF(INDEX($X$4:$X$200,INDEX($U$4:$U$11,AC$2)):INDEX($X$4:$X$200,INDEX($U$4:$U$11,AC$2)+ROW()-5),AC$3&amp;"_#03")/(COUNTIF(INDEX($W$4:$W$200,INDEX($U$4:$U$11,AC$2)):INDEX($W$4:$W$200,INDEX($U$4:$U$11,AC$2)+ROW()-5),AC$3&amp;"_"&amp;AC$3)+COUNTIF(INDEX($W$4:$W$200,INDEX($U$4:$U$11,AC$2)):INDEX($W$4:$W$200,INDEX($U$4:$U$11,AC$2)+ROW()-5),AD$3&amp;"_"&amp;AC$3)))</f>
        <v>0.33333333333333331</v>
      </c>
      <c r="AH16" s="10">
        <f>IF(OR(ROW()-4&gt;INDEX($U$4:$U$11,AC$2+1)-INDEX($U$4:$U$11,AC$2),ROW()-4&gt;AD$2),NA(),COUNTIF(INDEX($X$4:$X$200,INDEX($U$4:$U$11,AC$2)):INDEX($X$4:$X$200,INDEX($U$4:$U$11,AC$2)+ROW()-5),AD$3&amp;"_#03")/(COUNTIF(INDEX($W$4:$W$200,INDEX($U$4:$U$11,AC$2)):INDEX($W$4:$W$200,INDEX($U$4:$U$11,AC$2)+ROW()-5),AD$3&amp;"_"&amp;AD$3)+COUNTIF(INDEX($W$4:$W$200,INDEX($U$4:$U$11,AC$2)):INDEX($W$4:$W$200,INDEX($U$4:$U$11,AC$2)+ROW()-5),AC$3&amp;"_"&amp;AD$3)))</f>
        <v>0</v>
      </c>
      <c r="AI16" s="10">
        <f>IF(OR(ROW()-4&gt;INDEX($U$4:$U$11,AC$2+1)-INDEX($U$4:$U$11,AC$2),ROW()-4&gt;AD$2),NA(),(COUNTIF(INDEX($X$4:$X$200,INDEX($U$4:$U$11,AC$2)):INDEX($X$4:$X$200,INDEX($U$4:$U$11,AC$2)+ROW()-5),AC$3&amp;"_#03")-COUNTIF(INDEX($X$4:$X$200,INDEX($U$4:$U$11,AC$2)):INDEX($X$4:$X$200,INDEX($U$4:$U$11,AC$2)+ROW()-5),AD$3&amp;"_#02"))/(COUNTIF(INDEX($W$4:$W$200,INDEX($U$4:$U$11,AC$2)):INDEX($W$4:$W$200,INDEX($U$4:$U$11,AC$2)+ROW()-5),AC$3&amp;"_"&amp;AC$3)+COUNTIF(INDEX($W$4:$W$200,INDEX($U$4:$U$11,AC$2)):INDEX($W$4:$W$200,INDEX($U$4:$U$11,AC$2)+ROW()-5),AD$3&amp;"_"&amp;AC$3)))</f>
        <v>0.16666666666666666</v>
      </c>
      <c r="AJ16" s="10">
        <f>IF(OR(ROW()-4&gt;INDEX($U$4:$U$11,AC$2+1)-INDEX($U$4:$U$11,AC$2),ROW()-4&gt;AD$2),NA(),(COUNTIF(INDEX($X$4:$X$200,INDEX($U$4:$U$11,AC$2)):INDEX($X$4:$X$200,INDEX($U$4:$U$11,AC$2)+ROW()-5),AD$3&amp;"_#03")-COUNTIF(INDEX($X$4:$X$200,INDEX($U$4:$U$11,AC$2)):INDEX($X$4:$X$200,INDEX($U$4:$U$11,AC$2)+ROW()-5),AC$3&amp;"_#02"))/(COUNTIF(INDEX($W$4:$W$200,INDEX($U$4:$U$11,AC$2)):INDEX($W$4:$W$200,INDEX($U$4:$U$11,AC$2)+ROW()-5),AD$3&amp;"_"&amp;AD$3)+COUNTIF(INDEX($W$4:$W$200,INDEX($U$4:$U$11,AC$2)):INDEX($W$4:$W$200,INDEX($U$4:$U$11,AC$2)+ROW()-5),AC$3&amp;"_"&amp;AD$3)))</f>
        <v>-0.16666666666666666</v>
      </c>
      <c r="AK16" s="10">
        <f>IF(OR(ROW()-4&gt;INDEX($U$4:$U$11,AC$2+1)-INDEX($U$4:$U$11,AC$2),ROW()-4&gt;AD$2),NA(),(COUNTIF(INDEX($X$4:$X$200,INDEX($U$4:$U$11,AC$2)):INDEX($X$4:$X$200,INDEX($U$4:$U$11,AC$2)+ROW()-5),AC$3&amp;"_#01")+COUNTIF(INDEX($X$4:$X$200,INDEX($U$4:$U$11,AC$2)):INDEX($X$4:$X$200,INDEX($U$4:$U$11,AC$2)+ROW()-5),AC$3&amp;"_#03"))/(COUNTIF(INDEX($W$4:$W$200,INDEX($U$4:$U$11,AC$2)):INDEX($W$4:$W$200,INDEX($U$4:$U$11,AC$2)+ROW()-5),AC$3&amp;"_"&amp;AC$3)+COUNTIF(INDEX($W$4:$W$200,INDEX($U$4:$U$11,AC$2)):INDEX($W$4:$W$200,INDEX($U$4:$U$11,AC$2)+ROW()-5),AD$3&amp;"_"&amp;AC$3)))</f>
        <v>0.5</v>
      </c>
      <c r="AL16" s="10">
        <f>IF(OR(ROW()-4&gt;INDEX($U$4:$U$11,AC$2+1)-INDEX($U$4:$U$11,AC$2),ROW()-4&gt;AD$2),NA(),(COUNTIF(INDEX($X$4:$X$200,INDEX($U$4:$U$11,AC$2)):INDEX($X$4:$X$200,INDEX($U$4:$U$11,AC$2)+ROW()-5),AD$3&amp;"_#01")+COUNTIF(INDEX($X$4:$X$200,INDEX($U$4:$U$11,AC$2)):INDEX($X$4:$X$200,INDEX($U$4:$U$11,AC$2)+ROW()-5),AD$3&amp;"_#03"))/(COUNTIF(INDEX($W$4:$W$200,INDEX($U$4:$U$11,AC$2)):INDEX($W$4:$W$200,INDEX($U$4:$U$11,AC$2)+ROW()-5),AD$3&amp;"_"&amp;AD$3)+COUNTIF(INDEX($W$4:$W$200,INDEX($U$4:$U$11,AC$2)):INDEX($W$4:$W$200,INDEX($U$4:$U$11,AC$2)+ROW()-5),AC$3&amp;"_"&amp;AD$3)))</f>
        <v>0.33333333333333331</v>
      </c>
      <c r="AN16">
        <f t="shared" si="125"/>
        <v>12</v>
      </c>
      <c r="AO16">
        <f t="shared" si="111"/>
        <v>29</v>
      </c>
      <c r="AP16">
        <f t="shared" si="112"/>
        <v>44</v>
      </c>
      <c r="AQ16">
        <f t="shared" si="113"/>
        <v>60</v>
      </c>
      <c r="AR16" t="str">
        <f t="shared" si="114"/>
        <v/>
      </c>
      <c r="AS16" t="e">
        <f t="shared" si="115"/>
        <v>#VALUE!</v>
      </c>
      <c r="AT16" t="e">
        <f t="shared" si="116"/>
        <v>#VALUE!</v>
      </c>
      <c r="AV16" t="str">
        <f t="shared" si="117"/>
        <v>KIHARA Miyuu</v>
      </c>
      <c r="AW16" t="str">
        <f t="shared" si="63"/>
        <v>KIHARA Miyuu</v>
      </c>
      <c r="AX16" t="str">
        <f t="shared" si="64"/>
        <v>KIHARA Miyuu</v>
      </c>
      <c r="AY16" t="str">
        <f t="shared" si="65"/>
        <v>FENG Tianwei</v>
      </c>
      <c r="AZ16" t="e">
        <f t="shared" si="66"/>
        <v>#VALUE!</v>
      </c>
      <c r="BA16" t="e">
        <f t="shared" si="67"/>
        <v>#VALUE!</v>
      </c>
      <c r="BB16" t="e">
        <f t="shared" si="68"/>
        <v>#VALUE!</v>
      </c>
      <c r="BD16" t="str">
        <f t="shared" si="118"/>
        <v>KIHARA Miyuu</v>
      </c>
      <c r="BE16" t="str">
        <f t="shared" si="69"/>
        <v>FENG Tianwei</v>
      </c>
      <c r="BF16" t="str">
        <f t="shared" si="70"/>
        <v>KIHARA Miyuu</v>
      </c>
      <c r="BG16" t="str">
        <f t="shared" si="71"/>
        <v>FENG Tianwei</v>
      </c>
      <c r="BH16" t="e">
        <f t="shared" si="72"/>
        <v>#VALUE!</v>
      </c>
      <c r="BI16" t="e">
        <f t="shared" si="73"/>
        <v>#VALUE!</v>
      </c>
      <c r="BJ16" t="e">
        <f t="shared" si="74"/>
        <v>#VALUE!</v>
      </c>
      <c r="BL16" t="str">
        <f t="shared" si="119"/>
        <v>KIHARA Miyuu_(Side)</v>
      </c>
      <c r="BM16" t="str">
        <f t="shared" si="75"/>
        <v>FENG Tianwei_Side</v>
      </c>
      <c r="BN16" t="str">
        <f t="shared" si="76"/>
        <v>KIHARA Miyuu_(Side)</v>
      </c>
      <c r="BO16" t="str">
        <f t="shared" si="77"/>
        <v>FENG Tianwei_Side</v>
      </c>
      <c r="BP16" t="e">
        <f t="shared" si="78"/>
        <v>#VALUE!</v>
      </c>
      <c r="BQ16" t="e">
        <f t="shared" si="79"/>
        <v>#VALUE!</v>
      </c>
      <c r="BR16" t="e">
        <f t="shared" si="80"/>
        <v>#VALUE!</v>
      </c>
      <c r="BT16" t="str">
        <f t="shared" si="120"/>
        <v>KIHARA Miyuu_B</v>
      </c>
      <c r="BU16" t="str">
        <f t="shared" si="81"/>
        <v>FENG Tianwei_F</v>
      </c>
      <c r="BV16" t="str">
        <f t="shared" si="82"/>
        <v>KIHARA Miyuu_B</v>
      </c>
      <c r="BW16" t="str">
        <f t="shared" si="83"/>
        <v>FENG Tianwei_B</v>
      </c>
      <c r="BX16" t="e">
        <f t="shared" si="84"/>
        <v>#VALUE!</v>
      </c>
      <c r="BY16" t="e">
        <f t="shared" si="85"/>
        <v>#VALUE!</v>
      </c>
      <c r="BZ16" t="e">
        <f t="shared" si="86"/>
        <v>#VALUE!</v>
      </c>
      <c r="CB16" t="str">
        <f t="shared" si="121"/>
        <v>KIHARA Miyuu_FMS</v>
      </c>
      <c r="CC16" t="str">
        <f t="shared" si="87"/>
        <v>FENG Tianwei_B</v>
      </c>
      <c r="CD16" t="str">
        <f t="shared" si="88"/>
        <v>KIHARA Miyuu_B</v>
      </c>
      <c r="CE16" t="str">
        <f t="shared" si="89"/>
        <v>FENG Tianwei_B</v>
      </c>
      <c r="CF16" t="e">
        <f t="shared" si="90"/>
        <v>#VALUE!</v>
      </c>
      <c r="CG16" t="e">
        <f t="shared" si="91"/>
        <v>#VALUE!</v>
      </c>
      <c r="CH16" t="e">
        <f t="shared" si="92"/>
        <v>#VALUE!</v>
      </c>
      <c r="CJ16" t="str">
        <f t="shared" si="122"/>
        <v>FENG Tianwei_B</v>
      </c>
      <c r="CK16" t="str">
        <f t="shared" si="93"/>
        <v>KIHARA Miyuu_B</v>
      </c>
      <c r="CL16" t="str">
        <f t="shared" si="94"/>
        <v>FENG Tianwei_B</v>
      </c>
      <c r="CM16" t="str">
        <f t="shared" si="95"/>
        <v>KIHARA Miyuu_B</v>
      </c>
      <c r="CN16" t="e">
        <f t="shared" si="96"/>
        <v>#VALUE!</v>
      </c>
      <c r="CO16" t="e">
        <f t="shared" si="97"/>
        <v>#VALUE!</v>
      </c>
      <c r="CP16" t="e">
        <f t="shared" si="98"/>
        <v>#VALUE!</v>
      </c>
      <c r="CR16" t="str">
        <f t="shared" si="123"/>
        <v>FENG Tianwei_Chiquita</v>
      </c>
      <c r="CS16" t="str">
        <f t="shared" si="99"/>
        <v>KIHARA Miyuu_ドライブ</v>
      </c>
      <c r="CT16" t="str">
        <f t="shared" si="100"/>
        <v>FENG Tianwei_Push</v>
      </c>
      <c r="CU16" t="str">
        <f t="shared" si="101"/>
        <v>KIHARA Miyuu_ドライブ</v>
      </c>
      <c r="CV16" t="e">
        <f t="shared" si="102"/>
        <v>#VALUE!</v>
      </c>
      <c r="CW16" t="e">
        <f t="shared" si="103"/>
        <v>#VALUE!</v>
      </c>
      <c r="CX16" t="e">
        <f t="shared" si="104"/>
        <v>#VALUE!</v>
      </c>
      <c r="CZ16" t="str">
        <f t="shared" si="124"/>
        <v>FENG Tianwei_ネットオーバー</v>
      </c>
      <c r="DA16" t="str">
        <f t="shared" si="105"/>
        <v>KIHARA Miyuu_BM</v>
      </c>
      <c r="DB16" t="str">
        <f t="shared" si="106"/>
        <v>FENG Tianwei_0</v>
      </c>
      <c r="DC16" t="str">
        <f t="shared" si="107"/>
        <v>KIHARA Miyuu_ネット</v>
      </c>
      <c r="DD16" t="e">
        <f t="shared" si="108"/>
        <v>#VALUE!</v>
      </c>
      <c r="DE16" t="e">
        <f t="shared" si="109"/>
        <v>#VALUE!</v>
      </c>
      <c r="DF16" t="e">
        <f t="shared" si="110"/>
        <v>#VALUE!</v>
      </c>
      <c r="DH16">
        <f>IF(OR(ROW()-4&gt;INDEX($U$4:$U$11,$AC$2+1,1)-INDEX($U$4:$U$11,$AC$2,1),ROW()-4&gt;$AD$2),NA(),COUNTIF(INDEX($BL$5:$BR$50,INDEX($U$4:$U$11,1,1),$AC$2):INDEX($BL$5:$BR$50,INDEX($U$4:$U$11,1,1)+ROW()-5,$AC$2),DH$3))</f>
        <v>2</v>
      </c>
      <c r="DI16">
        <f>IF(OR(ROW()-4&gt;INDEX($U$4:$U$11,$AC$2+1,1)-INDEX($U$4:$U$11,$AC$2,1),ROW()-4&gt;$AD$2),NA(),COUNTIF(INDEX($BL$5:$BR$50,INDEX($U$4:$U$11,1,1),$AC$2):INDEX($BL$5:$BR$50,INDEX($U$4:$U$11,1,1)+ROW()-5,$AC$2),DI$3))</f>
        <v>4</v>
      </c>
      <c r="DJ16">
        <f>IF(OR(ROW()-4&gt;INDEX($U$4:$U$11,$AC$2+1,1)-INDEX($U$4:$U$11,$AC$2,1),ROW()-4&gt;$AD$2),NA(),COUNTIF(INDEX($BL$5:$BR$50,INDEX($U$4:$U$11,1,1),$AC$2):INDEX($BL$5:$BR$50,INDEX($U$4:$U$11,1,1)+ROW()-5,$AC$2),DJ$3))</f>
        <v>0</v>
      </c>
      <c r="DL16">
        <f>IF(OR(ROW()-4&gt;INDEX($U$4:$U$11,$AC$2+1,1)-INDEX($U$4:$U$11,$AC$2,1),ROW()-4&gt;$AD$2),NA(),COUNTIF(INDEX($BL$5:$BR$50,INDEX($U$4:$U$11,1,1),$AC$2):INDEX($BL$5:$BR$50,INDEX($U$4:$U$11,1,1)+ROW()-5,$AC$2),DL$3))</f>
        <v>0</v>
      </c>
      <c r="DM16">
        <f>IF(OR(ROW()-4&gt;INDEX($U$4:$U$11,$AC$2+1,1)-INDEX($U$4:$U$11,$AC$2,1),ROW()-4&gt;$AD$2),NA(),COUNTIF(INDEX($BL$5:$BR$50,INDEX($U$4:$U$11,1,1),$AC$2):INDEX($BL$5:$BR$50,INDEX($U$4:$U$11,1,1)+ROW()-5,$AC$2),DM$3))</f>
        <v>0</v>
      </c>
      <c r="DN16">
        <f>IF(OR(ROW()-4&gt;INDEX($U$4:$U$11,$AC$2+1,1)-INDEX($U$4:$U$11,$AC$2,1),ROW()-4&gt;$AD$2),NA(),COUNTIF(INDEX($BL$5:$BR$50,INDEX($U$4:$U$11,1,1),$AC$2):INDEX($BL$5:$BR$50,INDEX($U$4:$U$11,1,1)+ROW()-5,$AC$2),DN$3))</f>
        <v>6</v>
      </c>
      <c r="DP16">
        <f>IF(OR(ROW()-4&gt;INDEX($U$4:$U$11,$AC$2+1,1)-INDEX($U$4:$U$11,$AC$2,1),ROW()-4&gt;$AD$2),NA(),COUNTIF(INDEX($BT$5:$BZ$201,INDEX($U$4:$U$11,1,1),$AC$2):INDEX($BT$5:$BZ$201,INDEX($U$4:$U$11,1,1)+ROW()-5,$AC$2),DP$3))</f>
        <v>6</v>
      </c>
      <c r="DQ16">
        <f>IF(OR(ROW()-4&gt;INDEX($U$4:$U$11,$AC$2+1,1)-INDEX($U$4:$U$11,$AC$2,1),ROW()-4&gt;$AD$2),NA(),COUNTIF(INDEX($BT$5:$BZ$201,INDEX($U$4:$U$11,1,1),$AC$2):INDEX($BT$5:$BZ$201,INDEX($U$4:$U$11,1,1)+ROW()-5,$AC$2),DQ$3))</f>
        <v>0</v>
      </c>
      <c r="DS16">
        <f>IF(OR(ROW()-4&gt;INDEX($U$4:$U$11,$AC$2+1,1)-INDEX($U$4:$U$11,$AC$2,1),ROW()-4&gt;$AD$2),NA(),COUNTIF(INDEX($BT$5:$BZ$201,INDEX($U$4:$U$11,1,1),$AC$2):INDEX($BT$5:$BZ$201,INDEX($U$4:$U$11,1,1)+ROW()-5,$AC$2),DS$3))</f>
        <v>6</v>
      </c>
      <c r="DT16">
        <f>IF(OR(ROW()-4&gt;INDEX($U$4:$U$11,$AC$2+1,1)-INDEX($U$4:$U$11,$AC$2,1),ROW()-4&gt;$AD$2),NA(),COUNTIF(INDEX($BT$5:$BZ$201,INDEX($U$4:$U$11,1,1),$AC$2):INDEX($BT$5:$BZ$201,INDEX($U$4:$U$11,1,1)+ROW()-5,$AC$2),DT$3))</f>
        <v>0</v>
      </c>
      <c r="DV16">
        <f>IF(OR(ROW()-4&gt;INDEX($U$4:$U$11,$AC$2+1,1)-INDEX($U$4:$U$11,$AC$2,1),ROW()-4&gt;$AD$2),NA(),COUNTIF(INDEX($CB$5:$CH$201,INDEX($U$4:$U$11,1,1),$AC$2):INDEX($CB$5:$CH$201,INDEX($U$4:$U$11,1,1)+ROW()-5,$AC$2),DV$3))</f>
        <v>0</v>
      </c>
      <c r="DW16">
        <f>IF(OR(ROW()-4&gt;INDEX($U$4:$U$11,$AC$2+1,1)-INDEX($U$4:$U$11,$AC$2,1),ROW()-4&gt;$AD$2),NA(),COUNTIF(INDEX($CB$5:$CH$201,INDEX($U$4:$U$11,1,1),$AC$2):INDEX($CB$5:$CH$201,INDEX($U$4:$U$11,1,1)+ROW()-5,$AC$2),DW$3))</f>
        <v>0</v>
      </c>
      <c r="DX16">
        <f>IF(OR(ROW()-4&gt;INDEX($U$4:$U$11,$AC$2+1,1)-INDEX($U$4:$U$11,$AC$2,1),ROW()-4&gt;$AD$2),NA(),COUNTIF(INDEX($CB$5:$CH$201,INDEX($U$4:$U$11,1,1),$AC$2):INDEX($CB$5:$CH$201,INDEX($U$4:$U$11,1,1)+ROW()-5,$AC$2),DX$3))</f>
        <v>3</v>
      </c>
      <c r="DY16">
        <f>IF(OR(ROW()-4&gt;INDEX($U$4:$U$11,$AC$2+1,1)-INDEX($U$4:$U$11,$AC$2,1),ROW()-4&gt;$AD$2),NA(),COUNTIF(INDEX($CB$5:$CH$201,INDEX($U$4:$U$11,1,1),$AC$2):INDEX($CB$5:$CH$201,INDEX($U$4:$U$11,1,1)+ROW()-5,$AC$2),DY$3))</f>
        <v>1</v>
      </c>
      <c r="DZ16">
        <f>IF(OR(ROW()-4&gt;INDEX($U$4:$U$11,$AC$2+1,1)-INDEX($U$4:$U$11,$AC$2,1),ROW()-4&gt;$AD$2),NA(),COUNTIF(INDEX($CB$5:$CH$201,INDEX($U$4:$U$11,1,1),$AC$2):INDEX($CB$5:$CH$201,INDEX($U$4:$U$11,1,1)+ROW()-5,$AC$2),DZ$3))</f>
        <v>1</v>
      </c>
      <c r="EA16">
        <f>IF(OR(ROW()-4&gt;INDEX($U$4:$U$11,$AC$2+1,1)-INDEX($U$4:$U$11,$AC$2,1),ROW()-4&gt;$AD$2),NA(),COUNTIF(INDEX($CB$5:$CH$201,INDEX($U$4:$U$11,1,1),$AC$2):INDEX($CB$5:$CH$201,INDEX($U$4:$U$11,1,1)+ROW()-5,$AC$2),EA$3))</f>
        <v>1</v>
      </c>
      <c r="EB16">
        <f>IF(OR(ROW()-4&gt;INDEX($U$4:$U$11,$AC$2+1,1)-INDEX($U$4:$U$11,$AC$2,1),ROW()-4&gt;$AD$2),NA(),COUNTIF(INDEX($CB$5:$CH$201,INDEX($U$4:$U$11,1,1),$AC$2):INDEX($CB$5:$CH$201,INDEX($U$4:$U$11,1,1)+ROW()-5,$AC$2),EB$3))</f>
        <v>0</v>
      </c>
      <c r="EC16">
        <f>IF(OR(ROW()-4&gt;INDEX($U$4:$U$11,$AC$2+1,1)-INDEX($U$4:$U$11,$AC$2,1),ROW()-4&gt;$AD$2),NA(),COUNTIF(INDEX($CB$5:$CH$201,INDEX($U$4:$U$11,1,1),$AC$2):INDEX($CB$5:$CH$201,INDEX($U$4:$U$11,1,1)+ROW()-5,$AC$2),EC$3))</f>
        <v>0</v>
      </c>
      <c r="EE16">
        <f>IF(OR(ROW()-4&gt;INDEX($U$4:$U$11,$AC$2+1,1)-INDEX($U$4:$U$11,$AC$2,1),ROW()-4&gt;$AD$2),NA(),COUNTIF(INDEX($CB$5:$CH$201,INDEX($U$4:$U$11,1,1),$AC$2):INDEX($CB$5:$CH$201,INDEX($U$4:$U$11,1,1)+ROW()-5,$AC$2),EE$3))</f>
        <v>0</v>
      </c>
      <c r="EF16">
        <f>IF(OR(ROW()-4&gt;INDEX($U$4:$U$11,$AC$2+1,1)-INDEX($U$4:$U$11,$AC$2,1),ROW()-4&gt;$AD$2),NA(),COUNTIF(INDEX($CB$5:$CH$201,INDEX($U$4:$U$11,1,1),$AC$2):INDEX($CB$5:$CH$201,INDEX($U$4:$U$11,1,1)+ROW()-5,$AC$2),EF$3))</f>
        <v>0</v>
      </c>
      <c r="EG16">
        <f>IF(OR(ROW()-4&gt;INDEX($U$4:$U$11,$AC$2+1,1)-INDEX($U$4:$U$11,$AC$2,1),ROW()-4&gt;$AD$2),NA(),COUNTIF(INDEX($CB$5:$CH$201,INDEX($U$4:$U$11,1,1),$AC$2):INDEX($CB$5:$CH$201,INDEX($U$4:$U$11,1,1)+ROW()-5,$AC$2),EG$3))</f>
        <v>0</v>
      </c>
      <c r="EH16">
        <f>IF(OR(ROW()-4&gt;INDEX($U$4:$U$11,$AC$2+1,1)-INDEX($U$4:$U$11,$AC$2,1),ROW()-4&gt;$AD$2),NA(),COUNTIF(INDEX($CB$5:$CH$201,INDEX($U$4:$U$11,1,1),$AC$2):INDEX($CB$5:$CH$201,INDEX($U$4:$U$11,1,1)+ROW()-5,$AC$2),EH$3))</f>
        <v>2</v>
      </c>
      <c r="EI16">
        <f>IF(OR(ROW()-4&gt;INDEX($U$4:$U$11,$AC$2+1,1)-INDEX($U$4:$U$11,$AC$2,1),ROW()-4&gt;$AD$2),NA(),COUNTIF(INDEX($CB$5:$CH$201,INDEX($U$4:$U$11,1,1),$AC$2):INDEX($CB$5:$CH$201,INDEX($U$4:$U$11,1,1)+ROW()-5,$AC$2),EI$3))</f>
        <v>3</v>
      </c>
      <c r="EJ16">
        <f>IF(OR(ROW()-4&gt;INDEX($U$4:$U$11,$AC$2+1,1)-INDEX($U$4:$U$11,$AC$2,1),ROW()-4&gt;$AD$2),NA(),COUNTIF(INDEX($CB$5:$CH$201,INDEX($U$4:$U$11,1,1),$AC$2):INDEX($CB$5:$CH$201,INDEX($U$4:$U$11,1,1)+ROW()-5,$AC$2),EJ$3))</f>
        <v>1</v>
      </c>
      <c r="EK16">
        <f>IF(OR(ROW()-4&gt;INDEX($U$4:$U$11,$AC$2+1,1)-INDEX($U$4:$U$11,$AC$2,1),ROW()-4&gt;$AD$2),NA(),COUNTIF(INDEX($CB$5:$CH$201,INDEX($U$4:$U$11,1,1),$AC$2):INDEX($CB$5:$CH$201,INDEX($U$4:$U$11,1,1)+ROW()-5,$AC$2),EK$3))</f>
        <v>0</v>
      </c>
      <c r="EL16">
        <f>IF(OR(ROW()-4&gt;INDEX($U$4:$U$11,$AC$2+1,1)-INDEX($U$4:$U$11,$AC$2,1),ROW()-4&gt;$AD$2),NA(),COUNTIF(INDEX($CB$5:$CH$201,INDEX($U$4:$U$11,1,1),$AC$2):INDEX($CB$5:$CH$201,INDEX($U$4:$U$11,1,1)+ROW()-5,$AC$2),EL$3))</f>
        <v>0</v>
      </c>
      <c r="EN16">
        <f>IF(OR(ROW()-4&gt;INDEX($U$4:$U$11,$AC$2+1,1)-INDEX($U$4:$U$11,$AC$2,1),ROW()-4&gt;$AD$2),NA(),COUNTIF(INDEX($CJ$5:$CP$201,INDEX($U$4:$U$11,1,1),$AC$2):INDEX($CJ$5:$CP$201,INDEX($U$4:$U$11,1,1)+ROW()-5,$AC$2),EN$3))</f>
        <v>3</v>
      </c>
      <c r="EO16">
        <f>IF(OR(ROW()-4&gt;INDEX($U$4:$U$11,$AC$2+1,1)-INDEX($U$4:$U$11,$AC$2,1),ROW()-4&gt;$AD$2),NA(),COUNTIF(INDEX($CJ$5:$CP$201,INDEX($U$4:$U$11,1,1),$AC$2):INDEX($CJ$5:$CP$201,INDEX($U$4:$U$11,1,1)+ROW()-5,$AC$2),EO$3))</f>
        <v>2</v>
      </c>
      <c r="EQ16">
        <f>IF(OR(ROW()-4&gt;INDEX($U$4:$U$11,$AC$2+1,1)-INDEX($U$4:$U$11,$AC$2,1),ROW()-4&gt;$AD$2),NA(),COUNTIF(INDEX($CJ$5:$CP$201,INDEX($U$4:$U$11,1,1),$AC$2):INDEX($CJ$5:$CP$201,INDEX($U$4:$U$11,1,1)+ROW()-5,$AC$2),EQ$3))</f>
        <v>5</v>
      </c>
      <c r="ER16">
        <f>IF(OR(ROW()-4&gt;INDEX($U$4:$U$11,$AC$2+1,1)-INDEX($U$4:$U$11,$AC$2,1),ROW()-4&gt;$AD$2),NA(),COUNTIF(INDEX($CJ$5:$CP$201,INDEX($U$4:$U$11,1,1),$AC$2):INDEX($CJ$5:$CP$201,INDEX($U$4:$U$11,1,1)+ROW()-5,$AC$2),ER$3))</f>
        <v>1</v>
      </c>
      <c r="ET16">
        <f>IF(OR(ROW()-4&gt;INDEX($U$4:$U$11,$AC$2+1,1)-INDEX($U$4:$U$11,$AC$2,1),ROW()-4&gt;$AD$2),NA(),COUNTIF(INDEX($CR$5:$CX$201,INDEX($U$4:$U$11,1,1),$AC$2):INDEX($CR$5:$CX$201,INDEX($U$4:$U$11,1,1)+ROW()-5,$AC$2),ET$3))</f>
        <v>1</v>
      </c>
      <c r="EU16">
        <f>IF(OR(ROW()-4&gt;INDEX($U$4:$U$11,$AC$2+1,1)-INDEX($U$4:$U$11,$AC$2,1),ROW()-4&gt;$AD$2),NA(),COUNTIF(INDEX($CR$5:$CX$201,INDEX($U$4:$U$11,1,1),$AC$2):INDEX($CR$5:$CX$201,INDEX($U$4:$U$11,1,1)+ROW()-5,$AC$2),EU$3))</f>
        <v>0</v>
      </c>
      <c r="EV16">
        <f>IF(OR(ROW()-4&gt;INDEX($U$4:$U$11,$AC$2+1,1)-INDEX($U$4:$U$11,$AC$2,1),ROW()-4&gt;$AD$2),NA(),COUNTIF(INDEX($CR$5:$CX$201,INDEX($U$4:$U$11,1,1),$AC$2):INDEX($CR$5:$CX$201,INDEX($U$4:$U$11,1,1)+ROW()-5,$AC$2),EV$3))</f>
        <v>3</v>
      </c>
      <c r="EW16">
        <f>IF(OR(ROW()-4&gt;INDEX($U$4:$U$11,$AC$2+1,1)-INDEX($U$4:$U$11,$AC$2,1),ROW()-4&gt;$AD$2),NA(),COUNTIF(INDEX($CR$5:$CX$201,INDEX($U$4:$U$11,1,1),$AC$2):INDEX($CR$5:$CX$201,INDEX($U$4:$U$11,1,1)+ROW()-5,$AC$2),EW$3))</f>
        <v>1</v>
      </c>
      <c r="EX16">
        <f>IF(OR(ROW()-4&gt;INDEX($U$4:$U$11,$AC$2+1,1)-INDEX($U$4:$U$11,$AC$2,1),ROW()-4&gt;$AD$2),NA(),COUNTIF(INDEX($CR$5:$CX$201,INDEX($U$4:$U$11,1,1),$AC$2):INDEX($CR$5:$CX$201,INDEX($U$4:$U$11,1,1)+ROW()-5,$AC$2),EX$3))</f>
        <v>0</v>
      </c>
      <c r="EY16">
        <f>IF(OR(ROW()-4&gt;INDEX($U$4:$U$11,$AC$2+1,1)-INDEX($U$4:$U$11,$AC$2,1),ROW()-4&gt;$AD$2),NA(),COUNTIF(INDEX($CR$5:$CX$201,INDEX($U$4:$U$11,1,1),$AC$2):INDEX($CR$5:$CX$201,INDEX($U$4:$U$11,1,1)+ROW()-5,$AC$2),EY$3))</f>
        <v>1</v>
      </c>
      <c r="EZ16">
        <f>IF(OR(ROW()-4&gt;INDEX($U$4:$U$11,$AC$2+1,1)-INDEX($U$4:$U$11,$AC$2,1),ROW()-4&gt;$AD$2),NA(),COUNTIF(INDEX($CR$5:$CX$201,INDEX($U$4:$U$11,1,1),$AC$2):INDEX($CR$5:$CX$201,INDEX($U$4:$U$11,1,1)+ROW()-5,$AC$2),EZ$3))</f>
        <v>0</v>
      </c>
      <c r="FA16">
        <f>IF(OR(ROW()-4&gt;INDEX($U$4:$U$11,$AC$2+1,1)-INDEX($U$4:$U$11,$AC$2,1),ROW()-4&gt;$AD$2),NA(),COUNTIF(INDEX($CR$5:$CX$201,INDEX($U$4:$U$11,1,1),$AC$2):INDEX($CR$5:$CX$201,INDEX($U$4:$U$11,1,1)+ROW()-5,$AC$2),FA$3))</f>
        <v>0</v>
      </c>
      <c r="FC16">
        <f>IF(OR(ROW()-4&gt;INDEX($U$4:$U$11,$AC$2+1,1)-INDEX($U$4:$U$11,$AC$2,1),ROW()-4&gt;$AD$2),NA(),COUNTIF(INDEX($CR$5:$CX$201,INDEX($U$4:$U$11,1,1),$AC$2):INDEX($CR$5:$CX$201,INDEX($U$4:$U$11,1,1)+ROW()-5,$AC$2),FC$3))</f>
        <v>0</v>
      </c>
      <c r="FD16">
        <f>IF(OR(ROW()-4&gt;INDEX($U$4:$U$11,$AC$2+1,1)-INDEX($U$4:$U$11,$AC$2,1),ROW()-4&gt;$AD$2),NA(),COUNTIF(INDEX($CR$5:$CX$201,INDEX($U$4:$U$11,1,1),$AC$2):INDEX($CR$5:$CX$201,INDEX($U$4:$U$11,1,1)+ROW()-5,$AC$2),FD$3))</f>
        <v>0</v>
      </c>
      <c r="FE16">
        <f>IF(OR(ROW()-4&gt;INDEX($U$4:$U$11,$AC$2+1,1)-INDEX($U$4:$U$11,$AC$2,1),ROW()-4&gt;$AD$2),NA(),COUNTIF(INDEX($CR$5:$CX$201,INDEX($U$4:$U$11,1,1),$AC$2):INDEX($CR$5:$CX$201,INDEX($U$4:$U$11,1,1)+ROW()-5,$AC$2),FE$3))</f>
        <v>0</v>
      </c>
      <c r="FF16">
        <f>IF(OR(ROW()-4&gt;INDEX($U$4:$U$11,$AC$2+1,1)-INDEX($U$4:$U$11,$AC$2,1),ROW()-4&gt;$AD$2),NA(),COUNTIF(INDEX($CR$5:$CX$201,INDEX($U$4:$U$11,1,1),$AC$2):INDEX($CR$5:$CX$201,INDEX($U$4:$U$11,1,1)+ROW()-5,$AC$2),FF$3))</f>
        <v>2</v>
      </c>
      <c r="FG16">
        <f>IF(OR(ROW()-4&gt;INDEX($U$4:$U$11,$AC$2+1,1)-INDEX($U$4:$U$11,$AC$2,1),ROW()-4&gt;$AD$2),NA(),COUNTIF(INDEX($CR$5:$CX$201,INDEX($U$4:$U$11,1,1),$AC$2):INDEX($CR$5:$CX$201,INDEX($U$4:$U$11,1,1)+ROW()-5,$AC$2),FG$3))</f>
        <v>0</v>
      </c>
      <c r="FH16">
        <f>IF(OR(ROW()-4&gt;INDEX($U$4:$U$11,$AC$2+1,1)-INDEX($U$4:$U$11,$AC$2,1),ROW()-4&gt;$AD$2),NA(),COUNTIF(INDEX($CR$5:$CX$201,INDEX($U$4:$U$11,1,1),$AC$2):INDEX($CR$5:$CX$201,INDEX($U$4:$U$11,1,1)+ROW()-5,$AC$2),FH$3))</f>
        <v>4</v>
      </c>
      <c r="FI16">
        <f>IF(OR(ROW()-4&gt;INDEX($U$4:$U$11,$AC$2+1,1)-INDEX($U$4:$U$11,$AC$2,1),ROW()-4&gt;$AD$2),NA(),COUNTIF(INDEX($CR$5:$CX$201,INDEX($U$4:$U$11,1,1),$AC$2):INDEX($CR$5:$CX$201,INDEX($U$4:$U$11,1,1)+ROW()-5,$AC$2),FI$3))</f>
        <v>0</v>
      </c>
      <c r="FJ16">
        <f>IF(OR(ROW()-4&gt;INDEX($U$4:$U$11,$AC$2+1,1)-INDEX($U$4:$U$11,$AC$2,1),ROW()-4&gt;$AD$2),NA(),COUNTIF(INDEX($CR$5:$CX$201,INDEX($U$4:$U$11,1,1),$AC$2):INDEX($CR$5:$CX$201,INDEX($U$4:$U$11,1,1)+ROW()-5,$AC$2),FJ$3))</f>
        <v>0</v>
      </c>
      <c r="FL16">
        <f>IF(OR(ROW()-4&gt;INDEX($U$4:$U$11,$AC$2+1,1)-INDEX($U$4:$U$11,$AC$2,1),ROW()-4&gt;$AD$2),NA(),COUNTIF(INDEX($CZ$5:$DF$201,INDEX($U$4:$U$11,1,1),$AC$2):INDEX($CZ$5:$DF$201,INDEX($U$4:$U$11,1,1)+ROW()-5,$AC$2),FL$3))</f>
        <v>0</v>
      </c>
      <c r="FM16">
        <f>IF(OR(ROW()-4&gt;INDEX($U$4:$U$11,$AC$2+1,1)-INDEX($U$4:$U$11,$AC$2,1),ROW()-4&gt;$AD$2),NA(),COUNTIF(INDEX($CZ$5:$DF$201,INDEX($U$4:$U$11,1,1),$AC$2):INDEX($CZ$5:$DF$201,INDEX($U$4:$U$11,1,1)+ROW()-5,$AC$2),FM$3))</f>
        <v>1</v>
      </c>
      <c r="FN16">
        <f>IF(OR(ROW()-4&gt;INDEX($U$4:$U$11,$AC$2+1,1)-INDEX($U$4:$U$11,$AC$2,1),ROW()-4&gt;$AD$2),NA(),COUNTIF(INDEX($CZ$5:$DF$201,INDEX($U$4:$U$11,1,1),$AC$2):INDEX($CZ$5:$DF$201,INDEX($U$4:$U$11,1,1)+ROW()-5,$AC$2),FN$3))</f>
        <v>0</v>
      </c>
      <c r="FO16">
        <f>IF(OR(ROW()-4&gt;INDEX($U$4:$U$11,$AC$2+1,1)-INDEX($U$4:$U$11,$AC$2,1),ROW()-4&gt;$AD$2),NA(),COUNTIF(INDEX($CZ$5:$DF$201,INDEX($U$4:$U$11,1,1),$AC$2):INDEX($CZ$5:$DF$201,INDEX($U$4:$U$11,1,1)+ROW()-5,$AC$2),FO$3))</f>
        <v>2</v>
      </c>
      <c r="FP16">
        <f>IF(OR(ROW()-4&gt;INDEX($U$4:$U$11,$AC$2+1,1)-INDEX($U$4:$U$11,$AC$2,1),ROW()-4&gt;$AD$2),NA(),COUNTIF(INDEX($CZ$5:$DF$201,INDEX($U$4:$U$11,1,1),$AC$2):INDEX($CZ$5:$DF$201,INDEX($U$4:$U$11,1,1)+ROW()-5,$AC$2),FP$3))</f>
        <v>0</v>
      </c>
      <c r="FQ16">
        <f>IF(OR(ROW()-4&gt;INDEX($U$4:$U$11,$AC$2+1,1)-INDEX($U$4:$U$11,$AC$2,1),ROW()-4&gt;$AD$2),NA(),COUNTIF(INDEX($CZ$5:$DF$201,INDEX($U$4:$U$11,1,1),$AC$2):INDEX($CZ$5:$DF$201,INDEX($U$4:$U$11,1,1)+ROW()-5,$AC$2),FQ$3))</f>
        <v>1</v>
      </c>
      <c r="FR16">
        <f>IF(OR(ROW()-4&gt;INDEX($U$4:$U$11,$AC$2+1,1)-INDEX($U$4:$U$11,$AC$2,1),ROW()-4&gt;$AD$2),NA(),COUNTIF(INDEX($CZ$5:$DF$201,INDEX($U$4:$U$11,1,1),$AC$2):INDEX($CZ$5:$DF$201,INDEX($U$4:$U$11,1,1)+ROW()-5,$AC$2),FR$3))</f>
        <v>0</v>
      </c>
      <c r="FS16">
        <f>IF(OR(ROW()-4&gt;INDEX($U$4:$U$11,$AC$2+1,1)-INDEX($U$4:$U$11,$AC$2,1),ROW()-4&gt;$AD$2),NA(),COUNTIF(INDEX($CZ$5:$DF$201,INDEX($U$4:$U$11,1,1),$AC$2):INDEX($CZ$5:$DF$201,INDEX($U$4:$U$11,1,1)+ROW()-5,$AC$2),FS$3))</f>
        <v>0</v>
      </c>
      <c r="FT16">
        <f>IF(OR(ROW()-4&gt;INDEX($U$4:$U$11,$AC$2+1,1)-INDEX($U$4:$U$11,$AC$2,1),ROW()-4&gt;$AD$2),NA(),COUNTIF(INDEX($CZ$5:$DF$201,INDEX($U$4:$U$11,1,1),$AC$2):INDEX($CZ$5:$DF$201,INDEX($U$4:$U$11,1,1)+ROW()-5,$AC$2),FT$3))</f>
        <v>0</v>
      </c>
      <c r="FU16">
        <f>IF(OR(ROW()-4&gt;INDEX($U$4:$U$11,$AC$2+1,1)-INDEX($U$4:$U$11,$AC$2,1),ROW()-4&gt;$AD$2),NA(),COUNTIF(INDEX($CZ$5:$DF$201,INDEX($U$4:$U$11,1,1),$AC$2):INDEX($CZ$5:$DF$201,INDEX($U$4:$U$11,1,1)+ROW()-5,$AC$2),FU$3))</f>
        <v>1</v>
      </c>
      <c r="FW16">
        <f>IF(OR(ROW()-4&gt;INDEX($U$4:$U$11,$AC$2+1,1)-INDEX($U$4:$U$11,$AC$2,1),ROW()-4&gt;$AD$2),NA(),COUNTIF(INDEX($CZ$5:$DF$201,INDEX($U$4:$U$11,1,1),$AC$2):INDEX($CZ$5:$DF$201,INDEX($U$4:$U$11,1,1)+ROW()-5,$AC$2),FW$3))</f>
        <v>0</v>
      </c>
      <c r="FX16">
        <f>IF(OR(ROW()-4&gt;INDEX($U$4:$U$11,$AC$2+1,1)-INDEX($U$4:$U$11,$AC$2,1),ROW()-4&gt;$AD$2),NA(),COUNTIF(INDEX($CZ$5:$DF$201,INDEX($U$4:$U$11,1,1),$AC$2):INDEX($CZ$5:$DF$201,INDEX($U$4:$U$11,1,1)+ROW()-5,$AC$2),FX$3))</f>
        <v>1</v>
      </c>
      <c r="FY16">
        <f>IF(OR(ROW()-4&gt;INDEX($U$4:$U$11,$AC$2+1,1)-INDEX($U$4:$U$11,$AC$2,1),ROW()-4&gt;$AD$2),NA(),COUNTIF(INDEX($CZ$5:$DF$201,INDEX($U$4:$U$11,1,1),$AC$2):INDEX($CZ$5:$DF$201,INDEX($U$4:$U$11,1,1)+ROW()-5,$AC$2),FY$3))</f>
        <v>0</v>
      </c>
      <c r="FZ16">
        <f>IF(OR(ROW()-4&gt;INDEX($U$4:$U$11,$AC$2+1,1)-INDEX($U$4:$U$11,$AC$2,1),ROW()-4&gt;$AD$2),NA(),COUNTIF(INDEX($CZ$5:$DF$201,INDEX($U$4:$U$11,1,1),$AC$2):INDEX($CZ$5:$DF$201,INDEX($U$4:$U$11,1,1)+ROW()-5,$AC$2),FZ$3))</f>
        <v>0</v>
      </c>
      <c r="GA16">
        <f>IF(OR(ROW()-4&gt;INDEX($U$4:$U$11,$AC$2+1,1)-INDEX($U$4:$U$11,$AC$2,1),ROW()-4&gt;$AD$2),NA(),COUNTIF(INDEX($CZ$5:$DF$201,INDEX($U$4:$U$11,1,1),$AC$2):INDEX($CZ$5:$DF$201,INDEX($U$4:$U$11,1,1)+ROW()-5,$AC$2),GA$3))</f>
        <v>1</v>
      </c>
      <c r="GB16">
        <f>IF(OR(ROW()-4&gt;INDEX($U$4:$U$11,$AC$2+1,1)-INDEX($U$4:$U$11,$AC$2,1),ROW()-4&gt;$AD$2),NA(),COUNTIF(INDEX($CZ$5:$DF$201,INDEX($U$4:$U$11,1,1),$AC$2):INDEX($CZ$5:$DF$201,INDEX($U$4:$U$11,1,1)+ROW()-5,$AC$2),GB$3))</f>
        <v>1</v>
      </c>
      <c r="GC16">
        <f>IF(OR(ROW()-4&gt;INDEX($U$4:$U$11,$AC$2+1,1)-INDEX($U$4:$U$11,$AC$2,1),ROW()-4&gt;$AD$2),NA(),COUNTIF(INDEX($CZ$5:$DF$201,INDEX($U$4:$U$11,1,1),$AC$2):INDEX($CZ$5:$DF$201,INDEX($U$4:$U$11,1,1)+ROW()-5,$AC$2),GC$3))</f>
        <v>1</v>
      </c>
      <c r="GD16">
        <f>IF(OR(ROW()-4&gt;INDEX($U$4:$U$11,$AC$2+1,1)-INDEX($U$4:$U$11,$AC$2,1),ROW()-4&gt;$AD$2),NA(),COUNTIF(INDEX($CZ$5:$DF$201,INDEX($U$4:$U$11,1,1),$AC$2):INDEX($CZ$5:$DF$201,INDEX($U$4:$U$11,1,1)+ROW()-5,$AC$2),GD$3))</f>
        <v>1</v>
      </c>
      <c r="GE16">
        <f>IF(OR(ROW()-4&gt;INDEX($U$4:$U$11,$AC$2+1,1)-INDEX($U$4:$U$11,$AC$2,1),ROW()-4&gt;$AD$2),NA(),COUNTIF(INDEX($CZ$5:$DF$201,INDEX($U$4:$U$11,1,1),$AC$2):INDEX($CZ$5:$DF$201,INDEX($U$4:$U$11,1,1)+ROW()-5,$AC$2),GE$3))</f>
        <v>0</v>
      </c>
      <c r="GF16">
        <f>IF(OR(ROW()-4&gt;INDEX($U$4:$U$11,$AC$2+1,1)-INDEX($U$4:$U$11,$AC$2,1),ROW()-4&gt;$AD$2),NA(),COUNTIF(INDEX($CZ$5:$DF$201,INDEX($U$4:$U$11,1,1),$AC$2):INDEX($CZ$5:$DF$201,INDEX($U$4:$U$11,1,1)+ROW()-5,$AC$2),GF$3))</f>
        <v>0</v>
      </c>
      <c r="GJ16" t="s">
        <v>10</v>
      </c>
      <c r="GK16" t="s">
        <v>33</v>
      </c>
      <c r="GQ16" s="66" t="s">
        <v>66</v>
      </c>
      <c r="GR16" s="66"/>
      <c r="GS16" s="66"/>
      <c r="GT16" s="66"/>
      <c r="GV16" s="67" t="s">
        <v>66</v>
      </c>
      <c r="GW16" s="67"/>
      <c r="GX16" s="67"/>
      <c r="GY16" s="67"/>
    </row>
    <row r="17" spans="1:224" x14ac:dyDescent="0.45">
      <c r="A17" t="str">
        <f>データの貼付!A15</f>
        <v>FENG Tianwei</v>
      </c>
      <c r="B17">
        <f>データの貼付!B15</f>
        <v>3.3316435185185185E-3</v>
      </c>
      <c r="C17">
        <f>データの貼付!C15</f>
        <v>8.9594907407407416E-5</v>
      </c>
      <c r="D17">
        <f>データの貼付!D15</f>
        <v>0</v>
      </c>
      <c r="E17" t="str">
        <f>データの貼付!F15</f>
        <v>KIHARA Miyuu</v>
      </c>
      <c r="F17">
        <f>データの貼付!E15</f>
        <v>0</v>
      </c>
      <c r="G17" t="str">
        <f>データの貼付!G15</f>
        <v>#08</v>
      </c>
      <c r="H17" t="str">
        <f>データの貼付!H15</f>
        <v>FENG Tianwei</v>
      </c>
      <c r="I17" t="str">
        <f>データの貼付!I15</f>
        <v>(Side)</v>
      </c>
      <c r="J17" t="str">
        <f>データの貼付!J15</f>
        <v>B</v>
      </c>
      <c r="K17" t="str">
        <f>データの貼付!K15</f>
        <v>B</v>
      </c>
      <c r="L17" t="str">
        <f>データの貼付!L15</f>
        <v>B</v>
      </c>
      <c r="M17" t="str">
        <f>データの貼付!M15</f>
        <v>ドライブ</v>
      </c>
      <c r="N17" t="str">
        <f>データの貼付!N15</f>
        <v>BMS</v>
      </c>
      <c r="R17">
        <f t="shared" si="59"/>
        <v>0</v>
      </c>
      <c r="S17">
        <f>SUM(R$4:R17)</f>
        <v>1</v>
      </c>
      <c r="T17" t="str">
        <f t="shared" si="60"/>
        <v/>
      </c>
      <c r="W17" t="str">
        <f t="shared" si="57"/>
        <v>KIHARA Miyuu_FENG Tianwei</v>
      </c>
      <c r="X17" t="str">
        <f t="shared" si="58"/>
        <v>KIHARA Miyuu_#08</v>
      </c>
      <c r="Y17" t="str">
        <f>$AD$3&amp;"RVP"</f>
        <v>KIHARA MiyuuRVP</v>
      </c>
      <c r="Z17">
        <f>(INDEX($AV$5:$BB$40,$AD$2,$AC$2)&lt;&gt;INDEX($BD$5:$BJ$40,$AD$2,$AC$2))*(INDEX($AV$5:$BB$40,$AD$2,$AC$2)=$AD$3)</f>
        <v>0</v>
      </c>
      <c r="AC17" s="8">
        <f>IF(OR(ROW()-4&gt;INDEX($U$4:$U$11,AC$2+1)-INDEX($U$4:$U$11,AC$2),ROW()-4&gt;AD$2),NA(),COUNTIF(INDEX($W$4:$W$200,INDEX($U$4:$U$11,AC$2)):INDEX($W$4:$W$200,INDEX($U$4:$U$11,AC$2)+ROW()-5),AC$3&amp;"_"&amp;AC$3)/(COUNTIF(INDEX($W$4:$W$200,INDEX($U$4:$U$11,AC$2)):INDEX($W$4:$W$200,INDEX($U$4:$U$11,AC$2)+ROW()-5),AC$3&amp;"_"&amp;AC$3)+COUNTIF(INDEX($W$4:$W$200,INDEX($U$4:$U$11,AC$2)):INDEX($W$4:$W$200,INDEX($U$4:$U$11,AC$2)+ROW()-5),AD$3&amp;"_"&amp;AC$3)))</f>
        <v>0.7142857142857143</v>
      </c>
      <c r="AD17" s="8">
        <f>IF(OR(ROW()-4&gt;INDEX($U$4:$U$11,AC$2+1)-INDEX($U$4:$U$11,AC$2),ROW()-4&gt;AD$2),NA(),COUNTIF(INDEX($W$4:$W$200,INDEX($U$4:$U$11,AC$2)):INDEX($W$4:$W$200,INDEX($U$4:$U$11,AC$2)+ROW()-5),AD$3&amp;"_"&amp;AD$3)/(COUNTIF(INDEX($W$4:$W$200,INDEX($U$4:$U$11,AC$2)):INDEX($W$4:$W$200,INDEX($U$4:$U$11,AC$2)+ROW()-5),AD$3&amp;"_"&amp;AD$3)+COUNTIF(INDEX($W$4:$W$200,INDEX($U$4:$U$11,AC$2)):INDEX($W$4:$W$200,INDEX($U$4:$U$11,AC$2)+ROW()-5),AC$3&amp;"_"&amp;AD$3)))</f>
        <v>0.5</v>
      </c>
      <c r="AE17" s="10">
        <f>IF(OR(ROW()-4&gt;INDEX($U$4:$U$11,AC$2+1)-INDEX($U$4:$U$11,AC$2),ROW()-4&gt;AD$2),NA(),COUNTIF(INDEX($W$4:$W$200,INDEX($U$4:$U$11,AC$2)):INDEX($W$4:$W$200,INDEX($U$4:$U$11,AC$2)+ROW()-5),AC$3&amp;"_"&amp;AD$3)/(COUNTIF(INDEX($W$4:$W$200,INDEX($U$4:$U$11,AC$2)):INDEX($W$4:$W$200,INDEX($U$4:$U$11,AC$2)+ROW()-5),AC$3&amp;"_"&amp;AD$3)+COUNTIF(INDEX($W$4:$W$200,INDEX($U$4:$U$11,AC$2)):INDEX($W$4:$W$200,INDEX($U$4:$U$11,AC$2)+ROW()-5),AD$3&amp;"_"&amp;AD$3)))</f>
        <v>0.5</v>
      </c>
      <c r="AF17" s="10">
        <f>IF(OR(ROW()-4&gt;INDEX($U$4:$U$11,AC$2+1)-INDEX($U$4:$U$11,AC$2),ROW()-4&gt;AD$2),NA(),COUNTIF(INDEX($W$4:$W$200,INDEX($U$4:$U$11,AC$2)):INDEX($W$4:$W$200,INDEX($U$4:$U$11,AC$2)+ROW()-5),AD$3&amp;"_"&amp;AC$3)/(COUNTIF(INDEX($W$4:$W$200,INDEX($U$4:$U$11,AC$2)):INDEX($W$4:$W$200,INDEX($U$4:$U$11,AC$2)+ROW()-5),AD$3&amp;"_"&amp;AC$3)+COUNTIF(INDEX($W$4:$W$200,INDEX($U$4:$U$11,AC$2)):INDEX($W$4:$W$200,INDEX($U$4:$U$11,AC$2)+ROW()-5),AC$3&amp;"_"&amp;AC$3)))</f>
        <v>0.2857142857142857</v>
      </c>
      <c r="AG17" s="10">
        <f>IF(OR(ROW()-4&gt;INDEX($U$4:$U$11,AC$2+1)-INDEX($U$4:$U$11,AC$2),ROW()-4&gt;AD$2),NA(),COUNTIF(INDEX($X$4:$X$200,INDEX($U$4:$U$11,AC$2)):INDEX($X$4:$X$200,INDEX($U$4:$U$11,AC$2)+ROW()-5),AC$3&amp;"_#03")/(COUNTIF(INDEX($W$4:$W$200,INDEX($U$4:$U$11,AC$2)):INDEX($W$4:$W$200,INDEX($U$4:$U$11,AC$2)+ROW()-5),AC$3&amp;"_"&amp;AC$3)+COUNTIF(INDEX($W$4:$W$200,INDEX($U$4:$U$11,AC$2)):INDEX($W$4:$W$200,INDEX($U$4:$U$11,AC$2)+ROW()-5),AD$3&amp;"_"&amp;AC$3)))</f>
        <v>0.2857142857142857</v>
      </c>
      <c r="AH17" s="10">
        <f>IF(OR(ROW()-4&gt;INDEX($U$4:$U$11,AC$2+1)-INDEX($U$4:$U$11,AC$2),ROW()-4&gt;AD$2),NA(),COUNTIF(INDEX($X$4:$X$200,INDEX($U$4:$U$11,AC$2)):INDEX($X$4:$X$200,INDEX($U$4:$U$11,AC$2)+ROW()-5),AD$3&amp;"_#03")/(COUNTIF(INDEX($W$4:$W$200,INDEX($U$4:$U$11,AC$2)):INDEX($W$4:$W$200,INDEX($U$4:$U$11,AC$2)+ROW()-5),AD$3&amp;"_"&amp;AD$3)+COUNTIF(INDEX($W$4:$W$200,INDEX($U$4:$U$11,AC$2)):INDEX($W$4:$W$200,INDEX($U$4:$U$11,AC$2)+ROW()-5),AC$3&amp;"_"&amp;AD$3)))</f>
        <v>0</v>
      </c>
      <c r="AI17" s="10">
        <f>IF(OR(ROW()-4&gt;INDEX($U$4:$U$11,AC$2+1)-INDEX($U$4:$U$11,AC$2),ROW()-4&gt;AD$2),NA(),(COUNTIF(INDEX($X$4:$X$200,INDEX($U$4:$U$11,AC$2)):INDEX($X$4:$X$200,INDEX($U$4:$U$11,AC$2)+ROW()-5),AC$3&amp;"_#03")-COUNTIF(INDEX($X$4:$X$200,INDEX($U$4:$U$11,AC$2)):INDEX($X$4:$X$200,INDEX($U$4:$U$11,AC$2)+ROW()-5),AD$3&amp;"_#02"))/(COUNTIF(INDEX($W$4:$W$200,INDEX($U$4:$U$11,AC$2)):INDEX($W$4:$W$200,INDEX($U$4:$U$11,AC$2)+ROW()-5),AC$3&amp;"_"&amp;AC$3)+COUNTIF(INDEX($W$4:$W$200,INDEX($U$4:$U$11,AC$2)):INDEX($W$4:$W$200,INDEX($U$4:$U$11,AC$2)+ROW()-5),AD$3&amp;"_"&amp;AC$3)))</f>
        <v>0.14285714285714285</v>
      </c>
      <c r="AJ17" s="10">
        <f>IF(OR(ROW()-4&gt;INDEX($U$4:$U$11,AC$2+1)-INDEX($U$4:$U$11,AC$2),ROW()-4&gt;AD$2),NA(),(COUNTIF(INDEX($X$4:$X$200,INDEX($U$4:$U$11,AC$2)):INDEX($X$4:$X$200,INDEX($U$4:$U$11,AC$2)+ROW()-5),AD$3&amp;"_#03")-COUNTIF(INDEX($X$4:$X$200,INDEX($U$4:$U$11,AC$2)):INDEX($X$4:$X$200,INDEX($U$4:$U$11,AC$2)+ROW()-5),AC$3&amp;"_#02"))/(COUNTIF(INDEX($W$4:$W$200,INDEX($U$4:$U$11,AC$2)):INDEX($W$4:$W$200,INDEX($U$4:$U$11,AC$2)+ROW()-5),AD$3&amp;"_"&amp;AD$3)+COUNTIF(INDEX($W$4:$W$200,INDEX($U$4:$U$11,AC$2)):INDEX($W$4:$W$200,INDEX($U$4:$U$11,AC$2)+ROW()-5),AC$3&amp;"_"&amp;AD$3)))</f>
        <v>-0.16666666666666666</v>
      </c>
      <c r="AK17" s="10">
        <f>IF(OR(ROW()-4&gt;INDEX($U$4:$U$11,AC$2+1)-INDEX($U$4:$U$11,AC$2),ROW()-4&gt;AD$2),NA(),(COUNTIF(INDEX($X$4:$X$200,INDEX($U$4:$U$11,AC$2)):INDEX($X$4:$X$200,INDEX($U$4:$U$11,AC$2)+ROW()-5),AC$3&amp;"_#01")+COUNTIF(INDEX($X$4:$X$200,INDEX($U$4:$U$11,AC$2)):INDEX($X$4:$X$200,INDEX($U$4:$U$11,AC$2)+ROW()-5),AC$3&amp;"_#03"))/(COUNTIF(INDEX($W$4:$W$200,INDEX($U$4:$U$11,AC$2)):INDEX($W$4:$W$200,INDEX($U$4:$U$11,AC$2)+ROW()-5),AC$3&amp;"_"&amp;AC$3)+COUNTIF(INDEX($W$4:$W$200,INDEX($U$4:$U$11,AC$2)):INDEX($W$4:$W$200,INDEX($U$4:$U$11,AC$2)+ROW()-5),AD$3&amp;"_"&amp;AC$3)))</f>
        <v>0.42857142857142855</v>
      </c>
      <c r="AL17" s="10">
        <f>IF(OR(ROW()-4&gt;INDEX($U$4:$U$11,AC$2+1)-INDEX($U$4:$U$11,AC$2),ROW()-4&gt;AD$2),NA(),(COUNTIF(INDEX($X$4:$X$200,INDEX($U$4:$U$11,AC$2)):INDEX($X$4:$X$200,INDEX($U$4:$U$11,AC$2)+ROW()-5),AD$3&amp;"_#01")+COUNTIF(INDEX($X$4:$X$200,INDEX($U$4:$U$11,AC$2)):INDEX($X$4:$X$200,INDEX($U$4:$U$11,AC$2)+ROW()-5),AD$3&amp;"_#03"))/(COUNTIF(INDEX($W$4:$W$200,INDEX($U$4:$U$11,AC$2)):INDEX($W$4:$W$200,INDEX($U$4:$U$11,AC$2)+ROW()-5),AD$3&amp;"_"&amp;AD$3)+COUNTIF(INDEX($W$4:$W$200,INDEX($U$4:$U$11,AC$2)):INDEX($W$4:$W$200,INDEX($U$4:$U$11,AC$2)+ROW()-5),AC$3&amp;"_"&amp;AD$3)))</f>
        <v>0.33333333333333331</v>
      </c>
      <c r="AN17">
        <f t="shared" si="125"/>
        <v>13</v>
      </c>
      <c r="AO17">
        <f t="shared" si="111"/>
        <v>30</v>
      </c>
      <c r="AP17">
        <f t="shared" si="112"/>
        <v>45</v>
      </c>
      <c r="AQ17">
        <f t="shared" si="113"/>
        <v>61</v>
      </c>
      <c r="AR17" t="str">
        <f t="shared" si="114"/>
        <v/>
      </c>
      <c r="AS17" t="e">
        <f t="shared" si="115"/>
        <v>#VALUE!</v>
      </c>
      <c r="AT17" t="e">
        <f t="shared" si="116"/>
        <v>#VALUE!</v>
      </c>
      <c r="AV17" t="str">
        <f t="shared" si="117"/>
        <v>KIHARA Miyuu</v>
      </c>
      <c r="AW17" t="str">
        <f t="shared" si="63"/>
        <v>KIHARA Miyuu</v>
      </c>
      <c r="AX17" t="str">
        <f t="shared" si="64"/>
        <v>FENG Tianwei</v>
      </c>
      <c r="AY17" t="str">
        <f t="shared" si="65"/>
        <v>KIHARA Miyuu</v>
      </c>
      <c r="AZ17" t="e">
        <f t="shared" si="66"/>
        <v>#VALUE!</v>
      </c>
      <c r="BA17" t="e">
        <f t="shared" si="67"/>
        <v>#VALUE!</v>
      </c>
      <c r="BB17" t="e">
        <f t="shared" si="68"/>
        <v>#VALUE!</v>
      </c>
      <c r="BD17" t="str">
        <f t="shared" si="118"/>
        <v>KIHARA Miyuu</v>
      </c>
      <c r="BE17" t="str">
        <f t="shared" si="69"/>
        <v>KIHARA Miyuu</v>
      </c>
      <c r="BF17" t="str">
        <f t="shared" si="70"/>
        <v>FENG Tianwei</v>
      </c>
      <c r="BG17" t="str">
        <f t="shared" si="71"/>
        <v>KIHARA Miyuu</v>
      </c>
      <c r="BH17" t="e">
        <f t="shared" si="72"/>
        <v>#VALUE!</v>
      </c>
      <c r="BI17" t="e">
        <f t="shared" si="73"/>
        <v>#VALUE!</v>
      </c>
      <c r="BJ17" t="e">
        <f t="shared" si="74"/>
        <v>#VALUE!</v>
      </c>
      <c r="BL17" t="str">
        <f t="shared" si="119"/>
        <v>KIHARA Miyuu_(Side)</v>
      </c>
      <c r="BM17" t="str">
        <f t="shared" si="75"/>
        <v>KIHARA Miyuu_(Side)</v>
      </c>
      <c r="BN17" t="str">
        <f t="shared" si="76"/>
        <v>FENG Tianwei_Side</v>
      </c>
      <c r="BO17" t="str">
        <f t="shared" si="77"/>
        <v>KIHARA Miyuu_(Side)</v>
      </c>
      <c r="BP17" t="e">
        <f t="shared" si="78"/>
        <v>#VALUE!</v>
      </c>
      <c r="BQ17" t="e">
        <f t="shared" si="79"/>
        <v>#VALUE!</v>
      </c>
      <c r="BR17" t="e">
        <f t="shared" si="80"/>
        <v>#VALUE!</v>
      </c>
      <c r="BT17" t="str">
        <f t="shared" si="120"/>
        <v>KIHARA Miyuu_B</v>
      </c>
      <c r="BU17" t="str">
        <f t="shared" si="81"/>
        <v>KIHARA Miyuu_B</v>
      </c>
      <c r="BV17" t="str">
        <f t="shared" si="82"/>
        <v>FENG Tianwei_B</v>
      </c>
      <c r="BW17" t="str">
        <f t="shared" si="83"/>
        <v>KIHARA Miyuu_B</v>
      </c>
      <c r="BX17" t="e">
        <f t="shared" si="84"/>
        <v>#VALUE!</v>
      </c>
      <c r="BY17" t="e">
        <f t="shared" si="85"/>
        <v>#VALUE!</v>
      </c>
      <c r="BZ17" t="e">
        <f t="shared" si="86"/>
        <v>#VALUE!</v>
      </c>
      <c r="CB17" t="str">
        <f t="shared" si="121"/>
        <v>KIHARA Miyuu_BS</v>
      </c>
      <c r="CC17" t="str">
        <f t="shared" si="87"/>
        <v>KIHARA Miyuu_FMS</v>
      </c>
      <c r="CD17" t="str">
        <f t="shared" si="88"/>
        <v>FENG Tianwei_B</v>
      </c>
      <c r="CE17" t="str">
        <f t="shared" si="89"/>
        <v>KIHARA Miyuu_FMS</v>
      </c>
      <c r="CF17" t="e">
        <f t="shared" si="90"/>
        <v>#VALUE!</v>
      </c>
      <c r="CG17" t="e">
        <f t="shared" si="91"/>
        <v>#VALUE!</v>
      </c>
      <c r="CH17" t="e">
        <f t="shared" si="92"/>
        <v>#VALUE!</v>
      </c>
      <c r="CJ17" t="str">
        <f t="shared" si="122"/>
        <v>FENG Tianwei_B</v>
      </c>
      <c r="CK17" t="str">
        <f t="shared" si="93"/>
        <v>FENG Tianwei_F</v>
      </c>
      <c r="CL17" t="str">
        <f t="shared" si="94"/>
        <v>KIHARA Miyuu_B</v>
      </c>
      <c r="CM17" t="str">
        <f t="shared" si="95"/>
        <v>FENG Tianwei_F</v>
      </c>
      <c r="CN17" t="e">
        <f t="shared" si="96"/>
        <v>#VALUE!</v>
      </c>
      <c r="CO17" t="e">
        <f t="shared" si="97"/>
        <v>#VALUE!</v>
      </c>
      <c r="CP17" t="e">
        <f t="shared" si="98"/>
        <v>#VALUE!</v>
      </c>
      <c r="CR17" t="str">
        <f t="shared" si="123"/>
        <v>FENG Tianwei_Push</v>
      </c>
      <c r="CS17" t="str">
        <f t="shared" si="99"/>
        <v>FENG Tianwei_Push</v>
      </c>
      <c r="CT17" t="str">
        <f t="shared" si="100"/>
        <v>KIHARA Miyuu_ドライブ</v>
      </c>
      <c r="CU17" t="str">
        <f t="shared" si="101"/>
        <v>FENG Tianwei_Push</v>
      </c>
      <c r="CV17" t="e">
        <f t="shared" si="102"/>
        <v>#VALUE!</v>
      </c>
      <c r="CW17" t="e">
        <f t="shared" si="103"/>
        <v>#VALUE!</v>
      </c>
      <c r="CX17" t="e">
        <f t="shared" si="104"/>
        <v>#VALUE!</v>
      </c>
      <c r="CZ17" t="str">
        <f t="shared" si="124"/>
        <v>FENG Tianwei_ネット</v>
      </c>
      <c r="DA17" t="str">
        <f t="shared" si="105"/>
        <v>FENG Tianwei_オーバーミス</v>
      </c>
      <c r="DB17" t="str">
        <f t="shared" si="106"/>
        <v>KIHARA Miyuu_FM</v>
      </c>
      <c r="DC17" t="str">
        <f t="shared" si="107"/>
        <v>FENG Tianwei_B</v>
      </c>
      <c r="DD17" t="e">
        <f t="shared" si="108"/>
        <v>#VALUE!</v>
      </c>
      <c r="DE17" t="e">
        <f t="shared" si="109"/>
        <v>#VALUE!</v>
      </c>
      <c r="DF17" t="e">
        <f t="shared" si="110"/>
        <v>#VALUE!</v>
      </c>
      <c r="DH17">
        <f>IF(OR(ROW()-4&gt;INDEX($U$4:$U$11,$AC$2+1,1)-INDEX($U$4:$U$11,$AC$2,1),ROW()-4&gt;$AD$2),NA(),COUNTIF(INDEX($BL$5:$BR$50,INDEX($U$4:$U$11,1,1),$AC$2):INDEX($BL$5:$BR$50,INDEX($U$4:$U$11,1,1)+ROW()-5,$AC$2),DH$3))</f>
        <v>2</v>
      </c>
      <c r="DI17">
        <f>IF(OR(ROW()-4&gt;INDEX($U$4:$U$11,$AC$2+1,1)-INDEX($U$4:$U$11,$AC$2,1),ROW()-4&gt;$AD$2),NA(),COUNTIF(INDEX($BL$5:$BR$50,INDEX($U$4:$U$11,1,1),$AC$2):INDEX($BL$5:$BR$50,INDEX($U$4:$U$11,1,1)+ROW()-5,$AC$2),DI$3))</f>
        <v>5</v>
      </c>
      <c r="DJ17">
        <f>IF(OR(ROW()-4&gt;INDEX($U$4:$U$11,$AC$2+1,1)-INDEX($U$4:$U$11,$AC$2,1),ROW()-4&gt;$AD$2),NA(),COUNTIF(INDEX($BL$5:$BR$50,INDEX($U$4:$U$11,1,1),$AC$2):INDEX($BL$5:$BR$50,INDEX($U$4:$U$11,1,1)+ROW()-5,$AC$2),DJ$3))</f>
        <v>0</v>
      </c>
      <c r="DL17">
        <f>IF(OR(ROW()-4&gt;INDEX($U$4:$U$11,$AC$2+1,1)-INDEX($U$4:$U$11,$AC$2,1),ROW()-4&gt;$AD$2),NA(),COUNTIF(INDEX($BL$5:$BR$50,INDEX($U$4:$U$11,1,1),$AC$2):INDEX($BL$5:$BR$50,INDEX($U$4:$U$11,1,1)+ROW()-5,$AC$2),DL$3))</f>
        <v>0</v>
      </c>
      <c r="DM17">
        <f>IF(OR(ROW()-4&gt;INDEX($U$4:$U$11,$AC$2+1,1)-INDEX($U$4:$U$11,$AC$2,1),ROW()-4&gt;$AD$2),NA(),COUNTIF(INDEX($BL$5:$BR$50,INDEX($U$4:$U$11,1,1),$AC$2):INDEX($BL$5:$BR$50,INDEX($U$4:$U$11,1,1)+ROW()-5,$AC$2),DM$3))</f>
        <v>0</v>
      </c>
      <c r="DN17">
        <f>IF(OR(ROW()-4&gt;INDEX($U$4:$U$11,$AC$2+1,1)-INDEX($U$4:$U$11,$AC$2,1),ROW()-4&gt;$AD$2),NA(),COUNTIF(INDEX($BL$5:$BR$50,INDEX($U$4:$U$11,1,1),$AC$2):INDEX($BL$5:$BR$50,INDEX($U$4:$U$11,1,1)+ROW()-5,$AC$2),DN$3))</f>
        <v>6</v>
      </c>
      <c r="DP17">
        <f>IF(OR(ROW()-4&gt;INDEX($U$4:$U$11,$AC$2+1,1)-INDEX($U$4:$U$11,$AC$2,1),ROW()-4&gt;$AD$2),NA(),COUNTIF(INDEX($BT$5:$BZ$201,INDEX($U$4:$U$11,1,1),$AC$2):INDEX($BT$5:$BZ$201,INDEX($U$4:$U$11,1,1)+ROW()-5,$AC$2),DP$3))</f>
        <v>7</v>
      </c>
      <c r="DQ17">
        <f>IF(OR(ROW()-4&gt;INDEX($U$4:$U$11,$AC$2+1,1)-INDEX($U$4:$U$11,$AC$2,1),ROW()-4&gt;$AD$2),NA(),COUNTIF(INDEX($BT$5:$BZ$201,INDEX($U$4:$U$11,1,1),$AC$2):INDEX($BT$5:$BZ$201,INDEX($U$4:$U$11,1,1)+ROW()-5,$AC$2),DQ$3))</f>
        <v>0</v>
      </c>
      <c r="DS17">
        <f>IF(OR(ROW()-4&gt;INDEX($U$4:$U$11,$AC$2+1,1)-INDEX($U$4:$U$11,$AC$2,1),ROW()-4&gt;$AD$2),NA(),COUNTIF(INDEX($BT$5:$BZ$201,INDEX($U$4:$U$11,1,1),$AC$2):INDEX($BT$5:$BZ$201,INDEX($U$4:$U$11,1,1)+ROW()-5,$AC$2),DS$3))</f>
        <v>6</v>
      </c>
      <c r="DT17">
        <f>IF(OR(ROW()-4&gt;INDEX($U$4:$U$11,$AC$2+1,1)-INDEX($U$4:$U$11,$AC$2,1),ROW()-4&gt;$AD$2),NA(),COUNTIF(INDEX($BT$5:$BZ$201,INDEX($U$4:$U$11,1,1),$AC$2):INDEX($BT$5:$BZ$201,INDEX($U$4:$U$11,1,1)+ROW()-5,$AC$2),DT$3))</f>
        <v>0</v>
      </c>
      <c r="DV17">
        <f>IF(OR(ROW()-4&gt;INDEX($U$4:$U$11,$AC$2+1,1)-INDEX($U$4:$U$11,$AC$2,1),ROW()-4&gt;$AD$2),NA(),COUNTIF(INDEX($CB$5:$CH$201,INDEX($U$4:$U$11,1,1),$AC$2):INDEX($CB$5:$CH$201,INDEX($U$4:$U$11,1,1)+ROW()-5,$AC$2),DV$3))</f>
        <v>0</v>
      </c>
      <c r="DW17">
        <f>IF(OR(ROW()-4&gt;INDEX($U$4:$U$11,$AC$2+1,1)-INDEX($U$4:$U$11,$AC$2,1),ROW()-4&gt;$AD$2),NA(),COUNTIF(INDEX($CB$5:$CH$201,INDEX($U$4:$U$11,1,1),$AC$2):INDEX($CB$5:$CH$201,INDEX($U$4:$U$11,1,1)+ROW()-5,$AC$2),DW$3))</f>
        <v>0</v>
      </c>
      <c r="DX17">
        <f>IF(OR(ROW()-4&gt;INDEX($U$4:$U$11,$AC$2+1,1)-INDEX($U$4:$U$11,$AC$2,1),ROW()-4&gt;$AD$2),NA(),COUNTIF(INDEX($CB$5:$CH$201,INDEX($U$4:$U$11,1,1),$AC$2):INDEX($CB$5:$CH$201,INDEX($U$4:$U$11,1,1)+ROW()-5,$AC$2),DX$3))</f>
        <v>3</v>
      </c>
      <c r="DY17">
        <f>IF(OR(ROW()-4&gt;INDEX($U$4:$U$11,$AC$2+1,1)-INDEX($U$4:$U$11,$AC$2,1),ROW()-4&gt;$AD$2),NA(),COUNTIF(INDEX($CB$5:$CH$201,INDEX($U$4:$U$11,1,1),$AC$2):INDEX($CB$5:$CH$201,INDEX($U$4:$U$11,1,1)+ROW()-5,$AC$2),DY$3))</f>
        <v>2</v>
      </c>
      <c r="DZ17">
        <f>IF(OR(ROW()-4&gt;INDEX($U$4:$U$11,$AC$2+1,1)-INDEX($U$4:$U$11,$AC$2,1),ROW()-4&gt;$AD$2),NA(),COUNTIF(INDEX($CB$5:$CH$201,INDEX($U$4:$U$11,1,1),$AC$2):INDEX($CB$5:$CH$201,INDEX($U$4:$U$11,1,1)+ROW()-5,$AC$2),DZ$3))</f>
        <v>1</v>
      </c>
      <c r="EA17">
        <f>IF(OR(ROW()-4&gt;INDEX($U$4:$U$11,$AC$2+1,1)-INDEX($U$4:$U$11,$AC$2,1),ROW()-4&gt;$AD$2),NA(),COUNTIF(INDEX($CB$5:$CH$201,INDEX($U$4:$U$11,1,1),$AC$2):INDEX($CB$5:$CH$201,INDEX($U$4:$U$11,1,1)+ROW()-5,$AC$2),EA$3))</f>
        <v>1</v>
      </c>
      <c r="EB17">
        <f>IF(OR(ROW()-4&gt;INDEX($U$4:$U$11,$AC$2+1,1)-INDEX($U$4:$U$11,$AC$2,1),ROW()-4&gt;$AD$2),NA(),COUNTIF(INDEX($CB$5:$CH$201,INDEX($U$4:$U$11,1,1),$AC$2):INDEX($CB$5:$CH$201,INDEX($U$4:$U$11,1,1)+ROW()-5,$AC$2),EB$3))</f>
        <v>0</v>
      </c>
      <c r="EC17">
        <f>IF(OR(ROW()-4&gt;INDEX($U$4:$U$11,$AC$2+1,1)-INDEX($U$4:$U$11,$AC$2,1),ROW()-4&gt;$AD$2),NA(),COUNTIF(INDEX($CB$5:$CH$201,INDEX($U$4:$U$11,1,1),$AC$2):INDEX($CB$5:$CH$201,INDEX($U$4:$U$11,1,1)+ROW()-5,$AC$2),EC$3))</f>
        <v>0</v>
      </c>
      <c r="EE17">
        <f>IF(OR(ROW()-4&gt;INDEX($U$4:$U$11,$AC$2+1,1)-INDEX($U$4:$U$11,$AC$2,1),ROW()-4&gt;$AD$2),NA(),COUNTIF(INDEX($CB$5:$CH$201,INDEX($U$4:$U$11,1,1),$AC$2):INDEX($CB$5:$CH$201,INDEX($U$4:$U$11,1,1)+ROW()-5,$AC$2),EE$3))</f>
        <v>0</v>
      </c>
      <c r="EF17">
        <f>IF(OR(ROW()-4&gt;INDEX($U$4:$U$11,$AC$2+1,1)-INDEX($U$4:$U$11,$AC$2,1),ROW()-4&gt;$AD$2),NA(),COUNTIF(INDEX($CB$5:$CH$201,INDEX($U$4:$U$11,1,1),$AC$2):INDEX($CB$5:$CH$201,INDEX($U$4:$U$11,1,1)+ROW()-5,$AC$2),EF$3))</f>
        <v>0</v>
      </c>
      <c r="EG17">
        <f>IF(OR(ROW()-4&gt;INDEX($U$4:$U$11,$AC$2+1,1)-INDEX($U$4:$U$11,$AC$2,1),ROW()-4&gt;$AD$2),NA(),COUNTIF(INDEX($CB$5:$CH$201,INDEX($U$4:$U$11,1,1),$AC$2):INDEX($CB$5:$CH$201,INDEX($U$4:$U$11,1,1)+ROW()-5,$AC$2),EG$3))</f>
        <v>0</v>
      </c>
      <c r="EH17">
        <f>IF(OR(ROW()-4&gt;INDEX($U$4:$U$11,$AC$2+1,1)-INDEX($U$4:$U$11,$AC$2,1),ROW()-4&gt;$AD$2),NA(),COUNTIF(INDEX($CB$5:$CH$201,INDEX($U$4:$U$11,1,1),$AC$2):INDEX($CB$5:$CH$201,INDEX($U$4:$U$11,1,1)+ROW()-5,$AC$2),EH$3))</f>
        <v>2</v>
      </c>
      <c r="EI17">
        <f>IF(OR(ROW()-4&gt;INDEX($U$4:$U$11,$AC$2+1,1)-INDEX($U$4:$U$11,$AC$2,1),ROW()-4&gt;$AD$2),NA(),COUNTIF(INDEX($CB$5:$CH$201,INDEX($U$4:$U$11,1,1),$AC$2):INDEX($CB$5:$CH$201,INDEX($U$4:$U$11,1,1)+ROW()-5,$AC$2),EI$3))</f>
        <v>3</v>
      </c>
      <c r="EJ17">
        <f>IF(OR(ROW()-4&gt;INDEX($U$4:$U$11,$AC$2+1,1)-INDEX($U$4:$U$11,$AC$2,1),ROW()-4&gt;$AD$2),NA(),COUNTIF(INDEX($CB$5:$CH$201,INDEX($U$4:$U$11,1,1),$AC$2):INDEX($CB$5:$CH$201,INDEX($U$4:$U$11,1,1)+ROW()-5,$AC$2),EJ$3))</f>
        <v>1</v>
      </c>
      <c r="EK17">
        <f>IF(OR(ROW()-4&gt;INDEX($U$4:$U$11,$AC$2+1,1)-INDEX($U$4:$U$11,$AC$2,1),ROW()-4&gt;$AD$2),NA(),COUNTIF(INDEX($CB$5:$CH$201,INDEX($U$4:$U$11,1,1),$AC$2):INDEX($CB$5:$CH$201,INDEX($U$4:$U$11,1,1)+ROW()-5,$AC$2),EK$3))</f>
        <v>0</v>
      </c>
      <c r="EL17">
        <f>IF(OR(ROW()-4&gt;INDEX($U$4:$U$11,$AC$2+1,1)-INDEX($U$4:$U$11,$AC$2,1),ROW()-4&gt;$AD$2),NA(),COUNTIF(INDEX($CB$5:$CH$201,INDEX($U$4:$U$11,1,1),$AC$2):INDEX($CB$5:$CH$201,INDEX($U$4:$U$11,1,1)+ROW()-5,$AC$2),EL$3))</f>
        <v>0</v>
      </c>
      <c r="EN17">
        <f>IF(OR(ROW()-4&gt;INDEX($U$4:$U$11,$AC$2+1,1)-INDEX($U$4:$U$11,$AC$2,1),ROW()-4&gt;$AD$2),NA(),COUNTIF(INDEX($CJ$5:$CP$201,INDEX($U$4:$U$11,1,1),$AC$2):INDEX($CJ$5:$CP$201,INDEX($U$4:$U$11,1,1)+ROW()-5,$AC$2),EN$3))</f>
        <v>3</v>
      </c>
      <c r="EO17">
        <f>IF(OR(ROW()-4&gt;INDEX($U$4:$U$11,$AC$2+1,1)-INDEX($U$4:$U$11,$AC$2,1),ROW()-4&gt;$AD$2),NA(),COUNTIF(INDEX($CJ$5:$CP$201,INDEX($U$4:$U$11,1,1),$AC$2):INDEX($CJ$5:$CP$201,INDEX($U$4:$U$11,1,1)+ROW()-5,$AC$2),EO$3))</f>
        <v>2</v>
      </c>
      <c r="EQ17">
        <f>IF(OR(ROW()-4&gt;INDEX($U$4:$U$11,$AC$2+1,1)-INDEX($U$4:$U$11,$AC$2,1),ROW()-4&gt;$AD$2),NA(),COUNTIF(INDEX($CJ$5:$CP$201,INDEX($U$4:$U$11,1,1),$AC$2):INDEX($CJ$5:$CP$201,INDEX($U$4:$U$11,1,1)+ROW()-5,$AC$2),EQ$3))</f>
        <v>6</v>
      </c>
      <c r="ER17">
        <f>IF(OR(ROW()-4&gt;INDEX($U$4:$U$11,$AC$2+1,1)-INDEX($U$4:$U$11,$AC$2,1),ROW()-4&gt;$AD$2),NA(),COUNTIF(INDEX($CJ$5:$CP$201,INDEX($U$4:$U$11,1,1),$AC$2):INDEX($CJ$5:$CP$201,INDEX($U$4:$U$11,1,1)+ROW()-5,$AC$2),ER$3))</f>
        <v>1</v>
      </c>
      <c r="ET17">
        <f>IF(OR(ROW()-4&gt;INDEX($U$4:$U$11,$AC$2+1,1)-INDEX($U$4:$U$11,$AC$2,1),ROW()-4&gt;$AD$2),NA(),COUNTIF(INDEX($CR$5:$CX$201,INDEX($U$4:$U$11,1,1),$AC$2):INDEX($CR$5:$CX$201,INDEX($U$4:$U$11,1,1)+ROW()-5,$AC$2),ET$3))</f>
        <v>1</v>
      </c>
      <c r="EU17">
        <f>IF(OR(ROW()-4&gt;INDEX($U$4:$U$11,$AC$2+1,1)-INDEX($U$4:$U$11,$AC$2,1),ROW()-4&gt;$AD$2),NA(),COUNTIF(INDEX($CR$5:$CX$201,INDEX($U$4:$U$11,1,1),$AC$2):INDEX($CR$5:$CX$201,INDEX($U$4:$U$11,1,1)+ROW()-5,$AC$2),EU$3))</f>
        <v>0</v>
      </c>
      <c r="EV17">
        <f>IF(OR(ROW()-4&gt;INDEX($U$4:$U$11,$AC$2+1,1)-INDEX($U$4:$U$11,$AC$2,1),ROW()-4&gt;$AD$2),NA(),COUNTIF(INDEX($CR$5:$CX$201,INDEX($U$4:$U$11,1,1),$AC$2):INDEX($CR$5:$CX$201,INDEX($U$4:$U$11,1,1)+ROW()-5,$AC$2),EV$3))</f>
        <v>3</v>
      </c>
      <c r="EW17">
        <f>IF(OR(ROW()-4&gt;INDEX($U$4:$U$11,$AC$2+1,1)-INDEX($U$4:$U$11,$AC$2,1),ROW()-4&gt;$AD$2),NA(),COUNTIF(INDEX($CR$5:$CX$201,INDEX($U$4:$U$11,1,1),$AC$2):INDEX($CR$5:$CX$201,INDEX($U$4:$U$11,1,1)+ROW()-5,$AC$2),EW$3))</f>
        <v>1</v>
      </c>
      <c r="EX17">
        <f>IF(OR(ROW()-4&gt;INDEX($U$4:$U$11,$AC$2+1,1)-INDEX($U$4:$U$11,$AC$2,1),ROW()-4&gt;$AD$2),NA(),COUNTIF(INDEX($CR$5:$CX$201,INDEX($U$4:$U$11,1,1),$AC$2):INDEX($CR$5:$CX$201,INDEX($U$4:$U$11,1,1)+ROW()-5,$AC$2),EX$3))</f>
        <v>0</v>
      </c>
      <c r="EY17">
        <f>IF(OR(ROW()-4&gt;INDEX($U$4:$U$11,$AC$2+1,1)-INDEX($U$4:$U$11,$AC$2,1),ROW()-4&gt;$AD$2),NA(),COUNTIF(INDEX($CR$5:$CX$201,INDEX($U$4:$U$11,1,1),$AC$2):INDEX($CR$5:$CX$201,INDEX($U$4:$U$11,1,1)+ROW()-5,$AC$2),EY$3))</f>
        <v>1</v>
      </c>
      <c r="EZ17">
        <f>IF(OR(ROW()-4&gt;INDEX($U$4:$U$11,$AC$2+1,1)-INDEX($U$4:$U$11,$AC$2,1),ROW()-4&gt;$AD$2),NA(),COUNTIF(INDEX($CR$5:$CX$201,INDEX($U$4:$U$11,1,1),$AC$2):INDEX($CR$5:$CX$201,INDEX($U$4:$U$11,1,1)+ROW()-5,$AC$2),EZ$3))</f>
        <v>0</v>
      </c>
      <c r="FA17">
        <f>IF(OR(ROW()-4&gt;INDEX($U$4:$U$11,$AC$2+1,1)-INDEX($U$4:$U$11,$AC$2,1),ROW()-4&gt;$AD$2),NA(),COUNTIF(INDEX($CR$5:$CX$201,INDEX($U$4:$U$11,1,1),$AC$2):INDEX($CR$5:$CX$201,INDEX($U$4:$U$11,1,1)+ROW()-5,$AC$2),FA$3))</f>
        <v>0</v>
      </c>
      <c r="FC17">
        <f>IF(OR(ROW()-4&gt;INDEX($U$4:$U$11,$AC$2+1,1)-INDEX($U$4:$U$11,$AC$2,1),ROW()-4&gt;$AD$2),NA(),COUNTIF(INDEX($CR$5:$CX$201,INDEX($U$4:$U$11,1,1),$AC$2):INDEX($CR$5:$CX$201,INDEX($U$4:$U$11,1,1)+ROW()-5,$AC$2),FC$3))</f>
        <v>0</v>
      </c>
      <c r="FD17">
        <f>IF(OR(ROW()-4&gt;INDEX($U$4:$U$11,$AC$2+1,1)-INDEX($U$4:$U$11,$AC$2,1),ROW()-4&gt;$AD$2),NA(),COUNTIF(INDEX($CR$5:$CX$201,INDEX($U$4:$U$11,1,1),$AC$2):INDEX($CR$5:$CX$201,INDEX($U$4:$U$11,1,1)+ROW()-5,$AC$2),FD$3))</f>
        <v>0</v>
      </c>
      <c r="FE17">
        <f>IF(OR(ROW()-4&gt;INDEX($U$4:$U$11,$AC$2+1,1)-INDEX($U$4:$U$11,$AC$2,1),ROW()-4&gt;$AD$2),NA(),COUNTIF(INDEX($CR$5:$CX$201,INDEX($U$4:$U$11,1,1),$AC$2):INDEX($CR$5:$CX$201,INDEX($U$4:$U$11,1,1)+ROW()-5,$AC$2),FE$3))</f>
        <v>0</v>
      </c>
      <c r="FF17">
        <f>IF(OR(ROW()-4&gt;INDEX($U$4:$U$11,$AC$2+1,1)-INDEX($U$4:$U$11,$AC$2,1),ROW()-4&gt;$AD$2),NA(),COUNTIF(INDEX($CR$5:$CX$201,INDEX($U$4:$U$11,1,1),$AC$2):INDEX($CR$5:$CX$201,INDEX($U$4:$U$11,1,1)+ROW()-5,$AC$2),FF$3))</f>
        <v>2</v>
      </c>
      <c r="FG17">
        <f>IF(OR(ROW()-4&gt;INDEX($U$4:$U$11,$AC$2+1,1)-INDEX($U$4:$U$11,$AC$2,1),ROW()-4&gt;$AD$2),NA(),COUNTIF(INDEX($CR$5:$CX$201,INDEX($U$4:$U$11,1,1),$AC$2):INDEX($CR$5:$CX$201,INDEX($U$4:$U$11,1,1)+ROW()-5,$AC$2),FG$3))</f>
        <v>0</v>
      </c>
      <c r="FH17">
        <f>IF(OR(ROW()-4&gt;INDEX($U$4:$U$11,$AC$2+1,1)-INDEX($U$4:$U$11,$AC$2,1),ROW()-4&gt;$AD$2),NA(),COUNTIF(INDEX($CR$5:$CX$201,INDEX($U$4:$U$11,1,1),$AC$2):INDEX($CR$5:$CX$201,INDEX($U$4:$U$11,1,1)+ROW()-5,$AC$2),FH$3))</f>
        <v>5</v>
      </c>
      <c r="FI17">
        <f>IF(OR(ROW()-4&gt;INDEX($U$4:$U$11,$AC$2+1,1)-INDEX($U$4:$U$11,$AC$2,1),ROW()-4&gt;$AD$2),NA(),COUNTIF(INDEX($CR$5:$CX$201,INDEX($U$4:$U$11,1,1),$AC$2):INDEX($CR$5:$CX$201,INDEX($U$4:$U$11,1,1)+ROW()-5,$AC$2),FI$3))</f>
        <v>0</v>
      </c>
      <c r="FJ17">
        <f>IF(OR(ROW()-4&gt;INDEX($U$4:$U$11,$AC$2+1,1)-INDEX($U$4:$U$11,$AC$2,1),ROW()-4&gt;$AD$2),NA(),COUNTIF(INDEX($CR$5:$CX$201,INDEX($U$4:$U$11,1,1),$AC$2):INDEX($CR$5:$CX$201,INDEX($U$4:$U$11,1,1)+ROW()-5,$AC$2),FJ$3))</f>
        <v>0</v>
      </c>
      <c r="FL17">
        <f>IF(OR(ROW()-4&gt;INDEX($U$4:$U$11,$AC$2+1,1)-INDEX($U$4:$U$11,$AC$2,1),ROW()-4&gt;$AD$2),NA(),COUNTIF(INDEX($CZ$5:$DF$201,INDEX($U$4:$U$11,1,1),$AC$2):INDEX($CZ$5:$DF$201,INDEX($U$4:$U$11,1,1)+ROW()-5,$AC$2),FL$3))</f>
        <v>0</v>
      </c>
      <c r="FM17">
        <f>IF(OR(ROW()-4&gt;INDEX($U$4:$U$11,$AC$2+1,1)-INDEX($U$4:$U$11,$AC$2,1),ROW()-4&gt;$AD$2),NA(),COUNTIF(INDEX($CZ$5:$DF$201,INDEX($U$4:$U$11,1,1),$AC$2):INDEX($CZ$5:$DF$201,INDEX($U$4:$U$11,1,1)+ROW()-5,$AC$2),FM$3))</f>
        <v>1</v>
      </c>
      <c r="FN17">
        <f>IF(OR(ROW()-4&gt;INDEX($U$4:$U$11,$AC$2+1,1)-INDEX($U$4:$U$11,$AC$2,1),ROW()-4&gt;$AD$2),NA(),COUNTIF(INDEX($CZ$5:$DF$201,INDEX($U$4:$U$11,1,1),$AC$2):INDEX($CZ$5:$DF$201,INDEX($U$4:$U$11,1,1)+ROW()-5,$AC$2),FN$3))</f>
        <v>0</v>
      </c>
      <c r="FO17">
        <f>IF(OR(ROW()-4&gt;INDEX($U$4:$U$11,$AC$2+1,1)-INDEX($U$4:$U$11,$AC$2,1),ROW()-4&gt;$AD$2),NA(),COUNTIF(INDEX($CZ$5:$DF$201,INDEX($U$4:$U$11,1,1),$AC$2):INDEX($CZ$5:$DF$201,INDEX($U$4:$U$11,1,1)+ROW()-5,$AC$2),FO$3))</f>
        <v>2</v>
      </c>
      <c r="FP17">
        <f>IF(OR(ROW()-4&gt;INDEX($U$4:$U$11,$AC$2+1,1)-INDEX($U$4:$U$11,$AC$2,1),ROW()-4&gt;$AD$2),NA(),COUNTIF(INDEX($CZ$5:$DF$201,INDEX($U$4:$U$11,1,1),$AC$2):INDEX($CZ$5:$DF$201,INDEX($U$4:$U$11,1,1)+ROW()-5,$AC$2),FP$3))</f>
        <v>0</v>
      </c>
      <c r="FQ17">
        <f>IF(OR(ROW()-4&gt;INDEX($U$4:$U$11,$AC$2+1,1)-INDEX($U$4:$U$11,$AC$2,1),ROW()-4&gt;$AD$2),NA(),COUNTIF(INDEX($CZ$5:$DF$201,INDEX($U$4:$U$11,1,1),$AC$2):INDEX($CZ$5:$DF$201,INDEX($U$4:$U$11,1,1)+ROW()-5,$AC$2),FQ$3))</f>
        <v>1</v>
      </c>
      <c r="FR17">
        <f>IF(OR(ROW()-4&gt;INDEX($U$4:$U$11,$AC$2+1,1)-INDEX($U$4:$U$11,$AC$2,1),ROW()-4&gt;$AD$2),NA(),COUNTIF(INDEX($CZ$5:$DF$201,INDEX($U$4:$U$11,1,1),$AC$2):INDEX($CZ$5:$DF$201,INDEX($U$4:$U$11,1,1)+ROW()-5,$AC$2),FR$3))</f>
        <v>0</v>
      </c>
      <c r="FS17">
        <f>IF(OR(ROW()-4&gt;INDEX($U$4:$U$11,$AC$2+1,1)-INDEX($U$4:$U$11,$AC$2,1),ROW()-4&gt;$AD$2),NA(),COUNTIF(INDEX($CZ$5:$DF$201,INDEX($U$4:$U$11,1,1),$AC$2):INDEX($CZ$5:$DF$201,INDEX($U$4:$U$11,1,1)+ROW()-5,$AC$2),FS$3))</f>
        <v>0</v>
      </c>
      <c r="FT17">
        <f>IF(OR(ROW()-4&gt;INDEX($U$4:$U$11,$AC$2+1,1)-INDEX($U$4:$U$11,$AC$2,1),ROW()-4&gt;$AD$2),NA(),COUNTIF(INDEX($CZ$5:$DF$201,INDEX($U$4:$U$11,1,1),$AC$2):INDEX($CZ$5:$DF$201,INDEX($U$4:$U$11,1,1)+ROW()-5,$AC$2),FT$3))</f>
        <v>0</v>
      </c>
      <c r="FU17">
        <f>IF(OR(ROW()-4&gt;INDEX($U$4:$U$11,$AC$2+1,1)-INDEX($U$4:$U$11,$AC$2,1),ROW()-4&gt;$AD$2),NA(),COUNTIF(INDEX($CZ$5:$DF$201,INDEX($U$4:$U$11,1,1),$AC$2):INDEX($CZ$5:$DF$201,INDEX($U$4:$U$11,1,1)+ROW()-5,$AC$2),FU$3))</f>
        <v>1</v>
      </c>
      <c r="FW17">
        <f>IF(OR(ROW()-4&gt;INDEX($U$4:$U$11,$AC$2+1,1)-INDEX($U$4:$U$11,$AC$2,1),ROW()-4&gt;$AD$2),NA(),COUNTIF(INDEX($CZ$5:$DF$201,INDEX($U$4:$U$11,1,1),$AC$2):INDEX($CZ$5:$DF$201,INDEX($U$4:$U$11,1,1)+ROW()-5,$AC$2),FW$3))</f>
        <v>0</v>
      </c>
      <c r="FX17">
        <f>IF(OR(ROW()-4&gt;INDEX($U$4:$U$11,$AC$2+1,1)-INDEX($U$4:$U$11,$AC$2,1),ROW()-4&gt;$AD$2),NA(),COUNTIF(INDEX($CZ$5:$DF$201,INDEX($U$4:$U$11,1,1),$AC$2):INDEX($CZ$5:$DF$201,INDEX($U$4:$U$11,1,1)+ROW()-5,$AC$2),FX$3))</f>
        <v>1</v>
      </c>
      <c r="FY17">
        <f>IF(OR(ROW()-4&gt;INDEX($U$4:$U$11,$AC$2+1,1)-INDEX($U$4:$U$11,$AC$2,1),ROW()-4&gt;$AD$2),NA(),COUNTIF(INDEX($CZ$5:$DF$201,INDEX($U$4:$U$11,1,1),$AC$2):INDEX($CZ$5:$DF$201,INDEX($U$4:$U$11,1,1)+ROW()-5,$AC$2),FY$3))</f>
        <v>1</v>
      </c>
      <c r="FZ17">
        <f>IF(OR(ROW()-4&gt;INDEX($U$4:$U$11,$AC$2+1,1)-INDEX($U$4:$U$11,$AC$2,1),ROW()-4&gt;$AD$2),NA(),COUNTIF(INDEX($CZ$5:$DF$201,INDEX($U$4:$U$11,1,1),$AC$2):INDEX($CZ$5:$DF$201,INDEX($U$4:$U$11,1,1)+ROW()-5,$AC$2),FZ$3))</f>
        <v>0</v>
      </c>
      <c r="GA17">
        <f>IF(OR(ROW()-4&gt;INDEX($U$4:$U$11,$AC$2+1,1)-INDEX($U$4:$U$11,$AC$2,1),ROW()-4&gt;$AD$2),NA(),COUNTIF(INDEX($CZ$5:$DF$201,INDEX($U$4:$U$11,1,1),$AC$2):INDEX($CZ$5:$DF$201,INDEX($U$4:$U$11,1,1)+ROW()-5,$AC$2),GA$3))</f>
        <v>1</v>
      </c>
      <c r="GB17">
        <f>IF(OR(ROW()-4&gt;INDEX($U$4:$U$11,$AC$2+1,1)-INDEX($U$4:$U$11,$AC$2,1),ROW()-4&gt;$AD$2),NA(),COUNTIF(INDEX($CZ$5:$DF$201,INDEX($U$4:$U$11,1,1),$AC$2):INDEX($CZ$5:$DF$201,INDEX($U$4:$U$11,1,1)+ROW()-5,$AC$2),GB$3))</f>
        <v>1</v>
      </c>
      <c r="GC17">
        <f>IF(OR(ROW()-4&gt;INDEX($U$4:$U$11,$AC$2+1,1)-INDEX($U$4:$U$11,$AC$2,1),ROW()-4&gt;$AD$2),NA(),COUNTIF(INDEX($CZ$5:$DF$201,INDEX($U$4:$U$11,1,1),$AC$2):INDEX($CZ$5:$DF$201,INDEX($U$4:$U$11,1,1)+ROW()-5,$AC$2),GC$3))</f>
        <v>1</v>
      </c>
      <c r="GD17">
        <f>IF(OR(ROW()-4&gt;INDEX($U$4:$U$11,$AC$2+1,1)-INDEX($U$4:$U$11,$AC$2,1),ROW()-4&gt;$AD$2),NA(),COUNTIF(INDEX($CZ$5:$DF$201,INDEX($U$4:$U$11,1,1),$AC$2):INDEX($CZ$5:$DF$201,INDEX($U$4:$U$11,1,1)+ROW()-5,$AC$2),GD$3))</f>
        <v>1</v>
      </c>
      <c r="GE17">
        <f>IF(OR(ROW()-4&gt;INDEX($U$4:$U$11,$AC$2+1,1)-INDEX($U$4:$U$11,$AC$2,1),ROW()-4&gt;$AD$2),NA(),COUNTIF(INDEX($CZ$5:$DF$201,INDEX($U$4:$U$11,1,1),$AC$2):INDEX($CZ$5:$DF$201,INDEX($U$4:$U$11,1,1)+ROW()-5,$AC$2),GE$3))</f>
        <v>0</v>
      </c>
      <c r="GF17">
        <f>IF(OR(ROW()-4&gt;INDEX($U$4:$U$11,$AC$2+1,1)-INDEX($U$4:$U$11,$AC$2,1),ROW()-4&gt;$AD$2),NA(),COUNTIF(INDEX($CZ$5:$DF$201,INDEX($U$4:$U$11,1,1),$AC$2):INDEX($CZ$5:$DF$201,INDEX($U$4:$U$11,1,1)+ROW()-5,$AC$2),GF$3))</f>
        <v>0</v>
      </c>
      <c r="GK17" t="s">
        <v>37</v>
      </c>
      <c r="GM17" t="s">
        <v>83</v>
      </c>
      <c r="GN17" t="s">
        <v>84</v>
      </c>
      <c r="GO17" t="s">
        <v>67</v>
      </c>
      <c r="HJ17">
        <f>INDEX($GE$4:$GE$40,$AD$2+1)-INDEX($GE$4:$GE$40,$AD$2)</f>
        <v>0</v>
      </c>
      <c r="HK17" t="s">
        <v>62</v>
      </c>
      <c r="HL17">
        <f>INDEX($GE$5:$GE$40,$AD$2)</f>
        <v>0</v>
      </c>
    </row>
    <row r="18" spans="1:224" x14ac:dyDescent="0.45">
      <c r="A18" t="str">
        <f>データの貼付!A16</f>
        <v>FENG Tianwei</v>
      </c>
      <c r="B18">
        <f>データの貼付!B16</f>
        <v>3.5954050925925927E-3</v>
      </c>
      <c r="C18">
        <f>データの貼付!C16</f>
        <v>4.9421296296296289E-5</v>
      </c>
      <c r="D18">
        <f>データの貼付!D16</f>
        <v>0</v>
      </c>
      <c r="E18">
        <f>データの貼付!F16</f>
        <v>0</v>
      </c>
      <c r="F18">
        <f>データの貼付!E16</f>
        <v>0</v>
      </c>
      <c r="G18" t="str">
        <f>データの貼付!G16</f>
        <v>SV Let</v>
      </c>
      <c r="H18" t="str">
        <f>データの貼付!H16</f>
        <v>FENG Tianwei</v>
      </c>
      <c r="I18" t="str">
        <f>データの貼付!I16</f>
        <v>(Side)</v>
      </c>
      <c r="J18" t="str">
        <f>データの貼付!J16</f>
        <v>B</v>
      </c>
      <c r="K18" t="str">
        <f>データの貼付!K16</f>
        <v>BMS</v>
      </c>
      <c r="L18" t="str">
        <f>データの貼付!L16</f>
        <v>B</v>
      </c>
      <c r="M18">
        <f>データの貼付!M16</f>
        <v>0</v>
      </c>
      <c r="N18">
        <f>データの貼付!N16</f>
        <v>0</v>
      </c>
      <c r="R18">
        <f t="shared" si="59"/>
        <v>0</v>
      </c>
      <c r="S18">
        <f>SUM(R$4:R18)</f>
        <v>1</v>
      </c>
      <c r="T18" t="str">
        <f t="shared" si="60"/>
        <v/>
      </c>
      <c r="W18" t="str">
        <f t="shared" si="57"/>
        <v>0_FENG Tianwei</v>
      </c>
      <c r="X18" t="str">
        <f t="shared" si="58"/>
        <v>0_SV Let</v>
      </c>
      <c r="AC18" s="8">
        <f>IF(OR(ROW()-4&gt;INDEX($U$4:$U$11,AC$2+1)-INDEX($U$4:$U$11,AC$2),ROW()-4&gt;AD$2),NA(),COUNTIF(INDEX($W$4:$W$200,INDEX($U$4:$U$11,AC$2)):INDEX($W$4:$W$200,INDEX($U$4:$U$11,AC$2)+ROW()-5),AC$3&amp;"_"&amp;AC$3)/(COUNTIF(INDEX($W$4:$W$200,INDEX($U$4:$U$11,AC$2)):INDEX($W$4:$W$200,INDEX($U$4:$U$11,AC$2)+ROW()-5),AC$3&amp;"_"&amp;AC$3)+COUNTIF(INDEX($W$4:$W$200,INDEX($U$4:$U$11,AC$2)):INDEX($W$4:$W$200,INDEX($U$4:$U$11,AC$2)+ROW()-5),AD$3&amp;"_"&amp;AC$3)))</f>
        <v>0.75</v>
      </c>
      <c r="AD18" s="8">
        <f>IF(OR(ROW()-4&gt;INDEX($U$4:$U$11,AC$2+1)-INDEX($U$4:$U$11,AC$2),ROW()-4&gt;AD$2),NA(),COUNTIF(INDEX($W$4:$W$200,INDEX($U$4:$U$11,AC$2)):INDEX($W$4:$W$200,INDEX($U$4:$U$11,AC$2)+ROW()-5),AD$3&amp;"_"&amp;AD$3)/(COUNTIF(INDEX($W$4:$W$200,INDEX($U$4:$U$11,AC$2)):INDEX($W$4:$W$200,INDEX($U$4:$U$11,AC$2)+ROW()-5),AD$3&amp;"_"&amp;AD$3)+COUNTIF(INDEX($W$4:$W$200,INDEX($U$4:$U$11,AC$2)):INDEX($W$4:$W$200,INDEX($U$4:$U$11,AC$2)+ROW()-5),AC$3&amp;"_"&amp;AD$3)))</f>
        <v>0.5</v>
      </c>
      <c r="AE18" s="10">
        <f>IF(OR(ROW()-4&gt;INDEX($U$4:$U$11,AC$2+1)-INDEX($U$4:$U$11,AC$2),ROW()-4&gt;AD$2),NA(),COUNTIF(INDEX($W$4:$W$200,INDEX($U$4:$U$11,AC$2)):INDEX($W$4:$W$200,INDEX($U$4:$U$11,AC$2)+ROW()-5),AC$3&amp;"_"&amp;AD$3)/(COUNTIF(INDEX($W$4:$W$200,INDEX($U$4:$U$11,AC$2)):INDEX($W$4:$W$200,INDEX($U$4:$U$11,AC$2)+ROW()-5),AC$3&amp;"_"&amp;AD$3)+COUNTIF(INDEX($W$4:$W$200,INDEX($U$4:$U$11,AC$2)):INDEX($W$4:$W$200,INDEX($U$4:$U$11,AC$2)+ROW()-5),AD$3&amp;"_"&amp;AD$3)))</f>
        <v>0.5</v>
      </c>
      <c r="AF18" s="10">
        <f>IF(OR(ROW()-4&gt;INDEX($U$4:$U$11,AC$2+1)-INDEX($U$4:$U$11,AC$2),ROW()-4&gt;AD$2),NA(),COUNTIF(INDEX($W$4:$W$200,INDEX($U$4:$U$11,AC$2)):INDEX($W$4:$W$200,INDEX($U$4:$U$11,AC$2)+ROW()-5),AD$3&amp;"_"&amp;AC$3)/(COUNTIF(INDEX($W$4:$W$200,INDEX($U$4:$U$11,AC$2)):INDEX($W$4:$W$200,INDEX($U$4:$U$11,AC$2)+ROW()-5),AD$3&amp;"_"&amp;AC$3)+COUNTIF(INDEX($W$4:$W$200,INDEX($U$4:$U$11,AC$2)):INDEX($W$4:$W$200,INDEX($U$4:$U$11,AC$2)+ROW()-5),AC$3&amp;"_"&amp;AC$3)))</f>
        <v>0.25</v>
      </c>
      <c r="AG18" s="10">
        <f>IF(OR(ROW()-4&gt;INDEX($U$4:$U$11,AC$2+1)-INDEX($U$4:$U$11,AC$2),ROW()-4&gt;AD$2),NA(),COUNTIF(INDEX($X$4:$X$200,INDEX($U$4:$U$11,AC$2)):INDEX($X$4:$X$200,INDEX($U$4:$U$11,AC$2)+ROW()-5),AC$3&amp;"_#03")/(COUNTIF(INDEX($W$4:$W$200,INDEX($U$4:$U$11,AC$2)):INDEX($W$4:$W$200,INDEX($U$4:$U$11,AC$2)+ROW()-5),AC$3&amp;"_"&amp;AC$3)+COUNTIF(INDEX($W$4:$W$200,INDEX($U$4:$U$11,AC$2)):INDEX($W$4:$W$200,INDEX($U$4:$U$11,AC$2)+ROW()-5),AD$3&amp;"_"&amp;AC$3)))</f>
        <v>0.25</v>
      </c>
      <c r="AH18" s="10">
        <f>IF(OR(ROW()-4&gt;INDEX($U$4:$U$11,AC$2+1)-INDEX($U$4:$U$11,AC$2),ROW()-4&gt;AD$2),NA(),COUNTIF(INDEX($X$4:$X$200,INDEX($U$4:$U$11,AC$2)):INDEX($X$4:$X$200,INDEX($U$4:$U$11,AC$2)+ROW()-5),AD$3&amp;"_#03")/(COUNTIF(INDEX($W$4:$W$200,INDEX($U$4:$U$11,AC$2)):INDEX($W$4:$W$200,INDEX($U$4:$U$11,AC$2)+ROW()-5),AD$3&amp;"_"&amp;AD$3)+COUNTIF(INDEX($W$4:$W$200,INDEX($U$4:$U$11,AC$2)):INDEX($W$4:$W$200,INDEX($U$4:$U$11,AC$2)+ROW()-5),AC$3&amp;"_"&amp;AD$3)))</f>
        <v>0</v>
      </c>
      <c r="AI18" s="10">
        <f>IF(OR(ROW()-4&gt;INDEX($U$4:$U$11,AC$2+1)-INDEX($U$4:$U$11,AC$2),ROW()-4&gt;AD$2),NA(),(COUNTIF(INDEX($X$4:$X$200,INDEX($U$4:$U$11,AC$2)):INDEX($X$4:$X$200,INDEX($U$4:$U$11,AC$2)+ROW()-5),AC$3&amp;"_#03")-COUNTIF(INDEX($X$4:$X$200,INDEX($U$4:$U$11,AC$2)):INDEX($X$4:$X$200,INDEX($U$4:$U$11,AC$2)+ROW()-5),AD$3&amp;"_#02"))/(COUNTIF(INDEX($W$4:$W$200,INDEX($U$4:$U$11,AC$2)):INDEX($W$4:$W$200,INDEX($U$4:$U$11,AC$2)+ROW()-5),AC$3&amp;"_"&amp;AC$3)+COUNTIF(INDEX($W$4:$W$200,INDEX($U$4:$U$11,AC$2)):INDEX($W$4:$W$200,INDEX($U$4:$U$11,AC$2)+ROW()-5),AD$3&amp;"_"&amp;AC$3)))</f>
        <v>0.125</v>
      </c>
      <c r="AJ18" s="10">
        <f>IF(OR(ROW()-4&gt;INDEX($U$4:$U$11,AC$2+1)-INDEX($U$4:$U$11,AC$2),ROW()-4&gt;AD$2),NA(),(COUNTIF(INDEX($X$4:$X$200,INDEX($U$4:$U$11,AC$2)):INDEX($X$4:$X$200,INDEX($U$4:$U$11,AC$2)+ROW()-5),AD$3&amp;"_#03")-COUNTIF(INDEX($X$4:$X$200,INDEX($U$4:$U$11,AC$2)):INDEX($X$4:$X$200,INDEX($U$4:$U$11,AC$2)+ROW()-5),AC$3&amp;"_#02"))/(COUNTIF(INDEX($W$4:$W$200,INDEX($U$4:$U$11,AC$2)):INDEX($W$4:$W$200,INDEX($U$4:$U$11,AC$2)+ROW()-5),AD$3&amp;"_"&amp;AD$3)+COUNTIF(INDEX($W$4:$W$200,INDEX($U$4:$U$11,AC$2)):INDEX($W$4:$W$200,INDEX($U$4:$U$11,AC$2)+ROW()-5),AC$3&amp;"_"&amp;AD$3)))</f>
        <v>-0.16666666666666666</v>
      </c>
      <c r="AK18" s="10">
        <f>IF(OR(ROW()-4&gt;INDEX($U$4:$U$11,AC$2+1)-INDEX($U$4:$U$11,AC$2),ROW()-4&gt;AD$2),NA(),(COUNTIF(INDEX($X$4:$X$200,INDEX($U$4:$U$11,AC$2)):INDEX($X$4:$X$200,INDEX($U$4:$U$11,AC$2)+ROW()-5),AC$3&amp;"_#01")+COUNTIF(INDEX($X$4:$X$200,INDEX($U$4:$U$11,AC$2)):INDEX($X$4:$X$200,INDEX($U$4:$U$11,AC$2)+ROW()-5),AC$3&amp;"_#03"))/(COUNTIF(INDEX($W$4:$W$200,INDEX($U$4:$U$11,AC$2)):INDEX($W$4:$W$200,INDEX($U$4:$U$11,AC$2)+ROW()-5),AC$3&amp;"_"&amp;AC$3)+COUNTIF(INDEX($W$4:$W$200,INDEX($U$4:$U$11,AC$2)):INDEX($W$4:$W$200,INDEX($U$4:$U$11,AC$2)+ROW()-5),AD$3&amp;"_"&amp;AC$3)))</f>
        <v>0.5</v>
      </c>
      <c r="AL18" s="10">
        <f>IF(OR(ROW()-4&gt;INDEX($U$4:$U$11,AC$2+1)-INDEX($U$4:$U$11,AC$2),ROW()-4&gt;AD$2),NA(),(COUNTIF(INDEX($X$4:$X$200,INDEX($U$4:$U$11,AC$2)):INDEX($X$4:$X$200,INDEX($U$4:$U$11,AC$2)+ROW()-5),AD$3&amp;"_#01")+COUNTIF(INDEX($X$4:$X$200,INDEX($U$4:$U$11,AC$2)):INDEX($X$4:$X$200,INDEX($U$4:$U$11,AC$2)+ROW()-5),AD$3&amp;"_#03"))/(COUNTIF(INDEX($W$4:$W$200,INDEX($U$4:$U$11,AC$2)):INDEX($W$4:$W$200,INDEX($U$4:$U$11,AC$2)+ROW()-5),AD$3&amp;"_"&amp;AD$3)+COUNTIF(INDEX($W$4:$W$200,INDEX($U$4:$U$11,AC$2)):INDEX($W$4:$W$200,INDEX($U$4:$U$11,AC$2)+ROW()-5),AC$3&amp;"_"&amp;AD$3)))</f>
        <v>0.33333333333333331</v>
      </c>
      <c r="AN18">
        <f t="shared" si="125"/>
        <v>14</v>
      </c>
      <c r="AO18">
        <f t="shared" si="111"/>
        <v>31</v>
      </c>
      <c r="AP18">
        <f t="shared" si="112"/>
        <v>46</v>
      </c>
      <c r="AQ18">
        <f t="shared" si="113"/>
        <v>62</v>
      </c>
      <c r="AR18" t="str">
        <f t="shared" si="114"/>
        <v/>
      </c>
      <c r="AS18" t="e">
        <f t="shared" si="115"/>
        <v>#VALUE!</v>
      </c>
      <c r="AT18" t="e">
        <f t="shared" si="116"/>
        <v>#VALUE!</v>
      </c>
      <c r="AV18" t="str">
        <f t="shared" si="117"/>
        <v>KIHARA Miyuu</v>
      </c>
      <c r="AW18" t="str">
        <f t="shared" si="63"/>
        <v>FENG Tianwei</v>
      </c>
      <c r="AX18" t="str">
        <f t="shared" si="64"/>
        <v>FENG Tianwei</v>
      </c>
      <c r="AY18" t="str">
        <f t="shared" si="65"/>
        <v>KIHARA Miyuu</v>
      </c>
      <c r="AZ18" t="e">
        <f t="shared" si="66"/>
        <v>#VALUE!</v>
      </c>
      <c r="BA18" t="e">
        <f t="shared" si="67"/>
        <v>#VALUE!</v>
      </c>
      <c r="BB18" t="e">
        <f t="shared" si="68"/>
        <v>#VALUE!</v>
      </c>
      <c r="BD18" t="str">
        <f t="shared" si="118"/>
        <v>FENG Tianwei</v>
      </c>
      <c r="BE18" t="str">
        <f t="shared" si="69"/>
        <v>KIHARA Miyuu</v>
      </c>
      <c r="BF18" t="str">
        <f t="shared" si="70"/>
        <v>FENG Tianwei</v>
      </c>
      <c r="BG18" t="str">
        <f t="shared" si="71"/>
        <v>KIHARA Miyuu</v>
      </c>
      <c r="BH18" t="e">
        <f t="shared" si="72"/>
        <v>#VALUE!</v>
      </c>
      <c r="BI18" t="e">
        <f t="shared" si="73"/>
        <v>#VALUE!</v>
      </c>
      <c r="BJ18" t="e">
        <f t="shared" si="74"/>
        <v>#VALUE!</v>
      </c>
      <c r="BL18" t="str">
        <f t="shared" si="119"/>
        <v>FENG Tianwei_(Side)</v>
      </c>
      <c r="BM18" t="str">
        <f t="shared" si="75"/>
        <v>KIHARA Miyuu_(Side)</v>
      </c>
      <c r="BN18" t="str">
        <f t="shared" si="76"/>
        <v>FENG Tianwei_Back</v>
      </c>
      <c r="BO18" t="str">
        <f t="shared" si="77"/>
        <v>KIHARA Miyuu_(Side)</v>
      </c>
      <c r="BP18" t="e">
        <f t="shared" si="78"/>
        <v>#VALUE!</v>
      </c>
      <c r="BQ18" t="e">
        <f t="shared" si="79"/>
        <v>#VALUE!</v>
      </c>
      <c r="BR18" t="e">
        <f t="shared" si="80"/>
        <v>#VALUE!</v>
      </c>
      <c r="BT18" t="str">
        <f t="shared" si="120"/>
        <v>FENG Tianwei_B</v>
      </c>
      <c r="BU18" t="str">
        <f t="shared" si="81"/>
        <v>KIHARA Miyuu_B</v>
      </c>
      <c r="BV18" t="str">
        <f t="shared" si="82"/>
        <v>FENG Tianwei_B</v>
      </c>
      <c r="BW18" t="str">
        <f t="shared" si="83"/>
        <v>KIHARA Miyuu_B</v>
      </c>
      <c r="BX18" t="e">
        <f t="shared" si="84"/>
        <v>#VALUE!</v>
      </c>
      <c r="BY18" t="e">
        <f t="shared" si="85"/>
        <v>#VALUE!</v>
      </c>
      <c r="BZ18" t="e">
        <f t="shared" si="86"/>
        <v>#VALUE!</v>
      </c>
      <c r="CB18" t="str">
        <f t="shared" si="121"/>
        <v>FENG Tianwei_B</v>
      </c>
      <c r="CC18" t="str">
        <f t="shared" si="87"/>
        <v>KIHARA Miyuu_FMS</v>
      </c>
      <c r="CD18" t="str">
        <f t="shared" si="88"/>
        <v>FENG Tianwei_BS</v>
      </c>
      <c r="CE18" t="str">
        <f t="shared" si="89"/>
        <v>KIHARA Miyuu_FMS</v>
      </c>
      <c r="CF18" t="e">
        <f t="shared" si="90"/>
        <v>#VALUE!</v>
      </c>
      <c r="CG18" t="e">
        <f t="shared" si="91"/>
        <v>#VALUE!</v>
      </c>
      <c r="CH18" t="e">
        <f t="shared" si="92"/>
        <v>#VALUE!</v>
      </c>
      <c r="CJ18" t="str">
        <f t="shared" si="122"/>
        <v>KIHARA Miyuu_B</v>
      </c>
      <c r="CK18" t="str">
        <f t="shared" si="93"/>
        <v>FENG Tianwei_B</v>
      </c>
      <c r="CL18" t="str">
        <f t="shared" si="94"/>
        <v>KIHARA Miyuu_B</v>
      </c>
      <c r="CM18" t="str">
        <f t="shared" si="95"/>
        <v>FENG Tianwei_B</v>
      </c>
      <c r="CN18" t="e">
        <f t="shared" si="96"/>
        <v>#VALUE!</v>
      </c>
      <c r="CO18" t="e">
        <f t="shared" si="97"/>
        <v>#VALUE!</v>
      </c>
      <c r="CP18" t="e">
        <f t="shared" si="98"/>
        <v>#VALUE!</v>
      </c>
      <c r="CR18" t="str">
        <f t="shared" si="123"/>
        <v>KIHARA Miyuu_ドライブ</v>
      </c>
      <c r="CS18" t="str">
        <f t="shared" si="99"/>
        <v>FENG Tianwei_Chiquita</v>
      </c>
      <c r="CT18" t="str">
        <f t="shared" si="100"/>
        <v>KIHARA Miyuu_Push</v>
      </c>
      <c r="CU18" t="str">
        <f t="shared" si="101"/>
        <v>FENG Tianwei_Chiquita</v>
      </c>
      <c r="CV18" t="e">
        <f t="shared" si="102"/>
        <v>#VALUE!</v>
      </c>
      <c r="CW18" t="e">
        <f t="shared" si="103"/>
        <v>#VALUE!</v>
      </c>
      <c r="CX18" t="e">
        <f t="shared" si="104"/>
        <v>#VALUE!</v>
      </c>
      <c r="CZ18" t="str">
        <f t="shared" si="124"/>
        <v>KIHARA Miyuu_BMS</v>
      </c>
      <c r="DA18" t="str">
        <f t="shared" si="105"/>
        <v>FENG Tianwei_B</v>
      </c>
      <c r="DB18" t="str">
        <f t="shared" si="106"/>
        <v>KIHARA Miyuu_ネット</v>
      </c>
      <c r="DC18" t="str">
        <f t="shared" si="107"/>
        <v>FENG Tianwei_BM</v>
      </c>
      <c r="DD18" t="e">
        <f t="shared" si="108"/>
        <v>#VALUE!</v>
      </c>
      <c r="DE18" t="e">
        <f t="shared" si="109"/>
        <v>#VALUE!</v>
      </c>
      <c r="DF18" t="e">
        <f t="shared" si="110"/>
        <v>#VALUE!</v>
      </c>
      <c r="DH18">
        <f>IF(OR(ROW()-4&gt;INDEX($U$4:$U$11,$AC$2+1,1)-INDEX($U$4:$U$11,$AC$2,1),ROW()-4&gt;$AD$2),NA(),COUNTIF(INDEX($BL$5:$BR$50,INDEX($U$4:$U$11,1,1),$AC$2):INDEX($BL$5:$BR$50,INDEX($U$4:$U$11,1,1)+ROW()-5,$AC$2),DH$3))</f>
        <v>3</v>
      </c>
      <c r="DI18">
        <f>IF(OR(ROW()-4&gt;INDEX($U$4:$U$11,$AC$2+1,1)-INDEX($U$4:$U$11,$AC$2,1),ROW()-4&gt;$AD$2),NA(),COUNTIF(INDEX($BL$5:$BR$50,INDEX($U$4:$U$11,1,1),$AC$2):INDEX($BL$5:$BR$50,INDEX($U$4:$U$11,1,1)+ROW()-5,$AC$2),DI$3))</f>
        <v>5</v>
      </c>
      <c r="DJ18">
        <f>IF(OR(ROW()-4&gt;INDEX($U$4:$U$11,$AC$2+1,1)-INDEX($U$4:$U$11,$AC$2,1),ROW()-4&gt;$AD$2),NA(),COUNTIF(INDEX($BL$5:$BR$50,INDEX($U$4:$U$11,1,1),$AC$2):INDEX($BL$5:$BR$50,INDEX($U$4:$U$11,1,1)+ROW()-5,$AC$2),DJ$3))</f>
        <v>0</v>
      </c>
      <c r="DL18">
        <f>IF(OR(ROW()-4&gt;INDEX($U$4:$U$11,$AC$2+1,1)-INDEX($U$4:$U$11,$AC$2,1),ROW()-4&gt;$AD$2),NA(),COUNTIF(INDEX($BL$5:$BR$50,INDEX($U$4:$U$11,1,1),$AC$2):INDEX($BL$5:$BR$50,INDEX($U$4:$U$11,1,1)+ROW()-5,$AC$2),DL$3))</f>
        <v>0</v>
      </c>
      <c r="DM18">
        <f>IF(OR(ROW()-4&gt;INDEX($U$4:$U$11,$AC$2+1,1)-INDEX($U$4:$U$11,$AC$2,1),ROW()-4&gt;$AD$2),NA(),COUNTIF(INDEX($BL$5:$BR$50,INDEX($U$4:$U$11,1,1),$AC$2):INDEX($BL$5:$BR$50,INDEX($U$4:$U$11,1,1)+ROW()-5,$AC$2),DM$3))</f>
        <v>0</v>
      </c>
      <c r="DN18">
        <f>IF(OR(ROW()-4&gt;INDEX($U$4:$U$11,$AC$2+1,1)-INDEX($U$4:$U$11,$AC$2,1),ROW()-4&gt;$AD$2),NA(),COUNTIF(INDEX($BL$5:$BR$50,INDEX($U$4:$U$11,1,1),$AC$2):INDEX($BL$5:$BR$50,INDEX($U$4:$U$11,1,1)+ROW()-5,$AC$2),DN$3))</f>
        <v>6</v>
      </c>
      <c r="DP18">
        <f>IF(OR(ROW()-4&gt;INDEX($U$4:$U$11,$AC$2+1,1)-INDEX($U$4:$U$11,$AC$2,1),ROW()-4&gt;$AD$2),NA(),COUNTIF(INDEX($BT$5:$BZ$201,INDEX($U$4:$U$11,1,1),$AC$2):INDEX($BT$5:$BZ$201,INDEX($U$4:$U$11,1,1)+ROW()-5,$AC$2),DP$3))</f>
        <v>8</v>
      </c>
      <c r="DQ18">
        <f>IF(OR(ROW()-4&gt;INDEX($U$4:$U$11,$AC$2+1,1)-INDEX($U$4:$U$11,$AC$2,1),ROW()-4&gt;$AD$2),NA(),COUNTIF(INDEX($BT$5:$BZ$201,INDEX($U$4:$U$11,1,1),$AC$2):INDEX($BT$5:$BZ$201,INDEX($U$4:$U$11,1,1)+ROW()-5,$AC$2),DQ$3))</f>
        <v>0</v>
      </c>
      <c r="DS18">
        <f>IF(OR(ROW()-4&gt;INDEX($U$4:$U$11,$AC$2+1,1)-INDEX($U$4:$U$11,$AC$2,1),ROW()-4&gt;$AD$2),NA(),COUNTIF(INDEX($BT$5:$BZ$201,INDEX($U$4:$U$11,1,1),$AC$2):INDEX($BT$5:$BZ$201,INDEX($U$4:$U$11,1,1)+ROW()-5,$AC$2),DS$3))</f>
        <v>6</v>
      </c>
      <c r="DT18">
        <f>IF(OR(ROW()-4&gt;INDEX($U$4:$U$11,$AC$2+1,1)-INDEX($U$4:$U$11,$AC$2,1),ROW()-4&gt;$AD$2),NA(),COUNTIF(INDEX($BT$5:$BZ$201,INDEX($U$4:$U$11,1,1),$AC$2):INDEX($BT$5:$BZ$201,INDEX($U$4:$U$11,1,1)+ROW()-5,$AC$2),DT$3))</f>
        <v>0</v>
      </c>
      <c r="DV18">
        <f>IF(OR(ROW()-4&gt;INDEX($U$4:$U$11,$AC$2+1,1)-INDEX($U$4:$U$11,$AC$2,1),ROW()-4&gt;$AD$2),NA(),COUNTIF(INDEX($CB$5:$CH$201,INDEX($U$4:$U$11,1,1),$AC$2):INDEX($CB$5:$CH$201,INDEX($U$4:$U$11,1,1)+ROW()-5,$AC$2),DV$3))</f>
        <v>0</v>
      </c>
      <c r="DW18">
        <f>IF(OR(ROW()-4&gt;INDEX($U$4:$U$11,$AC$2+1,1)-INDEX($U$4:$U$11,$AC$2,1),ROW()-4&gt;$AD$2),NA(),COUNTIF(INDEX($CB$5:$CH$201,INDEX($U$4:$U$11,1,1),$AC$2):INDEX($CB$5:$CH$201,INDEX($U$4:$U$11,1,1)+ROW()-5,$AC$2),DW$3))</f>
        <v>0</v>
      </c>
      <c r="DX18">
        <f>IF(OR(ROW()-4&gt;INDEX($U$4:$U$11,$AC$2+1,1)-INDEX($U$4:$U$11,$AC$2,1),ROW()-4&gt;$AD$2),NA(),COUNTIF(INDEX($CB$5:$CH$201,INDEX($U$4:$U$11,1,1),$AC$2):INDEX($CB$5:$CH$201,INDEX($U$4:$U$11,1,1)+ROW()-5,$AC$2),DX$3))</f>
        <v>3</v>
      </c>
      <c r="DY18">
        <f>IF(OR(ROW()-4&gt;INDEX($U$4:$U$11,$AC$2+1,1)-INDEX($U$4:$U$11,$AC$2,1),ROW()-4&gt;$AD$2),NA(),COUNTIF(INDEX($CB$5:$CH$201,INDEX($U$4:$U$11,1,1),$AC$2):INDEX($CB$5:$CH$201,INDEX($U$4:$U$11,1,1)+ROW()-5,$AC$2),DY$3))</f>
        <v>2</v>
      </c>
      <c r="DZ18">
        <f>IF(OR(ROW()-4&gt;INDEX($U$4:$U$11,$AC$2+1,1)-INDEX($U$4:$U$11,$AC$2,1),ROW()-4&gt;$AD$2),NA(),COUNTIF(INDEX($CB$5:$CH$201,INDEX($U$4:$U$11,1,1),$AC$2):INDEX($CB$5:$CH$201,INDEX($U$4:$U$11,1,1)+ROW()-5,$AC$2),DZ$3))</f>
        <v>1</v>
      </c>
      <c r="EA18">
        <f>IF(OR(ROW()-4&gt;INDEX($U$4:$U$11,$AC$2+1,1)-INDEX($U$4:$U$11,$AC$2,1),ROW()-4&gt;$AD$2),NA(),COUNTIF(INDEX($CB$5:$CH$201,INDEX($U$4:$U$11,1,1),$AC$2):INDEX($CB$5:$CH$201,INDEX($U$4:$U$11,1,1)+ROW()-5,$AC$2),EA$3))</f>
        <v>1</v>
      </c>
      <c r="EB18">
        <f>IF(OR(ROW()-4&gt;INDEX($U$4:$U$11,$AC$2+1,1)-INDEX($U$4:$U$11,$AC$2,1),ROW()-4&gt;$AD$2),NA(),COUNTIF(INDEX($CB$5:$CH$201,INDEX($U$4:$U$11,1,1),$AC$2):INDEX($CB$5:$CH$201,INDEX($U$4:$U$11,1,1)+ROW()-5,$AC$2),EB$3))</f>
        <v>0</v>
      </c>
      <c r="EC18">
        <f>IF(OR(ROW()-4&gt;INDEX($U$4:$U$11,$AC$2+1,1)-INDEX($U$4:$U$11,$AC$2,1),ROW()-4&gt;$AD$2),NA(),COUNTIF(INDEX($CB$5:$CH$201,INDEX($U$4:$U$11,1,1),$AC$2):INDEX($CB$5:$CH$201,INDEX($U$4:$U$11,1,1)+ROW()-5,$AC$2),EC$3))</f>
        <v>1</v>
      </c>
      <c r="EE18">
        <f>IF(OR(ROW()-4&gt;INDEX($U$4:$U$11,$AC$2+1,1)-INDEX($U$4:$U$11,$AC$2,1),ROW()-4&gt;$AD$2),NA(),COUNTIF(INDEX($CB$5:$CH$201,INDEX($U$4:$U$11,1,1),$AC$2):INDEX($CB$5:$CH$201,INDEX($U$4:$U$11,1,1)+ROW()-5,$AC$2),EE$3))</f>
        <v>0</v>
      </c>
      <c r="EF18">
        <f>IF(OR(ROW()-4&gt;INDEX($U$4:$U$11,$AC$2+1,1)-INDEX($U$4:$U$11,$AC$2,1),ROW()-4&gt;$AD$2),NA(),COUNTIF(INDEX($CB$5:$CH$201,INDEX($U$4:$U$11,1,1),$AC$2):INDEX($CB$5:$CH$201,INDEX($U$4:$U$11,1,1)+ROW()-5,$AC$2),EF$3))</f>
        <v>0</v>
      </c>
      <c r="EG18">
        <f>IF(OR(ROW()-4&gt;INDEX($U$4:$U$11,$AC$2+1,1)-INDEX($U$4:$U$11,$AC$2,1),ROW()-4&gt;$AD$2),NA(),COUNTIF(INDEX($CB$5:$CH$201,INDEX($U$4:$U$11,1,1),$AC$2):INDEX($CB$5:$CH$201,INDEX($U$4:$U$11,1,1)+ROW()-5,$AC$2),EG$3))</f>
        <v>0</v>
      </c>
      <c r="EH18">
        <f>IF(OR(ROW()-4&gt;INDEX($U$4:$U$11,$AC$2+1,1)-INDEX($U$4:$U$11,$AC$2,1),ROW()-4&gt;$AD$2),NA(),COUNTIF(INDEX($CB$5:$CH$201,INDEX($U$4:$U$11,1,1),$AC$2):INDEX($CB$5:$CH$201,INDEX($U$4:$U$11,1,1)+ROW()-5,$AC$2),EH$3))</f>
        <v>2</v>
      </c>
      <c r="EI18">
        <f>IF(OR(ROW()-4&gt;INDEX($U$4:$U$11,$AC$2+1,1)-INDEX($U$4:$U$11,$AC$2,1),ROW()-4&gt;$AD$2),NA(),COUNTIF(INDEX($CB$5:$CH$201,INDEX($U$4:$U$11,1,1),$AC$2):INDEX($CB$5:$CH$201,INDEX($U$4:$U$11,1,1)+ROW()-5,$AC$2),EI$3))</f>
        <v>3</v>
      </c>
      <c r="EJ18">
        <f>IF(OR(ROW()-4&gt;INDEX($U$4:$U$11,$AC$2+1,1)-INDEX($U$4:$U$11,$AC$2,1),ROW()-4&gt;$AD$2),NA(),COUNTIF(INDEX($CB$5:$CH$201,INDEX($U$4:$U$11,1,1),$AC$2):INDEX($CB$5:$CH$201,INDEX($U$4:$U$11,1,1)+ROW()-5,$AC$2),EJ$3))</f>
        <v>1</v>
      </c>
      <c r="EK18">
        <f>IF(OR(ROW()-4&gt;INDEX($U$4:$U$11,$AC$2+1,1)-INDEX($U$4:$U$11,$AC$2,1),ROW()-4&gt;$AD$2),NA(),COUNTIF(INDEX($CB$5:$CH$201,INDEX($U$4:$U$11,1,1),$AC$2):INDEX($CB$5:$CH$201,INDEX($U$4:$U$11,1,1)+ROW()-5,$AC$2),EK$3))</f>
        <v>0</v>
      </c>
      <c r="EL18">
        <f>IF(OR(ROW()-4&gt;INDEX($U$4:$U$11,$AC$2+1,1)-INDEX($U$4:$U$11,$AC$2,1),ROW()-4&gt;$AD$2),NA(),COUNTIF(INDEX($CB$5:$CH$201,INDEX($U$4:$U$11,1,1),$AC$2):INDEX($CB$5:$CH$201,INDEX($U$4:$U$11,1,1)+ROW()-5,$AC$2),EL$3))</f>
        <v>0</v>
      </c>
      <c r="EN18">
        <f>IF(OR(ROW()-4&gt;INDEX($U$4:$U$11,$AC$2+1,1)-INDEX($U$4:$U$11,$AC$2,1),ROW()-4&gt;$AD$2),NA(),COUNTIF(INDEX($CJ$5:$CP$201,INDEX($U$4:$U$11,1,1),$AC$2):INDEX($CJ$5:$CP$201,INDEX($U$4:$U$11,1,1)+ROW()-5,$AC$2),EN$3))</f>
        <v>3</v>
      </c>
      <c r="EO18">
        <f>IF(OR(ROW()-4&gt;INDEX($U$4:$U$11,$AC$2+1,1)-INDEX($U$4:$U$11,$AC$2,1),ROW()-4&gt;$AD$2),NA(),COUNTIF(INDEX($CJ$5:$CP$201,INDEX($U$4:$U$11,1,1),$AC$2):INDEX($CJ$5:$CP$201,INDEX($U$4:$U$11,1,1)+ROW()-5,$AC$2),EO$3))</f>
        <v>2</v>
      </c>
      <c r="EQ18">
        <f>IF(OR(ROW()-4&gt;INDEX($U$4:$U$11,$AC$2+1,1)-INDEX($U$4:$U$11,$AC$2,1),ROW()-4&gt;$AD$2),NA(),COUNTIF(INDEX($CJ$5:$CP$201,INDEX($U$4:$U$11,1,1),$AC$2):INDEX($CJ$5:$CP$201,INDEX($U$4:$U$11,1,1)+ROW()-5,$AC$2),EQ$3))</f>
        <v>7</v>
      </c>
      <c r="ER18">
        <f>IF(OR(ROW()-4&gt;INDEX($U$4:$U$11,$AC$2+1,1)-INDEX($U$4:$U$11,$AC$2,1),ROW()-4&gt;$AD$2),NA(),COUNTIF(INDEX($CJ$5:$CP$201,INDEX($U$4:$U$11,1,1),$AC$2):INDEX($CJ$5:$CP$201,INDEX($U$4:$U$11,1,1)+ROW()-5,$AC$2),ER$3))</f>
        <v>1</v>
      </c>
      <c r="ET18">
        <f>IF(OR(ROW()-4&gt;INDEX($U$4:$U$11,$AC$2+1,1)-INDEX($U$4:$U$11,$AC$2,1),ROW()-4&gt;$AD$2),NA(),COUNTIF(INDEX($CR$5:$CX$201,INDEX($U$4:$U$11,1,1),$AC$2):INDEX($CR$5:$CX$201,INDEX($U$4:$U$11,1,1)+ROW()-5,$AC$2),ET$3))</f>
        <v>1</v>
      </c>
      <c r="EU18">
        <f>IF(OR(ROW()-4&gt;INDEX($U$4:$U$11,$AC$2+1,1)-INDEX($U$4:$U$11,$AC$2,1),ROW()-4&gt;$AD$2),NA(),COUNTIF(INDEX($CR$5:$CX$201,INDEX($U$4:$U$11,1,1),$AC$2):INDEX($CR$5:$CX$201,INDEX($U$4:$U$11,1,1)+ROW()-5,$AC$2),EU$3))</f>
        <v>0</v>
      </c>
      <c r="EV18">
        <f>IF(OR(ROW()-4&gt;INDEX($U$4:$U$11,$AC$2+1,1)-INDEX($U$4:$U$11,$AC$2,1),ROW()-4&gt;$AD$2),NA(),COUNTIF(INDEX($CR$5:$CX$201,INDEX($U$4:$U$11,1,1),$AC$2):INDEX($CR$5:$CX$201,INDEX($U$4:$U$11,1,1)+ROW()-5,$AC$2),EV$3))</f>
        <v>3</v>
      </c>
      <c r="EW18">
        <f>IF(OR(ROW()-4&gt;INDEX($U$4:$U$11,$AC$2+1,1)-INDEX($U$4:$U$11,$AC$2,1),ROW()-4&gt;$AD$2),NA(),COUNTIF(INDEX($CR$5:$CX$201,INDEX($U$4:$U$11,1,1),$AC$2):INDEX($CR$5:$CX$201,INDEX($U$4:$U$11,1,1)+ROW()-5,$AC$2),EW$3))</f>
        <v>1</v>
      </c>
      <c r="EX18">
        <f>IF(OR(ROW()-4&gt;INDEX($U$4:$U$11,$AC$2+1,1)-INDEX($U$4:$U$11,$AC$2,1),ROW()-4&gt;$AD$2),NA(),COUNTIF(INDEX($CR$5:$CX$201,INDEX($U$4:$U$11,1,1),$AC$2):INDEX($CR$5:$CX$201,INDEX($U$4:$U$11,1,1)+ROW()-5,$AC$2),EX$3))</f>
        <v>0</v>
      </c>
      <c r="EY18">
        <f>IF(OR(ROW()-4&gt;INDEX($U$4:$U$11,$AC$2+1,1)-INDEX($U$4:$U$11,$AC$2,1),ROW()-4&gt;$AD$2),NA(),COUNTIF(INDEX($CR$5:$CX$201,INDEX($U$4:$U$11,1,1),$AC$2):INDEX($CR$5:$CX$201,INDEX($U$4:$U$11,1,1)+ROW()-5,$AC$2),EY$3))</f>
        <v>1</v>
      </c>
      <c r="EZ18">
        <f>IF(OR(ROW()-4&gt;INDEX($U$4:$U$11,$AC$2+1,1)-INDEX($U$4:$U$11,$AC$2,1),ROW()-4&gt;$AD$2),NA(),COUNTIF(INDEX($CR$5:$CX$201,INDEX($U$4:$U$11,1,1),$AC$2):INDEX($CR$5:$CX$201,INDEX($U$4:$U$11,1,1)+ROW()-5,$AC$2),EZ$3))</f>
        <v>0</v>
      </c>
      <c r="FA18">
        <f>IF(OR(ROW()-4&gt;INDEX($U$4:$U$11,$AC$2+1,1)-INDEX($U$4:$U$11,$AC$2,1),ROW()-4&gt;$AD$2),NA(),COUNTIF(INDEX($CR$5:$CX$201,INDEX($U$4:$U$11,1,1),$AC$2):INDEX($CR$5:$CX$201,INDEX($U$4:$U$11,1,1)+ROW()-5,$AC$2),FA$3))</f>
        <v>0</v>
      </c>
      <c r="FC18">
        <f>IF(OR(ROW()-4&gt;INDEX($U$4:$U$11,$AC$2+1,1)-INDEX($U$4:$U$11,$AC$2,1),ROW()-4&gt;$AD$2),NA(),COUNTIF(INDEX($CR$5:$CX$201,INDEX($U$4:$U$11,1,1),$AC$2):INDEX($CR$5:$CX$201,INDEX($U$4:$U$11,1,1)+ROW()-5,$AC$2),FC$3))</f>
        <v>0</v>
      </c>
      <c r="FD18">
        <f>IF(OR(ROW()-4&gt;INDEX($U$4:$U$11,$AC$2+1,1)-INDEX($U$4:$U$11,$AC$2,1),ROW()-4&gt;$AD$2),NA(),COUNTIF(INDEX($CR$5:$CX$201,INDEX($U$4:$U$11,1,1),$AC$2):INDEX($CR$5:$CX$201,INDEX($U$4:$U$11,1,1)+ROW()-5,$AC$2),FD$3))</f>
        <v>0</v>
      </c>
      <c r="FE18">
        <f>IF(OR(ROW()-4&gt;INDEX($U$4:$U$11,$AC$2+1,1)-INDEX($U$4:$U$11,$AC$2,1),ROW()-4&gt;$AD$2),NA(),COUNTIF(INDEX($CR$5:$CX$201,INDEX($U$4:$U$11,1,1),$AC$2):INDEX($CR$5:$CX$201,INDEX($U$4:$U$11,1,1)+ROW()-5,$AC$2),FE$3))</f>
        <v>1</v>
      </c>
      <c r="FF18">
        <f>IF(OR(ROW()-4&gt;INDEX($U$4:$U$11,$AC$2+1,1)-INDEX($U$4:$U$11,$AC$2,1),ROW()-4&gt;$AD$2),NA(),COUNTIF(INDEX($CR$5:$CX$201,INDEX($U$4:$U$11,1,1),$AC$2):INDEX($CR$5:$CX$201,INDEX($U$4:$U$11,1,1)+ROW()-5,$AC$2),FF$3))</f>
        <v>2</v>
      </c>
      <c r="FG18">
        <f>IF(OR(ROW()-4&gt;INDEX($U$4:$U$11,$AC$2+1,1)-INDEX($U$4:$U$11,$AC$2,1),ROW()-4&gt;$AD$2),NA(),COUNTIF(INDEX($CR$5:$CX$201,INDEX($U$4:$U$11,1,1),$AC$2):INDEX($CR$5:$CX$201,INDEX($U$4:$U$11,1,1)+ROW()-5,$AC$2),FG$3))</f>
        <v>0</v>
      </c>
      <c r="FH18">
        <f>IF(OR(ROW()-4&gt;INDEX($U$4:$U$11,$AC$2+1,1)-INDEX($U$4:$U$11,$AC$2,1),ROW()-4&gt;$AD$2),NA(),COUNTIF(INDEX($CR$5:$CX$201,INDEX($U$4:$U$11,1,1),$AC$2):INDEX($CR$5:$CX$201,INDEX($U$4:$U$11,1,1)+ROW()-5,$AC$2),FH$3))</f>
        <v>5</v>
      </c>
      <c r="FI18">
        <f>IF(OR(ROW()-4&gt;INDEX($U$4:$U$11,$AC$2+1,1)-INDEX($U$4:$U$11,$AC$2,1),ROW()-4&gt;$AD$2),NA(),COUNTIF(INDEX($CR$5:$CX$201,INDEX($U$4:$U$11,1,1),$AC$2):INDEX($CR$5:$CX$201,INDEX($U$4:$U$11,1,1)+ROW()-5,$AC$2),FI$3))</f>
        <v>0</v>
      </c>
      <c r="FJ18">
        <f>IF(OR(ROW()-4&gt;INDEX($U$4:$U$11,$AC$2+1,1)-INDEX($U$4:$U$11,$AC$2,1),ROW()-4&gt;$AD$2),NA(),COUNTIF(INDEX($CR$5:$CX$201,INDEX($U$4:$U$11,1,1),$AC$2):INDEX($CR$5:$CX$201,INDEX($U$4:$U$11,1,1)+ROW()-5,$AC$2),FJ$3))</f>
        <v>0</v>
      </c>
      <c r="FL18">
        <f>IF(OR(ROW()-4&gt;INDEX($U$4:$U$11,$AC$2+1,1)-INDEX($U$4:$U$11,$AC$2,1),ROW()-4&gt;$AD$2),NA(),COUNTIF(INDEX($CZ$5:$DF$201,INDEX($U$4:$U$11,1,1),$AC$2):INDEX($CZ$5:$DF$201,INDEX($U$4:$U$11,1,1)+ROW()-5,$AC$2),FL$3))</f>
        <v>0</v>
      </c>
      <c r="FM18">
        <f>IF(OR(ROW()-4&gt;INDEX($U$4:$U$11,$AC$2+1,1)-INDEX($U$4:$U$11,$AC$2,1),ROW()-4&gt;$AD$2),NA(),COUNTIF(INDEX($CZ$5:$DF$201,INDEX($U$4:$U$11,1,1),$AC$2):INDEX($CZ$5:$DF$201,INDEX($U$4:$U$11,1,1)+ROW()-5,$AC$2),FM$3))</f>
        <v>1</v>
      </c>
      <c r="FN18">
        <f>IF(OR(ROW()-4&gt;INDEX($U$4:$U$11,$AC$2+1,1)-INDEX($U$4:$U$11,$AC$2,1),ROW()-4&gt;$AD$2),NA(),COUNTIF(INDEX($CZ$5:$DF$201,INDEX($U$4:$U$11,1,1),$AC$2):INDEX($CZ$5:$DF$201,INDEX($U$4:$U$11,1,1)+ROW()-5,$AC$2),FN$3))</f>
        <v>0</v>
      </c>
      <c r="FO18">
        <f>IF(OR(ROW()-4&gt;INDEX($U$4:$U$11,$AC$2+1,1)-INDEX($U$4:$U$11,$AC$2,1),ROW()-4&gt;$AD$2),NA(),COUNTIF(INDEX($CZ$5:$DF$201,INDEX($U$4:$U$11,1,1),$AC$2):INDEX($CZ$5:$DF$201,INDEX($U$4:$U$11,1,1)+ROW()-5,$AC$2),FO$3))</f>
        <v>2</v>
      </c>
      <c r="FP18">
        <f>IF(OR(ROW()-4&gt;INDEX($U$4:$U$11,$AC$2+1,1)-INDEX($U$4:$U$11,$AC$2,1),ROW()-4&gt;$AD$2),NA(),COUNTIF(INDEX($CZ$5:$DF$201,INDEX($U$4:$U$11,1,1),$AC$2):INDEX($CZ$5:$DF$201,INDEX($U$4:$U$11,1,1)+ROW()-5,$AC$2),FP$3))</f>
        <v>0</v>
      </c>
      <c r="FQ18">
        <f>IF(OR(ROW()-4&gt;INDEX($U$4:$U$11,$AC$2+1,1)-INDEX($U$4:$U$11,$AC$2,1),ROW()-4&gt;$AD$2),NA(),COUNTIF(INDEX($CZ$5:$DF$201,INDEX($U$4:$U$11,1,1),$AC$2):INDEX($CZ$5:$DF$201,INDEX($U$4:$U$11,1,1)+ROW()-5,$AC$2),FQ$3))</f>
        <v>1</v>
      </c>
      <c r="FR18">
        <f>IF(OR(ROW()-4&gt;INDEX($U$4:$U$11,$AC$2+1,1)-INDEX($U$4:$U$11,$AC$2,1),ROW()-4&gt;$AD$2),NA(),COUNTIF(INDEX($CZ$5:$DF$201,INDEX($U$4:$U$11,1,1),$AC$2):INDEX($CZ$5:$DF$201,INDEX($U$4:$U$11,1,1)+ROW()-5,$AC$2),FR$3))</f>
        <v>0</v>
      </c>
      <c r="FS18">
        <f>IF(OR(ROW()-4&gt;INDEX($U$4:$U$11,$AC$2+1,1)-INDEX($U$4:$U$11,$AC$2,1),ROW()-4&gt;$AD$2),NA(),COUNTIF(INDEX($CZ$5:$DF$201,INDEX($U$4:$U$11,1,1),$AC$2):INDEX($CZ$5:$DF$201,INDEX($U$4:$U$11,1,1)+ROW()-5,$AC$2),FS$3))</f>
        <v>0</v>
      </c>
      <c r="FT18">
        <f>IF(OR(ROW()-4&gt;INDEX($U$4:$U$11,$AC$2+1,1)-INDEX($U$4:$U$11,$AC$2,1),ROW()-4&gt;$AD$2),NA(),COUNTIF(INDEX($CZ$5:$DF$201,INDEX($U$4:$U$11,1,1),$AC$2):INDEX($CZ$5:$DF$201,INDEX($U$4:$U$11,1,1)+ROW()-5,$AC$2),FT$3))</f>
        <v>0</v>
      </c>
      <c r="FU18">
        <f>IF(OR(ROW()-4&gt;INDEX($U$4:$U$11,$AC$2+1,1)-INDEX($U$4:$U$11,$AC$2,1),ROW()-4&gt;$AD$2),NA(),COUNTIF(INDEX($CZ$5:$DF$201,INDEX($U$4:$U$11,1,1),$AC$2):INDEX($CZ$5:$DF$201,INDEX($U$4:$U$11,1,1)+ROW()-5,$AC$2),FU$3))</f>
        <v>1</v>
      </c>
      <c r="FW18">
        <f>IF(OR(ROW()-4&gt;INDEX($U$4:$U$11,$AC$2+1,1)-INDEX($U$4:$U$11,$AC$2,1),ROW()-4&gt;$AD$2),NA(),COUNTIF(INDEX($CZ$5:$DF$201,INDEX($U$4:$U$11,1,1),$AC$2):INDEX($CZ$5:$DF$201,INDEX($U$4:$U$11,1,1)+ROW()-5,$AC$2),FW$3))</f>
        <v>0</v>
      </c>
      <c r="FX18">
        <f>IF(OR(ROW()-4&gt;INDEX($U$4:$U$11,$AC$2+1,1)-INDEX($U$4:$U$11,$AC$2,1),ROW()-4&gt;$AD$2),NA(),COUNTIF(INDEX($CZ$5:$DF$201,INDEX($U$4:$U$11,1,1),$AC$2):INDEX($CZ$5:$DF$201,INDEX($U$4:$U$11,1,1)+ROW()-5,$AC$2),FX$3))</f>
        <v>1</v>
      </c>
      <c r="FY18">
        <f>IF(OR(ROW()-4&gt;INDEX($U$4:$U$11,$AC$2+1,1)-INDEX($U$4:$U$11,$AC$2,1),ROW()-4&gt;$AD$2),NA(),COUNTIF(INDEX($CZ$5:$DF$201,INDEX($U$4:$U$11,1,1),$AC$2):INDEX($CZ$5:$DF$201,INDEX($U$4:$U$11,1,1)+ROW()-5,$AC$2),FY$3))</f>
        <v>1</v>
      </c>
      <c r="FZ18">
        <f>IF(OR(ROW()-4&gt;INDEX($U$4:$U$11,$AC$2+1,1)-INDEX($U$4:$U$11,$AC$2,1),ROW()-4&gt;$AD$2),NA(),COUNTIF(INDEX($CZ$5:$DF$201,INDEX($U$4:$U$11,1,1),$AC$2):INDEX($CZ$5:$DF$201,INDEX($U$4:$U$11,1,1)+ROW()-5,$AC$2),FZ$3))</f>
        <v>0</v>
      </c>
      <c r="GA18">
        <f>IF(OR(ROW()-4&gt;INDEX($U$4:$U$11,$AC$2+1,1)-INDEX($U$4:$U$11,$AC$2,1),ROW()-4&gt;$AD$2),NA(),COUNTIF(INDEX($CZ$5:$DF$201,INDEX($U$4:$U$11,1,1),$AC$2):INDEX($CZ$5:$DF$201,INDEX($U$4:$U$11,1,1)+ROW()-5,$AC$2),GA$3))</f>
        <v>1</v>
      </c>
      <c r="GB18">
        <f>IF(OR(ROW()-4&gt;INDEX($U$4:$U$11,$AC$2+1,1)-INDEX($U$4:$U$11,$AC$2,1),ROW()-4&gt;$AD$2),NA(),COUNTIF(INDEX($CZ$5:$DF$201,INDEX($U$4:$U$11,1,1),$AC$2):INDEX($CZ$5:$DF$201,INDEX($U$4:$U$11,1,1)+ROW()-5,$AC$2),GB$3))</f>
        <v>1</v>
      </c>
      <c r="GC18">
        <f>IF(OR(ROW()-4&gt;INDEX($U$4:$U$11,$AC$2+1,1)-INDEX($U$4:$U$11,$AC$2,1),ROW()-4&gt;$AD$2),NA(),COUNTIF(INDEX($CZ$5:$DF$201,INDEX($U$4:$U$11,1,1),$AC$2):INDEX($CZ$5:$DF$201,INDEX($U$4:$U$11,1,1)+ROW()-5,$AC$2),GC$3))</f>
        <v>1</v>
      </c>
      <c r="GD18">
        <f>IF(OR(ROW()-4&gt;INDEX($U$4:$U$11,$AC$2+1,1)-INDEX($U$4:$U$11,$AC$2,1),ROW()-4&gt;$AD$2),NA(),COUNTIF(INDEX($CZ$5:$DF$201,INDEX($U$4:$U$11,1,1),$AC$2):INDEX($CZ$5:$DF$201,INDEX($U$4:$U$11,1,1)+ROW()-5,$AC$2),GD$3))</f>
        <v>1</v>
      </c>
      <c r="GE18">
        <f>IF(OR(ROW()-4&gt;INDEX($U$4:$U$11,$AC$2+1,1)-INDEX($U$4:$U$11,$AC$2,1),ROW()-4&gt;$AD$2),NA(),COUNTIF(INDEX($CZ$5:$DF$201,INDEX($U$4:$U$11,1,1),$AC$2):INDEX($CZ$5:$DF$201,INDEX($U$4:$U$11,1,1)+ROW()-5,$AC$2),GE$3))</f>
        <v>0</v>
      </c>
      <c r="GF18">
        <f>IF(OR(ROW()-4&gt;INDEX($U$4:$U$11,$AC$2+1,1)-INDEX($U$4:$U$11,$AC$2,1),ROW()-4&gt;$AD$2),NA(),COUNTIF(INDEX($CZ$5:$DF$201,INDEX($U$4:$U$11,1,1),$AC$2):INDEX($CZ$5:$DF$201,INDEX($U$4:$U$11,1,1)+ROW()-5,$AC$2),GF$3))</f>
        <v>1</v>
      </c>
      <c r="GK18" t="s">
        <v>38</v>
      </c>
      <c r="GM18" s="59">
        <f>INDEX($DH$55:$DH$90,$AD$2)</f>
        <v>2</v>
      </c>
      <c r="GN18" s="59">
        <f t="shared" ref="GN18:GN19" si="130">GQ18-GM18</f>
        <v>1</v>
      </c>
      <c r="GO18">
        <f>INDEX($DH$4:$DH$40,$AD$2+1)-INDEX($DH$4:$DH$40,$AD$2)</f>
        <v>0</v>
      </c>
      <c r="GP18" t="s">
        <v>51</v>
      </c>
      <c r="GQ18">
        <f>INDEX($DH$5:$DH$40,$AD$2)</f>
        <v>3</v>
      </c>
      <c r="HJ18">
        <f>INDEX($GF$4:$GF$40,$AD$2+1)-INDEX($GF$4:$GF$40,$AD$2)</f>
        <v>0</v>
      </c>
      <c r="HK18" t="s">
        <v>63</v>
      </c>
      <c r="HL18">
        <f>INDEX($GF$5:$GF$40,$AD$2)</f>
        <v>1</v>
      </c>
    </row>
    <row r="19" spans="1:224" x14ac:dyDescent="0.45">
      <c r="A19" t="str">
        <f>データの貼付!A17</f>
        <v>FENG Tianwei</v>
      </c>
      <c r="B19">
        <f>データの貼付!B17</f>
        <v>3.6857754629629632E-3</v>
      </c>
      <c r="C19">
        <f>データの貼付!C17</f>
        <v>5.7928240740740743E-5</v>
      </c>
      <c r="D19">
        <f>データの貼付!D17</f>
        <v>0</v>
      </c>
      <c r="E19" t="str">
        <f>データの貼付!F17</f>
        <v>KIHARA Miyuu</v>
      </c>
      <c r="F19">
        <f>データの貼付!E17</f>
        <v>0</v>
      </c>
      <c r="G19" t="str">
        <f>データの貼付!G17</f>
        <v>#02</v>
      </c>
      <c r="H19" t="str">
        <f>データの貼付!H17</f>
        <v>FENG Tianwei</v>
      </c>
      <c r="I19" t="str">
        <f>データの貼付!I17</f>
        <v>(Side)</v>
      </c>
      <c r="J19" t="str">
        <f>データの貼付!J17</f>
        <v>B</v>
      </c>
      <c r="K19" t="str">
        <f>データの貼付!K17</f>
        <v>BM</v>
      </c>
      <c r="L19" t="str">
        <f>データの貼付!L17</f>
        <v>B</v>
      </c>
      <c r="M19" t="str">
        <f>データの貼付!M17</f>
        <v>ドライブ</v>
      </c>
      <c r="N19" t="str">
        <f>データの貼付!N17</f>
        <v>F</v>
      </c>
      <c r="R19">
        <f t="shared" si="59"/>
        <v>0</v>
      </c>
      <c r="S19">
        <f>SUM(R$4:R19)</f>
        <v>1</v>
      </c>
      <c r="T19" t="str">
        <f t="shared" si="60"/>
        <v/>
      </c>
      <c r="W19" t="str">
        <f t="shared" si="57"/>
        <v>KIHARA Miyuu_FENG Tianwei</v>
      </c>
      <c r="X19" t="str">
        <f t="shared" si="58"/>
        <v>KIHARA Miyuu_#02</v>
      </c>
      <c r="AC19" s="8">
        <f>IF(OR(ROW()-4&gt;INDEX($U$4:$U$11,AC$2+1)-INDEX($U$4:$U$11,AC$2),ROW()-4&gt;AD$2),NA(),COUNTIF(INDEX($W$4:$W$200,INDEX($U$4:$U$11,AC$2)):INDEX($W$4:$W$200,INDEX($U$4:$U$11,AC$2)+ROW()-5),AC$3&amp;"_"&amp;AC$3)/(COUNTIF(INDEX($W$4:$W$200,INDEX($U$4:$U$11,AC$2)):INDEX($W$4:$W$200,INDEX($U$4:$U$11,AC$2)+ROW()-5),AC$3&amp;"_"&amp;AC$3)+COUNTIF(INDEX($W$4:$W$200,INDEX($U$4:$U$11,AC$2)):INDEX($W$4:$W$200,INDEX($U$4:$U$11,AC$2)+ROW()-5),AD$3&amp;"_"&amp;AC$3)))</f>
        <v>0.75</v>
      </c>
      <c r="AD19" s="8">
        <f>IF(OR(ROW()-4&gt;INDEX($U$4:$U$11,AC$2+1)-INDEX($U$4:$U$11,AC$2),ROW()-4&gt;AD$2),NA(),COUNTIF(INDEX($W$4:$W$200,INDEX($U$4:$U$11,AC$2)):INDEX($W$4:$W$200,INDEX($U$4:$U$11,AC$2)+ROW()-5),AD$3&amp;"_"&amp;AD$3)/(COUNTIF(INDEX($W$4:$W$200,INDEX($U$4:$U$11,AC$2)):INDEX($W$4:$W$200,INDEX($U$4:$U$11,AC$2)+ROW()-5),AD$3&amp;"_"&amp;AD$3)+COUNTIF(INDEX($W$4:$W$200,INDEX($U$4:$U$11,AC$2)):INDEX($W$4:$W$200,INDEX($U$4:$U$11,AC$2)+ROW()-5),AC$3&amp;"_"&amp;AD$3)))</f>
        <v>0.42857142857142855</v>
      </c>
      <c r="AE19" s="10">
        <f>IF(OR(ROW()-4&gt;INDEX($U$4:$U$11,AC$2+1)-INDEX($U$4:$U$11,AC$2),ROW()-4&gt;AD$2),NA(),COUNTIF(INDEX($W$4:$W$200,INDEX($U$4:$U$11,AC$2)):INDEX($W$4:$W$200,INDEX($U$4:$U$11,AC$2)+ROW()-5),AC$3&amp;"_"&amp;AD$3)/(COUNTIF(INDEX($W$4:$W$200,INDEX($U$4:$U$11,AC$2)):INDEX($W$4:$W$200,INDEX($U$4:$U$11,AC$2)+ROW()-5),AC$3&amp;"_"&amp;AD$3)+COUNTIF(INDEX($W$4:$W$200,INDEX($U$4:$U$11,AC$2)):INDEX($W$4:$W$200,INDEX($U$4:$U$11,AC$2)+ROW()-5),AD$3&amp;"_"&amp;AD$3)))</f>
        <v>0.5714285714285714</v>
      </c>
      <c r="AF19" s="10">
        <f>IF(OR(ROW()-4&gt;INDEX($U$4:$U$11,AC$2+1)-INDEX($U$4:$U$11,AC$2),ROW()-4&gt;AD$2),NA(),COUNTIF(INDEX($W$4:$W$200,INDEX($U$4:$U$11,AC$2)):INDEX($W$4:$W$200,INDEX($U$4:$U$11,AC$2)+ROW()-5),AD$3&amp;"_"&amp;AC$3)/(COUNTIF(INDEX($W$4:$W$200,INDEX($U$4:$U$11,AC$2)):INDEX($W$4:$W$200,INDEX($U$4:$U$11,AC$2)+ROW()-5),AD$3&amp;"_"&amp;AC$3)+COUNTIF(INDEX($W$4:$W$200,INDEX($U$4:$U$11,AC$2)):INDEX($W$4:$W$200,INDEX($U$4:$U$11,AC$2)+ROW()-5),AC$3&amp;"_"&amp;AC$3)))</f>
        <v>0.25</v>
      </c>
      <c r="AG19" s="10">
        <f>IF(OR(ROW()-4&gt;INDEX($U$4:$U$11,AC$2+1)-INDEX($U$4:$U$11,AC$2),ROW()-4&gt;AD$2),NA(),COUNTIF(INDEX($X$4:$X$200,INDEX($U$4:$U$11,AC$2)):INDEX($X$4:$X$200,INDEX($U$4:$U$11,AC$2)+ROW()-5),AC$3&amp;"_#03")/(COUNTIF(INDEX($W$4:$W$200,INDEX($U$4:$U$11,AC$2)):INDEX($W$4:$W$200,INDEX($U$4:$U$11,AC$2)+ROW()-5),AC$3&amp;"_"&amp;AC$3)+COUNTIF(INDEX($W$4:$W$200,INDEX($U$4:$U$11,AC$2)):INDEX($W$4:$W$200,INDEX($U$4:$U$11,AC$2)+ROW()-5),AD$3&amp;"_"&amp;AC$3)))</f>
        <v>0.25</v>
      </c>
      <c r="AH19" s="10">
        <f>IF(OR(ROW()-4&gt;INDEX($U$4:$U$11,AC$2+1)-INDEX($U$4:$U$11,AC$2),ROW()-4&gt;AD$2),NA(),COUNTIF(INDEX($X$4:$X$200,INDEX($U$4:$U$11,AC$2)):INDEX($X$4:$X$200,INDEX($U$4:$U$11,AC$2)+ROW()-5),AD$3&amp;"_#03")/(COUNTIF(INDEX($W$4:$W$200,INDEX($U$4:$U$11,AC$2)):INDEX($W$4:$W$200,INDEX($U$4:$U$11,AC$2)+ROW()-5),AD$3&amp;"_"&amp;AD$3)+COUNTIF(INDEX($W$4:$W$200,INDEX($U$4:$U$11,AC$2)):INDEX($W$4:$W$200,INDEX($U$4:$U$11,AC$2)+ROW()-5),AC$3&amp;"_"&amp;AD$3)))</f>
        <v>0</v>
      </c>
      <c r="AI19" s="10">
        <f>IF(OR(ROW()-4&gt;INDEX($U$4:$U$11,AC$2+1)-INDEX($U$4:$U$11,AC$2),ROW()-4&gt;AD$2),NA(),(COUNTIF(INDEX($X$4:$X$200,INDEX($U$4:$U$11,AC$2)):INDEX($X$4:$X$200,INDEX($U$4:$U$11,AC$2)+ROW()-5),AC$3&amp;"_#03")-COUNTIF(INDEX($X$4:$X$200,INDEX($U$4:$U$11,AC$2)):INDEX($X$4:$X$200,INDEX($U$4:$U$11,AC$2)+ROW()-5),AD$3&amp;"_#02"))/(COUNTIF(INDEX($W$4:$W$200,INDEX($U$4:$U$11,AC$2)):INDEX($W$4:$W$200,INDEX($U$4:$U$11,AC$2)+ROW()-5),AC$3&amp;"_"&amp;AC$3)+COUNTIF(INDEX($W$4:$W$200,INDEX($U$4:$U$11,AC$2)):INDEX($W$4:$W$200,INDEX($U$4:$U$11,AC$2)+ROW()-5),AD$3&amp;"_"&amp;AC$3)))</f>
        <v>0.125</v>
      </c>
      <c r="AJ19" s="10">
        <f>IF(OR(ROW()-4&gt;INDEX($U$4:$U$11,AC$2+1)-INDEX($U$4:$U$11,AC$2),ROW()-4&gt;AD$2),NA(),(COUNTIF(INDEX($X$4:$X$200,INDEX($U$4:$U$11,AC$2)):INDEX($X$4:$X$200,INDEX($U$4:$U$11,AC$2)+ROW()-5),AD$3&amp;"_#03")-COUNTIF(INDEX($X$4:$X$200,INDEX($U$4:$U$11,AC$2)):INDEX($X$4:$X$200,INDEX($U$4:$U$11,AC$2)+ROW()-5),AC$3&amp;"_#02"))/(COUNTIF(INDEX($W$4:$W$200,INDEX($U$4:$U$11,AC$2)):INDEX($W$4:$W$200,INDEX($U$4:$U$11,AC$2)+ROW()-5),AD$3&amp;"_"&amp;AD$3)+COUNTIF(INDEX($W$4:$W$200,INDEX($U$4:$U$11,AC$2)):INDEX($W$4:$W$200,INDEX($U$4:$U$11,AC$2)+ROW()-5),AC$3&amp;"_"&amp;AD$3)))</f>
        <v>-0.14285714285714285</v>
      </c>
      <c r="AK19" s="10">
        <f>IF(OR(ROW()-4&gt;INDEX($U$4:$U$11,AC$2+1)-INDEX($U$4:$U$11,AC$2),ROW()-4&gt;AD$2),NA(),(COUNTIF(INDEX($X$4:$X$200,INDEX($U$4:$U$11,AC$2)):INDEX($X$4:$X$200,INDEX($U$4:$U$11,AC$2)+ROW()-5),AC$3&amp;"_#01")+COUNTIF(INDEX($X$4:$X$200,INDEX($U$4:$U$11,AC$2)):INDEX($X$4:$X$200,INDEX($U$4:$U$11,AC$2)+ROW()-5),AC$3&amp;"_#03"))/(COUNTIF(INDEX($W$4:$W$200,INDEX($U$4:$U$11,AC$2)):INDEX($W$4:$W$200,INDEX($U$4:$U$11,AC$2)+ROW()-5),AC$3&amp;"_"&amp;AC$3)+COUNTIF(INDEX($W$4:$W$200,INDEX($U$4:$U$11,AC$2)):INDEX($W$4:$W$200,INDEX($U$4:$U$11,AC$2)+ROW()-5),AD$3&amp;"_"&amp;AC$3)))</f>
        <v>0.5</v>
      </c>
      <c r="AL19" s="10">
        <f>IF(OR(ROW()-4&gt;INDEX($U$4:$U$11,AC$2+1)-INDEX($U$4:$U$11,AC$2),ROW()-4&gt;AD$2),NA(),(COUNTIF(INDEX($X$4:$X$200,INDEX($U$4:$U$11,AC$2)):INDEX($X$4:$X$200,INDEX($U$4:$U$11,AC$2)+ROW()-5),AD$3&amp;"_#01")+COUNTIF(INDEX($X$4:$X$200,INDEX($U$4:$U$11,AC$2)):INDEX($X$4:$X$200,INDEX($U$4:$U$11,AC$2)+ROW()-5),AD$3&amp;"_#03"))/(COUNTIF(INDEX($W$4:$W$200,INDEX($U$4:$U$11,AC$2)):INDEX($W$4:$W$200,INDEX($U$4:$U$11,AC$2)+ROW()-5),AD$3&amp;"_"&amp;AD$3)+COUNTIF(INDEX($W$4:$W$200,INDEX($U$4:$U$11,AC$2)):INDEX($W$4:$W$200,INDEX($U$4:$U$11,AC$2)+ROW()-5),AC$3&amp;"_"&amp;AD$3)))</f>
        <v>0.2857142857142857</v>
      </c>
      <c r="AN19">
        <f t="shared" si="125"/>
        <v>15</v>
      </c>
      <c r="AO19">
        <f t="shared" si="111"/>
        <v>32</v>
      </c>
      <c r="AP19">
        <f t="shared" si="112"/>
        <v>47</v>
      </c>
      <c r="AQ19">
        <f t="shared" si="113"/>
        <v>63</v>
      </c>
      <c r="AR19" t="str">
        <f t="shared" si="114"/>
        <v/>
      </c>
      <c r="AS19" t="e">
        <f t="shared" si="115"/>
        <v>#VALUE!</v>
      </c>
      <c r="AT19" t="e">
        <f t="shared" si="116"/>
        <v>#VALUE!</v>
      </c>
      <c r="AV19" t="str">
        <f t="shared" si="117"/>
        <v>SL</v>
      </c>
      <c r="AW19" t="str">
        <f t="shared" si="63"/>
        <v>KIHARA Miyuu</v>
      </c>
      <c r="AX19" t="str">
        <f t="shared" si="64"/>
        <v>FENG Tianwei</v>
      </c>
      <c r="AY19" t="str">
        <f t="shared" si="65"/>
        <v>FENG Tianwei</v>
      </c>
      <c r="AZ19" t="e">
        <f t="shared" si="66"/>
        <v>#VALUE!</v>
      </c>
      <c r="BA19" t="e">
        <f t="shared" si="67"/>
        <v>#VALUE!</v>
      </c>
      <c r="BB19" t="e">
        <f t="shared" si="68"/>
        <v>#VALUE!</v>
      </c>
      <c r="BD19" t="str">
        <f t="shared" si="118"/>
        <v>FENG Tianwei</v>
      </c>
      <c r="BE19" t="str">
        <f t="shared" si="69"/>
        <v>FENG Tianwei</v>
      </c>
      <c r="BF19" t="str">
        <f t="shared" si="70"/>
        <v>KIHARA Miyuu</v>
      </c>
      <c r="BG19" t="str">
        <f t="shared" si="71"/>
        <v>FENG Tianwei</v>
      </c>
      <c r="BH19" t="e">
        <f t="shared" si="72"/>
        <v>#VALUE!</v>
      </c>
      <c r="BI19" t="e">
        <f t="shared" si="73"/>
        <v>#VALUE!</v>
      </c>
      <c r="BJ19" t="e">
        <f t="shared" si="74"/>
        <v>#VALUE!</v>
      </c>
      <c r="BL19" t="str">
        <f t="shared" si="119"/>
        <v>FENG Tianwei_SL</v>
      </c>
      <c r="BM19" t="str">
        <f t="shared" si="75"/>
        <v>FENG Tianwei_Side</v>
      </c>
      <c r="BN19" t="str">
        <f t="shared" si="76"/>
        <v>KIHARA Miyuu_(Side)</v>
      </c>
      <c r="BO19" t="str">
        <f t="shared" si="77"/>
        <v>FENG Tianwei_Side</v>
      </c>
      <c r="BP19" t="e">
        <f t="shared" si="78"/>
        <v>#VALUE!</v>
      </c>
      <c r="BQ19" t="e">
        <f t="shared" si="79"/>
        <v>#VALUE!</v>
      </c>
      <c r="BR19" t="e">
        <f t="shared" si="80"/>
        <v>#VALUE!</v>
      </c>
      <c r="BT19" t="str">
        <f t="shared" si="120"/>
        <v>FENG Tianwei_SL</v>
      </c>
      <c r="BU19" t="str">
        <f t="shared" si="81"/>
        <v>FENG Tianwei_B</v>
      </c>
      <c r="BV19" t="str">
        <f t="shared" si="82"/>
        <v>KIHARA Miyuu_B</v>
      </c>
      <c r="BW19" t="str">
        <f t="shared" si="83"/>
        <v>FENG Tianwei_B</v>
      </c>
      <c r="BX19" t="e">
        <f t="shared" si="84"/>
        <v>#VALUE!</v>
      </c>
      <c r="BY19" t="e">
        <f t="shared" si="85"/>
        <v>#VALUE!</v>
      </c>
      <c r="BZ19" t="e">
        <f t="shared" si="86"/>
        <v>#VALUE!</v>
      </c>
      <c r="CB19" t="str">
        <f t="shared" si="121"/>
        <v>FENG Tianwei_SL</v>
      </c>
      <c r="CC19" t="str">
        <f t="shared" si="87"/>
        <v>FENG Tianwei_B</v>
      </c>
      <c r="CD19" t="str">
        <f t="shared" si="88"/>
        <v>KIHARA Miyuu_B</v>
      </c>
      <c r="CE19" t="str">
        <f t="shared" si="89"/>
        <v>FENG Tianwei_B</v>
      </c>
      <c r="CF19" t="e">
        <f t="shared" si="90"/>
        <v>#VALUE!</v>
      </c>
      <c r="CG19" t="e">
        <f t="shared" si="91"/>
        <v>#VALUE!</v>
      </c>
      <c r="CH19" t="e">
        <f t="shared" si="92"/>
        <v>#VALUE!</v>
      </c>
      <c r="CJ19" t="str">
        <f t="shared" si="122"/>
        <v>KIHARA Miyuu_SL</v>
      </c>
      <c r="CK19" t="str">
        <f t="shared" si="93"/>
        <v>KIHARA Miyuu_B</v>
      </c>
      <c r="CL19" t="str">
        <f t="shared" si="94"/>
        <v>FENG Tianwei_B</v>
      </c>
      <c r="CM19" t="str">
        <f t="shared" si="95"/>
        <v>KIHARA Miyuu_B</v>
      </c>
      <c r="CN19" t="e">
        <f t="shared" si="96"/>
        <v>#VALUE!</v>
      </c>
      <c r="CO19" t="e">
        <f t="shared" si="97"/>
        <v>#VALUE!</v>
      </c>
      <c r="CP19" t="e">
        <f t="shared" si="98"/>
        <v>#VALUE!</v>
      </c>
      <c r="CR19" t="str">
        <f t="shared" si="123"/>
        <v>KIHARA Miyuu_SL</v>
      </c>
      <c r="CS19" t="str">
        <f t="shared" si="99"/>
        <v>KIHARA Miyuu_ドライブ</v>
      </c>
      <c r="CT19" t="str">
        <f t="shared" si="100"/>
        <v>FENG Tianwei_ドライブ</v>
      </c>
      <c r="CU19" t="str">
        <f t="shared" si="101"/>
        <v>KIHARA Miyuu_ドライブ</v>
      </c>
      <c r="CV19" t="e">
        <f t="shared" si="102"/>
        <v>#VALUE!</v>
      </c>
      <c r="CW19" t="e">
        <f t="shared" si="103"/>
        <v>#VALUE!</v>
      </c>
      <c r="CX19" t="e">
        <f t="shared" si="104"/>
        <v>#VALUE!</v>
      </c>
      <c r="CZ19" t="str">
        <f t="shared" si="124"/>
        <v>KIHARA Miyuu_SL</v>
      </c>
      <c r="DA19" t="str">
        <f t="shared" si="105"/>
        <v>KIHARA Miyuu_FM</v>
      </c>
      <c r="DB19" t="str">
        <f t="shared" si="106"/>
        <v>FENG Tianwei_BM</v>
      </c>
      <c r="DC19" t="str">
        <f t="shared" si="107"/>
        <v>KIHARA Miyuu_B</v>
      </c>
      <c r="DD19" t="e">
        <f t="shared" si="108"/>
        <v>#VALUE!</v>
      </c>
      <c r="DE19" t="e">
        <f t="shared" si="109"/>
        <v>#VALUE!</v>
      </c>
      <c r="DF19" t="e">
        <f t="shared" si="110"/>
        <v>#VALUE!</v>
      </c>
      <c r="DH19">
        <f>IF(OR(ROW()-4&gt;INDEX($U$4:$U$11,$AC$2+1,1)-INDEX($U$4:$U$11,$AC$2,1),ROW()-4&gt;$AD$2),NA(),COUNTIF(INDEX($BL$5:$BR$50,INDEX($U$4:$U$11,1,1),$AC$2):INDEX($BL$5:$BR$50,INDEX($U$4:$U$11,1,1)+ROW()-5,$AC$2),DH$3))</f>
        <v>3</v>
      </c>
      <c r="DI19">
        <f>IF(OR(ROW()-4&gt;INDEX($U$4:$U$11,$AC$2+1,1)-INDEX($U$4:$U$11,$AC$2,1),ROW()-4&gt;$AD$2),NA(),COUNTIF(INDEX($BL$5:$BR$50,INDEX($U$4:$U$11,1,1),$AC$2):INDEX($BL$5:$BR$50,INDEX($U$4:$U$11,1,1)+ROW()-5,$AC$2),DI$3))</f>
        <v>5</v>
      </c>
      <c r="DJ19">
        <f>IF(OR(ROW()-4&gt;INDEX($U$4:$U$11,$AC$2+1,1)-INDEX($U$4:$U$11,$AC$2,1),ROW()-4&gt;$AD$2),NA(),COUNTIF(INDEX($BL$5:$BR$50,INDEX($U$4:$U$11,1,1),$AC$2):INDEX($BL$5:$BR$50,INDEX($U$4:$U$11,1,1)+ROW()-5,$AC$2),DJ$3))</f>
        <v>0</v>
      </c>
      <c r="DL19">
        <f>IF(OR(ROW()-4&gt;INDEX($U$4:$U$11,$AC$2+1,1)-INDEX($U$4:$U$11,$AC$2,1),ROW()-4&gt;$AD$2),NA(),COUNTIF(INDEX($BL$5:$BR$50,INDEX($U$4:$U$11,1,1),$AC$2):INDEX($BL$5:$BR$50,INDEX($U$4:$U$11,1,1)+ROW()-5,$AC$2),DL$3))</f>
        <v>0</v>
      </c>
      <c r="DM19">
        <f>IF(OR(ROW()-4&gt;INDEX($U$4:$U$11,$AC$2+1,1)-INDEX($U$4:$U$11,$AC$2,1),ROW()-4&gt;$AD$2),NA(),COUNTIF(INDEX($BL$5:$BR$50,INDEX($U$4:$U$11,1,1),$AC$2):INDEX($BL$5:$BR$50,INDEX($U$4:$U$11,1,1)+ROW()-5,$AC$2),DM$3))</f>
        <v>0</v>
      </c>
      <c r="DN19">
        <f>IF(OR(ROW()-4&gt;INDEX($U$4:$U$11,$AC$2+1,1)-INDEX($U$4:$U$11,$AC$2,1),ROW()-4&gt;$AD$2),NA(),COUNTIF(INDEX($BL$5:$BR$50,INDEX($U$4:$U$11,1,1),$AC$2):INDEX($BL$5:$BR$50,INDEX($U$4:$U$11,1,1)+ROW()-5,$AC$2),DN$3))</f>
        <v>7</v>
      </c>
      <c r="DP19">
        <f>IF(OR(ROW()-4&gt;INDEX($U$4:$U$11,$AC$2+1,1)-INDEX($U$4:$U$11,$AC$2,1),ROW()-4&gt;$AD$2),NA(),COUNTIF(INDEX($BT$5:$BZ$201,INDEX($U$4:$U$11,1,1),$AC$2):INDEX($BT$5:$BZ$201,INDEX($U$4:$U$11,1,1)+ROW()-5,$AC$2),DP$3))</f>
        <v>8</v>
      </c>
      <c r="DQ19">
        <f>IF(OR(ROW()-4&gt;INDEX($U$4:$U$11,$AC$2+1,1)-INDEX($U$4:$U$11,$AC$2,1),ROW()-4&gt;$AD$2),NA(),COUNTIF(INDEX($BT$5:$BZ$201,INDEX($U$4:$U$11,1,1),$AC$2):INDEX($BT$5:$BZ$201,INDEX($U$4:$U$11,1,1)+ROW()-5,$AC$2),DQ$3))</f>
        <v>0</v>
      </c>
      <c r="DS19">
        <f>IF(OR(ROW()-4&gt;INDEX($U$4:$U$11,$AC$2+1,1)-INDEX($U$4:$U$11,$AC$2,1),ROW()-4&gt;$AD$2),NA(),COUNTIF(INDEX($BT$5:$BZ$201,INDEX($U$4:$U$11,1,1),$AC$2):INDEX($BT$5:$BZ$201,INDEX($U$4:$U$11,1,1)+ROW()-5,$AC$2),DS$3))</f>
        <v>7</v>
      </c>
      <c r="DT19">
        <f>IF(OR(ROW()-4&gt;INDEX($U$4:$U$11,$AC$2+1,1)-INDEX($U$4:$U$11,$AC$2,1),ROW()-4&gt;$AD$2),NA(),COUNTIF(INDEX($BT$5:$BZ$201,INDEX($U$4:$U$11,1,1),$AC$2):INDEX($BT$5:$BZ$201,INDEX($U$4:$U$11,1,1)+ROW()-5,$AC$2),DT$3))</f>
        <v>0</v>
      </c>
      <c r="DV19">
        <f>IF(OR(ROW()-4&gt;INDEX($U$4:$U$11,$AC$2+1,1)-INDEX($U$4:$U$11,$AC$2,1),ROW()-4&gt;$AD$2),NA(),COUNTIF(INDEX($CB$5:$CH$201,INDEX($U$4:$U$11,1,1),$AC$2):INDEX($CB$5:$CH$201,INDEX($U$4:$U$11,1,1)+ROW()-5,$AC$2),DV$3))</f>
        <v>0</v>
      </c>
      <c r="DW19">
        <f>IF(OR(ROW()-4&gt;INDEX($U$4:$U$11,$AC$2+1,1)-INDEX($U$4:$U$11,$AC$2,1),ROW()-4&gt;$AD$2),NA(),COUNTIF(INDEX($CB$5:$CH$201,INDEX($U$4:$U$11,1,1),$AC$2):INDEX($CB$5:$CH$201,INDEX($U$4:$U$11,1,1)+ROW()-5,$AC$2),DW$3))</f>
        <v>0</v>
      </c>
      <c r="DX19">
        <f>IF(OR(ROW()-4&gt;INDEX($U$4:$U$11,$AC$2+1,1)-INDEX($U$4:$U$11,$AC$2,1),ROW()-4&gt;$AD$2),NA(),COUNTIF(INDEX($CB$5:$CH$201,INDEX($U$4:$U$11,1,1),$AC$2):INDEX($CB$5:$CH$201,INDEX($U$4:$U$11,1,1)+ROW()-5,$AC$2),DX$3))</f>
        <v>3</v>
      </c>
      <c r="DY19">
        <f>IF(OR(ROW()-4&gt;INDEX($U$4:$U$11,$AC$2+1,1)-INDEX($U$4:$U$11,$AC$2,1),ROW()-4&gt;$AD$2),NA(),COUNTIF(INDEX($CB$5:$CH$201,INDEX($U$4:$U$11,1,1),$AC$2):INDEX($CB$5:$CH$201,INDEX($U$4:$U$11,1,1)+ROW()-5,$AC$2),DY$3))</f>
        <v>2</v>
      </c>
      <c r="DZ19">
        <f>IF(OR(ROW()-4&gt;INDEX($U$4:$U$11,$AC$2+1,1)-INDEX($U$4:$U$11,$AC$2,1),ROW()-4&gt;$AD$2),NA(),COUNTIF(INDEX($CB$5:$CH$201,INDEX($U$4:$U$11,1,1),$AC$2):INDEX($CB$5:$CH$201,INDEX($U$4:$U$11,1,1)+ROW()-5,$AC$2),DZ$3))</f>
        <v>1</v>
      </c>
      <c r="EA19">
        <f>IF(OR(ROW()-4&gt;INDEX($U$4:$U$11,$AC$2+1,1)-INDEX($U$4:$U$11,$AC$2,1),ROW()-4&gt;$AD$2),NA(),COUNTIF(INDEX($CB$5:$CH$201,INDEX($U$4:$U$11,1,1),$AC$2):INDEX($CB$5:$CH$201,INDEX($U$4:$U$11,1,1)+ROW()-5,$AC$2),EA$3))</f>
        <v>1</v>
      </c>
      <c r="EB19">
        <f>IF(OR(ROW()-4&gt;INDEX($U$4:$U$11,$AC$2+1,1)-INDEX($U$4:$U$11,$AC$2,1),ROW()-4&gt;$AD$2),NA(),COUNTIF(INDEX($CB$5:$CH$201,INDEX($U$4:$U$11,1,1),$AC$2):INDEX($CB$5:$CH$201,INDEX($U$4:$U$11,1,1)+ROW()-5,$AC$2),EB$3))</f>
        <v>0</v>
      </c>
      <c r="EC19">
        <f>IF(OR(ROW()-4&gt;INDEX($U$4:$U$11,$AC$2+1,1)-INDEX($U$4:$U$11,$AC$2,1),ROW()-4&gt;$AD$2),NA(),COUNTIF(INDEX($CB$5:$CH$201,INDEX($U$4:$U$11,1,1),$AC$2):INDEX($CB$5:$CH$201,INDEX($U$4:$U$11,1,1)+ROW()-5,$AC$2),EC$3))</f>
        <v>1</v>
      </c>
      <c r="EE19">
        <f>IF(OR(ROW()-4&gt;INDEX($U$4:$U$11,$AC$2+1,1)-INDEX($U$4:$U$11,$AC$2,1),ROW()-4&gt;$AD$2),NA(),COUNTIF(INDEX($CB$5:$CH$201,INDEX($U$4:$U$11,1,1),$AC$2):INDEX($CB$5:$CH$201,INDEX($U$4:$U$11,1,1)+ROW()-5,$AC$2),EE$3))</f>
        <v>0</v>
      </c>
      <c r="EF19">
        <f>IF(OR(ROW()-4&gt;INDEX($U$4:$U$11,$AC$2+1,1)-INDEX($U$4:$U$11,$AC$2,1),ROW()-4&gt;$AD$2),NA(),COUNTIF(INDEX($CB$5:$CH$201,INDEX($U$4:$U$11,1,1),$AC$2):INDEX($CB$5:$CH$201,INDEX($U$4:$U$11,1,1)+ROW()-5,$AC$2),EF$3))</f>
        <v>0</v>
      </c>
      <c r="EG19">
        <f>IF(OR(ROW()-4&gt;INDEX($U$4:$U$11,$AC$2+1,1)-INDEX($U$4:$U$11,$AC$2,1),ROW()-4&gt;$AD$2),NA(),COUNTIF(INDEX($CB$5:$CH$201,INDEX($U$4:$U$11,1,1),$AC$2):INDEX($CB$5:$CH$201,INDEX($U$4:$U$11,1,1)+ROW()-5,$AC$2),EG$3))</f>
        <v>0</v>
      </c>
      <c r="EH19">
        <f>IF(OR(ROW()-4&gt;INDEX($U$4:$U$11,$AC$2+1,1)-INDEX($U$4:$U$11,$AC$2,1),ROW()-4&gt;$AD$2),NA(),COUNTIF(INDEX($CB$5:$CH$201,INDEX($U$4:$U$11,1,1),$AC$2):INDEX($CB$5:$CH$201,INDEX($U$4:$U$11,1,1)+ROW()-5,$AC$2),EH$3))</f>
        <v>3</v>
      </c>
      <c r="EI19">
        <f>IF(OR(ROW()-4&gt;INDEX($U$4:$U$11,$AC$2+1,1)-INDEX($U$4:$U$11,$AC$2,1),ROW()-4&gt;$AD$2),NA(),COUNTIF(INDEX($CB$5:$CH$201,INDEX($U$4:$U$11,1,1),$AC$2):INDEX($CB$5:$CH$201,INDEX($U$4:$U$11,1,1)+ROW()-5,$AC$2),EI$3))</f>
        <v>3</v>
      </c>
      <c r="EJ19">
        <f>IF(OR(ROW()-4&gt;INDEX($U$4:$U$11,$AC$2+1,1)-INDEX($U$4:$U$11,$AC$2,1),ROW()-4&gt;$AD$2),NA(),COUNTIF(INDEX($CB$5:$CH$201,INDEX($U$4:$U$11,1,1),$AC$2):INDEX($CB$5:$CH$201,INDEX($U$4:$U$11,1,1)+ROW()-5,$AC$2),EJ$3))</f>
        <v>1</v>
      </c>
      <c r="EK19">
        <f>IF(OR(ROW()-4&gt;INDEX($U$4:$U$11,$AC$2+1,1)-INDEX($U$4:$U$11,$AC$2,1),ROW()-4&gt;$AD$2),NA(),COUNTIF(INDEX($CB$5:$CH$201,INDEX($U$4:$U$11,1,1),$AC$2):INDEX($CB$5:$CH$201,INDEX($U$4:$U$11,1,1)+ROW()-5,$AC$2),EK$3))</f>
        <v>0</v>
      </c>
      <c r="EL19">
        <f>IF(OR(ROW()-4&gt;INDEX($U$4:$U$11,$AC$2+1,1)-INDEX($U$4:$U$11,$AC$2,1),ROW()-4&gt;$AD$2),NA(),COUNTIF(INDEX($CB$5:$CH$201,INDEX($U$4:$U$11,1,1),$AC$2):INDEX($CB$5:$CH$201,INDEX($U$4:$U$11,1,1)+ROW()-5,$AC$2),EL$3))</f>
        <v>0</v>
      </c>
      <c r="EN19">
        <f>IF(OR(ROW()-4&gt;INDEX($U$4:$U$11,$AC$2+1,1)-INDEX($U$4:$U$11,$AC$2,1),ROW()-4&gt;$AD$2),NA(),COUNTIF(INDEX($CJ$5:$CP$201,INDEX($U$4:$U$11,1,1),$AC$2):INDEX($CJ$5:$CP$201,INDEX($U$4:$U$11,1,1)+ROW()-5,$AC$2),EN$3))</f>
        <v>4</v>
      </c>
      <c r="EO19">
        <f>IF(OR(ROW()-4&gt;INDEX($U$4:$U$11,$AC$2+1,1)-INDEX($U$4:$U$11,$AC$2,1),ROW()-4&gt;$AD$2),NA(),COUNTIF(INDEX($CJ$5:$CP$201,INDEX($U$4:$U$11,1,1),$AC$2):INDEX($CJ$5:$CP$201,INDEX($U$4:$U$11,1,1)+ROW()-5,$AC$2),EO$3))</f>
        <v>2</v>
      </c>
      <c r="EQ19">
        <f>IF(OR(ROW()-4&gt;INDEX($U$4:$U$11,$AC$2+1,1)-INDEX($U$4:$U$11,$AC$2,1),ROW()-4&gt;$AD$2),NA(),COUNTIF(INDEX($CJ$5:$CP$201,INDEX($U$4:$U$11,1,1),$AC$2):INDEX($CJ$5:$CP$201,INDEX($U$4:$U$11,1,1)+ROW()-5,$AC$2),EQ$3))</f>
        <v>7</v>
      </c>
      <c r="ER19">
        <f>IF(OR(ROW()-4&gt;INDEX($U$4:$U$11,$AC$2+1,1)-INDEX($U$4:$U$11,$AC$2,1),ROW()-4&gt;$AD$2),NA(),COUNTIF(INDEX($CJ$5:$CP$201,INDEX($U$4:$U$11,1,1),$AC$2):INDEX($CJ$5:$CP$201,INDEX($U$4:$U$11,1,1)+ROW()-5,$AC$2),ER$3))</f>
        <v>1</v>
      </c>
      <c r="ET19">
        <f>IF(OR(ROW()-4&gt;INDEX($U$4:$U$11,$AC$2+1,1)-INDEX($U$4:$U$11,$AC$2,1),ROW()-4&gt;$AD$2),NA(),COUNTIF(INDEX($CR$5:$CX$201,INDEX($U$4:$U$11,1,1),$AC$2):INDEX($CR$5:$CX$201,INDEX($U$4:$U$11,1,1)+ROW()-5,$AC$2),ET$3))</f>
        <v>1</v>
      </c>
      <c r="EU19">
        <f>IF(OR(ROW()-4&gt;INDEX($U$4:$U$11,$AC$2+1,1)-INDEX($U$4:$U$11,$AC$2,1),ROW()-4&gt;$AD$2),NA(),COUNTIF(INDEX($CR$5:$CX$201,INDEX($U$4:$U$11,1,1),$AC$2):INDEX($CR$5:$CX$201,INDEX($U$4:$U$11,1,1)+ROW()-5,$AC$2),EU$3))</f>
        <v>0</v>
      </c>
      <c r="EV19">
        <f>IF(OR(ROW()-4&gt;INDEX($U$4:$U$11,$AC$2+1,1)-INDEX($U$4:$U$11,$AC$2,1),ROW()-4&gt;$AD$2),NA(),COUNTIF(INDEX($CR$5:$CX$201,INDEX($U$4:$U$11,1,1),$AC$2):INDEX($CR$5:$CX$201,INDEX($U$4:$U$11,1,1)+ROW()-5,$AC$2),EV$3))</f>
        <v>3</v>
      </c>
      <c r="EW19">
        <f>IF(OR(ROW()-4&gt;INDEX($U$4:$U$11,$AC$2+1,1)-INDEX($U$4:$U$11,$AC$2,1),ROW()-4&gt;$AD$2),NA(),COUNTIF(INDEX($CR$5:$CX$201,INDEX($U$4:$U$11,1,1),$AC$2):INDEX($CR$5:$CX$201,INDEX($U$4:$U$11,1,1)+ROW()-5,$AC$2),EW$3))</f>
        <v>1</v>
      </c>
      <c r="EX19">
        <f>IF(OR(ROW()-4&gt;INDEX($U$4:$U$11,$AC$2+1,1)-INDEX($U$4:$U$11,$AC$2,1),ROW()-4&gt;$AD$2),NA(),COUNTIF(INDEX($CR$5:$CX$201,INDEX($U$4:$U$11,1,1),$AC$2):INDEX($CR$5:$CX$201,INDEX($U$4:$U$11,1,1)+ROW()-5,$AC$2),EX$3))</f>
        <v>0</v>
      </c>
      <c r="EY19">
        <f>IF(OR(ROW()-4&gt;INDEX($U$4:$U$11,$AC$2+1,1)-INDEX($U$4:$U$11,$AC$2,1),ROW()-4&gt;$AD$2),NA(),COUNTIF(INDEX($CR$5:$CX$201,INDEX($U$4:$U$11,1,1),$AC$2):INDEX($CR$5:$CX$201,INDEX($U$4:$U$11,1,1)+ROW()-5,$AC$2),EY$3))</f>
        <v>2</v>
      </c>
      <c r="EZ19">
        <f>IF(OR(ROW()-4&gt;INDEX($U$4:$U$11,$AC$2+1,1)-INDEX($U$4:$U$11,$AC$2,1),ROW()-4&gt;$AD$2),NA(),COUNTIF(INDEX($CR$5:$CX$201,INDEX($U$4:$U$11,1,1),$AC$2):INDEX($CR$5:$CX$201,INDEX($U$4:$U$11,1,1)+ROW()-5,$AC$2),EZ$3))</f>
        <v>0</v>
      </c>
      <c r="FA19">
        <f>IF(OR(ROW()-4&gt;INDEX($U$4:$U$11,$AC$2+1,1)-INDEX($U$4:$U$11,$AC$2,1),ROW()-4&gt;$AD$2),NA(),COUNTIF(INDEX($CR$5:$CX$201,INDEX($U$4:$U$11,1,1),$AC$2):INDEX($CR$5:$CX$201,INDEX($U$4:$U$11,1,1)+ROW()-5,$AC$2),FA$3))</f>
        <v>0</v>
      </c>
      <c r="FC19">
        <f>IF(OR(ROW()-4&gt;INDEX($U$4:$U$11,$AC$2+1,1)-INDEX($U$4:$U$11,$AC$2,1),ROW()-4&gt;$AD$2),NA(),COUNTIF(INDEX($CR$5:$CX$201,INDEX($U$4:$U$11,1,1),$AC$2):INDEX($CR$5:$CX$201,INDEX($U$4:$U$11,1,1)+ROW()-5,$AC$2),FC$3))</f>
        <v>0</v>
      </c>
      <c r="FD19">
        <f>IF(OR(ROW()-4&gt;INDEX($U$4:$U$11,$AC$2+1,1)-INDEX($U$4:$U$11,$AC$2,1),ROW()-4&gt;$AD$2),NA(),COUNTIF(INDEX($CR$5:$CX$201,INDEX($U$4:$U$11,1,1),$AC$2):INDEX($CR$5:$CX$201,INDEX($U$4:$U$11,1,1)+ROW()-5,$AC$2),FD$3))</f>
        <v>0</v>
      </c>
      <c r="FE19">
        <f>IF(OR(ROW()-4&gt;INDEX($U$4:$U$11,$AC$2+1,1)-INDEX($U$4:$U$11,$AC$2,1),ROW()-4&gt;$AD$2),NA(),COUNTIF(INDEX($CR$5:$CX$201,INDEX($U$4:$U$11,1,1),$AC$2):INDEX($CR$5:$CX$201,INDEX($U$4:$U$11,1,1)+ROW()-5,$AC$2),FE$3))</f>
        <v>1</v>
      </c>
      <c r="FF19">
        <f>IF(OR(ROW()-4&gt;INDEX($U$4:$U$11,$AC$2+1,1)-INDEX($U$4:$U$11,$AC$2,1),ROW()-4&gt;$AD$2),NA(),COUNTIF(INDEX($CR$5:$CX$201,INDEX($U$4:$U$11,1,1),$AC$2):INDEX($CR$5:$CX$201,INDEX($U$4:$U$11,1,1)+ROW()-5,$AC$2),FF$3))</f>
        <v>2</v>
      </c>
      <c r="FG19">
        <f>IF(OR(ROW()-4&gt;INDEX($U$4:$U$11,$AC$2+1,1)-INDEX($U$4:$U$11,$AC$2,1),ROW()-4&gt;$AD$2),NA(),COUNTIF(INDEX($CR$5:$CX$201,INDEX($U$4:$U$11,1,1),$AC$2):INDEX($CR$5:$CX$201,INDEX($U$4:$U$11,1,1)+ROW()-5,$AC$2),FG$3))</f>
        <v>0</v>
      </c>
      <c r="FH19">
        <f>IF(OR(ROW()-4&gt;INDEX($U$4:$U$11,$AC$2+1,1)-INDEX($U$4:$U$11,$AC$2,1),ROW()-4&gt;$AD$2),NA(),COUNTIF(INDEX($CR$5:$CX$201,INDEX($U$4:$U$11,1,1),$AC$2):INDEX($CR$5:$CX$201,INDEX($U$4:$U$11,1,1)+ROW()-5,$AC$2),FH$3))</f>
        <v>5</v>
      </c>
      <c r="FI19">
        <f>IF(OR(ROW()-4&gt;INDEX($U$4:$U$11,$AC$2+1,1)-INDEX($U$4:$U$11,$AC$2,1),ROW()-4&gt;$AD$2),NA(),COUNTIF(INDEX($CR$5:$CX$201,INDEX($U$4:$U$11,1,1),$AC$2):INDEX($CR$5:$CX$201,INDEX($U$4:$U$11,1,1)+ROW()-5,$AC$2),FI$3))</f>
        <v>0</v>
      </c>
      <c r="FJ19">
        <f>IF(OR(ROW()-4&gt;INDEX($U$4:$U$11,$AC$2+1,1)-INDEX($U$4:$U$11,$AC$2,1),ROW()-4&gt;$AD$2),NA(),COUNTIF(INDEX($CR$5:$CX$201,INDEX($U$4:$U$11,1,1),$AC$2):INDEX($CR$5:$CX$201,INDEX($U$4:$U$11,1,1)+ROW()-5,$AC$2),FJ$3))</f>
        <v>0</v>
      </c>
      <c r="FL19">
        <f>IF(OR(ROW()-4&gt;INDEX($U$4:$U$11,$AC$2+1,1)-INDEX($U$4:$U$11,$AC$2,1),ROW()-4&gt;$AD$2),NA(),COUNTIF(INDEX($CZ$5:$DF$201,INDEX($U$4:$U$11,1,1),$AC$2):INDEX($CZ$5:$DF$201,INDEX($U$4:$U$11,1,1)+ROW()-5,$AC$2),FL$3))</f>
        <v>0</v>
      </c>
      <c r="FM19">
        <f>IF(OR(ROW()-4&gt;INDEX($U$4:$U$11,$AC$2+1,1)-INDEX($U$4:$U$11,$AC$2,1),ROW()-4&gt;$AD$2),NA(),COUNTIF(INDEX($CZ$5:$DF$201,INDEX($U$4:$U$11,1,1),$AC$2):INDEX($CZ$5:$DF$201,INDEX($U$4:$U$11,1,1)+ROW()-5,$AC$2),FM$3))</f>
        <v>2</v>
      </c>
      <c r="FN19">
        <f>IF(OR(ROW()-4&gt;INDEX($U$4:$U$11,$AC$2+1,1)-INDEX($U$4:$U$11,$AC$2,1),ROW()-4&gt;$AD$2),NA(),COUNTIF(INDEX($CZ$5:$DF$201,INDEX($U$4:$U$11,1,1),$AC$2):INDEX($CZ$5:$DF$201,INDEX($U$4:$U$11,1,1)+ROW()-5,$AC$2),FN$3))</f>
        <v>0</v>
      </c>
      <c r="FO19">
        <f>IF(OR(ROW()-4&gt;INDEX($U$4:$U$11,$AC$2+1,1)-INDEX($U$4:$U$11,$AC$2,1),ROW()-4&gt;$AD$2),NA(),COUNTIF(INDEX($CZ$5:$DF$201,INDEX($U$4:$U$11,1,1),$AC$2):INDEX($CZ$5:$DF$201,INDEX($U$4:$U$11,1,1)+ROW()-5,$AC$2),FO$3))</f>
        <v>2</v>
      </c>
      <c r="FP19">
        <f>IF(OR(ROW()-4&gt;INDEX($U$4:$U$11,$AC$2+1,1)-INDEX($U$4:$U$11,$AC$2,1),ROW()-4&gt;$AD$2),NA(),COUNTIF(INDEX($CZ$5:$DF$201,INDEX($U$4:$U$11,1,1),$AC$2):INDEX($CZ$5:$DF$201,INDEX($U$4:$U$11,1,1)+ROW()-5,$AC$2),FP$3))</f>
        <v>0</v>
      </c>
      <c r="FQ19">
        <f>IF(OR(ROW()-4&gt;INDEX($U$4:$U$11,$AC$2+1,1)-INDEX($U$4:$U$11,$AC$2,1),ROW()-4&gt;$AD$2),NA(),COUNTIF(INDEX($CZ$5:$DF$201,INDEX($U$4:$U$11,1,1),$AC$2):INDEX($CZ$5:$DF$201,INDEX($U$4:$U$11,1,1)+ROW()-5,$AC$2),FQ$3))</f>
        <v>1</v>
      </c>
      <c r="FR19">
        <f>IF(OR(ROW()-4&gt;INDEX($U$4:$U$11,$AC$2+1,1)-INDEX($U$4:$U$11,$AC$2,1),ROW()-4&gt;$AD$2),NA(),COUNTIF(INDEX($CZ$5:$DF$201,INDEX($U$4:$U$11,1,1),$AC$2):INDEX($CZ$5:$DF$201,INDEX($U$4:$U$11,1,1)+ROW()-5,$AC$2),FR$3))</f>
        <v>0</v>
      </c>
      <c r="FS19">
        <f>IF(OR(ROW()-4&gt;INDEX($U$4:$U$11,$AC$2+1,1)-INDEX($U$4:$U$11,$AC$2,1),ROW()-4&gt;$AD$2),NA(),COUNTIF(INDEX($CZ$5:$DF$201,INDEX($U$4:$U$11,1,1),$AC$2):INDEX($CZ$5:$DF$201,INDEX($U$4:$U$11,1,1)+ROW()-5,$AC$2),FS$3))</f>
        <v>0</v>
      </c>
      <c r="FT19">
        <f>IF(OR(ROW()-4&gt;INDEX($U$4:$U$11,$AC$2+1,1)-INDEX($U$4:$U$11,$AC$2,1),ROW()-4&gt;$AD$2),NA(),COUNTIF(INDEX($CZ$5:$DF$201,INDEX($U$4:$U$11,1,1),$AC$2):INDEX($CZ$5:$DF$201,INDEX($U$4:$U$11,1,1)+ROW()-5,$AC$2),FT$3))</f>
        <v>0</v>
      </c>
      <c r="FU19">
        <f>IF(OR(ROW()-4&gt;INDEX($U$4:$U$11,$AC$2+1,1)-INDEX($U$4:$U$11,$AC$2,1),ROW()-4&gt;$AD$2),NA(),COUNTIF(INDEX($CZ$5:$DF$201,INDEX($U$4:$U$11,1,1),$AC$2):INDEX($CZ$5:$DF$201,INDEX($U$4:$U$11,1,1)+ROW()-5,$AC$2),FU$3))</f>
        <v>1</v>
      </c>
      <c r="FW19">
        <f>IF(OR(ROW()-4&gt;INDEX($U$4:$U$11,$AC$2+1,1)-INDEX($U$4:$U$11,$AC$2,1),ROW()-4&gt;$AD$2),NA(),COUNTIF(INDEX($CZ$5:$DF$201,INDEX($U$4:$U$11,1,1),$AC$2):INDEX($CZ$5:$DF$201,INDEX($U$4:$U$11,1,1)+ROW()-5,$AC$2),FW$3))</f>
        <v>0</v>
      </c>
      <c r="FX19">
        <f>IF(OR(ROW()-4&gt;INDEX($U$4:$U$11,$AC$2+1,1)-INDEX($U$4:$U$11,$AC$2,1),ROW()-4&gt;$AD$2),NA(),COUNTIF(INDEX($CZ$5:$DF$201,INDEX($U$4:$U$11,1,1),$AC$2):INDEX($CZ$5:$DF$201,INDEX($U$4:$U$11,1,1)+ROW()-5,$AC$2),FX$3))</f>
        <v>1</v>
      </c>
      <c r="FY19">
        <f>IF(OR(ROW()-4&gt;INDEX($U$4:$U$11,$AC$2+1,1)-INDEX($U$4:$U$11,$AC$2,1),ROW()-4&gt;$AD$2),NA(),COUNTIF(INDEX($CZ$5:$DF$201,INDEX($U$4:$U$11,1,1),$AC$2):INDEX($CZ$5:$DF$201,INDEX($U$4:$U$11,1,1)+ROW()-5,$AC$2),FY$3))</f>
        <v>1</v>
      </c>
      <c r="FZ19">
        <f>IF(OR(ROW()-4&gt;INDEX($U$4:$U$11,$AC$2+1,1)-INDEX($U$4:$U$11,$AC$2,1),ROW()-4&gt;$AD$2),NA(),COUNTIF(INDEX($CZ$5:$DF$201,INDEX($U$4:$U$11,1,1),$AC$2):INDEX($CZ$5:$DF$201,INDEX($U$4:$U$11,1,1)+ROW()-5,$AC$2),FZ$3))</f>
        <v>0</v>
      </c>
      <c r="GA19">
        <f>IF(OR(ROW()-4&gt;INDEX($U$4:$U$11,$AC$2+1,1)-INDEX($U$4:$U$11,$AC$2,1),ROW()-4&gt;$AD$2),NA(),COUNTIF(INDEX($CZ$5:$DF$201,INDEX($U$4:$U$11,1,1),$AC$2):INDEX($CZ$5:$DF$201,INDEX($U$4:$U$11,1,1)+ROW()-5,$AC$2),GA$3))</f>
        <v>1</v>
      </c>
      <c r="GB19">
        <f>IF(OR(ROW()-4&gt;INDEX($U$4:$U$11,$AC$2+1,1)-INDEX($U$4:$U$11,$AC$2,1),ROW()-4&gt;$AD$2),NA(),COUNTIF(INDEX($CZ$5:$DF$201,INDEX($U$4:$U$11,1,1),$AC$2):INDEX($CZ$5:$DF$201,INDEX($U$4:$U$11,1,1)+ROW()-5,$AC$2),GB$3))</f>
        <v>1</v>
      </c>
      <c r="GC19">
        <f>IF(OR(ROW()-4&gt;INDEX($U$4:$U$11,$AC$2+1,1)-INDEX($U$4:$U$11,$AC$2,1),ROW()-4&gt;$AD$2),NA(),COUNTIF(INDEX($CZ$5:$DF$201,INDEX($U$4:$U$11,1,1),$AC$2):INDEX($CZ$5:$DF$201,INDEX($U$4:$U$11,1,1)+ROW()-5,$AC$2),GC$3))</f>
        <v>1</v>
      </c>
      <c r="GD19">
        <f>IF(OR(ROW()-4&gt;INDEX($U$4:$U$11,$AC$2+1,1)-INDEX($U$4:$U$11,$AC$2,1),ROW()-4&gt;$AD$2),NA(),COUNTIF(INDEX($CZ$5:$DF$201,INDEX($U$4:$U$11,1,1),$AC$2):INDEX($CZ$5:$DF$201,INDEX($U$4:$U$11,1,1)+ROW()-5,$AC$2),GD$3))</f>
        <v>1</v>
      </c>
      <c r="GE19">
        <f>IF(OR(ROW()-4&gt;INDEX($U$4:$U$11,$AC$2+1,1)-INDEX($U$4:$U$11,$AC$2,1),ROW()-4&gt;$AD$2),NA(),COUNTIF(INDEX($CZ$5:$DF$201,INDEX($U$4:$U$11,1,1),$AC$2):INDEX($CZ$5:$DF$201,INDEX($U$4:$U$11,1,1)+ROW()-5,$AC$2),GE$3))</f>
        <v>0</v>
      </c>
      <c r="GF19">
        <f>IF(OR(ROW()-4&gt;INDEX($U$4:$U$11,$AC$2+1,1)-INDEX($U$4:$U$11,$AC$2,1),ROW()-4&gt;$AD$2),NA(),COUNTIF(INDEX($CZ$5:$DF$201,INDEX($U$4:$U$11,1,1),$AC$2):INDEX($CZ$5:$DF$201,INDEX($U$4:$U$11,1,1)+ROW()-5,$AC$2),GF$3))</f>
        <v>1</v>
      </c>
      <c r="GK19" t="s">
        <v>39</v>
      </c>
      <c r="GM19" s="59">
        <f>INDEX($DI$55:$DI$90,$AD$2)</f>
        <v>4</v>
      </c>
      <c r="GN19" s="59">
        <f t="shared" si="130"/>
        <v>1</v>
      </c>
      <c r="GO19">
        <f>INDEX($DI$4:$DI$40,$AD$2+1)-INDEX($DI$4:$DI$40,$AD$2)</f>
        <v>0</v>
      </c>
      <c r="GP19" t="s">
        <v>52</v>
      </c>
      <c r="GQ19">
        <f>INDEX($DI$5:$DI$40,$AD$2)</f>
        <v>5</v>
      </c>
      <c r="HM19" s="67" t="str">
        <f>GA1</f>
        <v>BS</v>
      </c>
      <c r="HN19" s="67" t="str">
        <f>GB1</f>
        <v>BMS</v>
      </c>
      <c r="HO19" s="67" t="str">
        <f>GC1</f>
        <v>FMS</v>
      </c>
      <c r="HP19" s="67" t="str">
        <f>GD1</f>
        <v>FS</v>
      </c>
    </row>
    <row r="20" spans="1:224" x14ac:dyDescent="0.45">
      <c r="A20" t="str">
        <f>データの貼付!A18</f>
        <v>KIHARA Miyuu</v>
      </c>
      <c r="B20">
        <f>データの貼付!B18</f>
        <v>3.8483564814814817E-3</v>
      </c>
      <c r="C20">
        <f>データの貼付!C18</f>
        <v>7.5682870370370365E-5</v>
      </c>
      <c r="D20">
        <f>データの貼付!D18</f>
        <v>0</v>
      </c>
      <c r="E20" t="str">
        <f>データの貼付!F18</f>
        <v>KIHARA Miyuu</v>
      </c>
      <c r="F20">
        <f>データの貼付!E18</f>
        <v>0</v>
      </c>
      <c r="G20" t="str">
        <f>データの貼付!G18</f>
        <v>#05</v>
      </c>
      <c r="H20" t="str">
        <f>データの貼付!H18</f>
        <v>KIHARA Miyuu</v>
      </c>
      <c r="I20" t="str">
        <f>データの貼付!I18</f>
        <v>(Side)</v>
      </c>
      <c r="J20" t="str">
        <f>データの貼付!J18</f>
        <v>B</v>
      </c>
      <c r="K20" t="str">
        <f>データの貼付!K18</f>
        <v>FMS</v>
      </c>
      <c r="L20" t="str">
        <f>データの貼付!L18</f>
        <v>F</v>
      </c>
      <c r="M20" t="str">
        <f>データの貼付!M18</f>
        <v>ドライブ</v>
      </c>
      <c r="N20" t="str">
        <f>データの貼付!N18</f>
        <v>BM</v>
      </c>
      <c r="R20">
        <f t="shared" si="59"/>
        <v>0</v>
      </c>
      <c r="S20">
        <f>SUM(R$4:R20)</f>
        <v>1</v>
      </c>
      <c r="T20" t="str">
        <f t="shared" si="60"/>
        <v>KIHARA Miyuu</v>
      </c>
      <c r="W20" t="str">
        <f t="shared" si="57"/>
        <v>KIHARA Miyuu_KIHARA Miyuu</v>
      </c>
      <c r="X20" t="str">
        <f t="shared" si="58"/>
        <v>KIHARA Miyuu_#05</v>
      </c>
      <c r="Y20" s="38"/>
      <c r="Z20" s="38" t="str">
        <f>AC3</f>
        <v>FENG Tianwei</v>
      </c>
      <c r="AA20" s="38" t="str">
        <f>AD3</f>
        <v>KIHARA Miyuu</v>
      </c>
      <c r="AC20" s="8">
        <f>IF(OR(ROW()-4&gt;INDEX($U$4:$U$11,AC$2+1)-INDEX($U$4:$U$11,AC$2),ROW()-4&gt;AD$2),NA(),COUNTIF(INDEX($W$4:$W$200,INDEX($U$4:$U$11,AC$2)):INDEX($W$4:$W$200,INDEX($U$4:$U$11,AC$2)+ROW()-5),AC$3&amp;"_"&amp;AC$3)/(COUNTIF(INDEX($W$4:$W$200,INDEX($U$4:$U$11,AC$2)):INDEX($W$4:$W$200,INDEX($U$4:$U$11,AC$2)+ROW()-5),AC$3&amp;"_"&amp;AC$3)+COUNTIF(INDEX($W$4:$W$200,INDEX($U$4:$U$11,AC$2)):INDEX($W$4:$W$200,INDEX($U$4:$U$11,AC$2)+ROW()-5),AD$3&amp;"_"&amp;AC$3)))</f>
        <v>0.75</v>
      </c>
      <c r="AD20" s="8">
        <f>IF(OR(ROW()-4&gt;INDEX($U$4:$U$11,AC$2+1)-INDEX($U$4:$U$11,AC$2),ROW()-4&gt;AD$2),NA(),COUNTIF(INDEX($W$4:$W$200,INDEX($U$4:$U$11,AC$2)):INDEX($W$4:$W$200,INDEX($U$4:$U$11,AC$2)+ROW()-5),AD$3&amp;"_"&amp;AD$3)/(COUNTIF(INDEX($W$4:$W$200,INDEX($U$4:$U$11,AC$2)):INDEX($W$4:$W$200,INDEX($U$4:$U$11,AC$2)+ROW()-5),AD$3&amp;"_"&amp;AD$3)+COUNTIF(INDEX($W$4:$W$200,INDEX($U$4:$U$11,AC$2)):INDEX($W$4:$W$200,INDEX($U$4:$U$11,AC$2)+ROW()-5),AC$3&amp;"_"&amp;AD$3)))</f>
        <v>0.375</v>
      </c>
      <c r="AE20" s="10">
        <f>IF(OR(ROW()-4&gt;INDEX($U$4:$U$11,AC$2+1)-INDEX($U$4:$U$11,AC$2),ROW()-4&gt;AD$2),NA(),COUNTIF(INDEX($W$4:$W$200,INDEX($U$4:$U$11,AC$2)):INDEX($W$4:$W$200,INDEX($U$4:$U$11,AC$2)+ROW()-5),AC$3&amp;"_"&amp;AD$3)/(COUNTIF(INDEX($W$4:$W$200,INDEX($U$4:$U$11,AC$2)):INDEX($W$4:$W$200,INDEX($U$4:$U$11,AC$2)+ROW()-5),AC$3&amp;"_"&amp;AD$3)+COUNTIF(INDEX($W$4:$W$200,INDEX($U$4:$U$11,AC$2)):INDEX($W$4:$W$200,INDEX($U$4:$U$11,AC$2)+ROW()-5),AD$3&amp;"_"&amp;AD$3)))</f>
        <v>0.625</v>
      </c>
      <c r="AF20" s="10">
        <f>IF(OR(ROW()-4&gt;INDEX($U$4:$U$11,AC$2+1)-INDEX($U$4:$U$11,AC$2),ROW()-4&gt;AD$2),NA(),COUNTIF(INDEX($W$4:$W$200,INDEX($U$4:$U$11,AC$2)):INDEX($W$4:$W$200,INDEX($U$4:$U$11,AC$2)+ROW()-5),AD$3&amp;"_"&amp;AC$3)/(COUNTIF(INDEX($W$4:$W$200,INDEX($U$4:$U$11,AC$2)):INDEX($W$4:$W$200,INDEX($U$4:$U$11,AC$2)+ROW()-5),AD$3&amp;"_"&amp;AC$3)+COUNTIF(INDEX($W$4:$W$200,INDEX($U$4:$U$11,AC$2)):INDEX($W$4:$W$200,INDEX($U$4:$U$11,AC$2)+ROW()-5),AC$3&amp;"_"&amp;AC$3)))</f>
        <v>0.25</v>
      </c>
      <c r="AG20" s="10">
        <f>IF(OR(ROW()-4&gt;INDEX($U$4:$U$11,AC$2+1)-INDEX($U$4:$U$11,AC$2),ROW()-4&gt;AD$2),NA(),COUNTIF(INDEX($X$4:$X$200,INDEX($U$4:$U$11,AC$2)):INDEX($X$4:$X$200,INDEX($U$4:$U$11,AC$2)+ROW()-5),AC$3&amp;"_#03")/(COUNTIF(INDEX($W$4:$W$200,INDEX($U$4:$U$11,AC$2)):INDEX($W$4:$W$200,INDEX($U$4:$U$11,AC$2)+ROW()-5),AC$3&amp;"_"&amp;AC$3)+COUNTIF(INDEX($W$4:$W$200,INDEX($U$4:$U$11,AC$2)):INDEX($W$4:$W$200,INDEX($U$4:$U$11,AC$2)+ROW()-5),AD$3&amp;"_"&amp;AC$3)))</f>
        <v>0.25</v>
      </c>
      <c r="AH20" s="10">
        <f>IF(OR(ROW()-4&gt;INDEX($U$4:$U$11,AC$2+1)-INDEX($U$4:$U$11,AC$2),ROW()-4&gt;AD$2),NA(),COUNTIF(INDEX($X$4:$X$200,INDEX($U$4:$U$11,AC$2)):INDEX($X$4:$X$200,INDEX($U$4:$U$11,AC$2)+ROW()-5),AD$3&amp;"_#03")/(COUNTIF(INDEX($W$4:$W$200,INDEX($U$4:$U$11,AC$2)):INDEX($W$4:$W$200,INDEX($U$4:$U$11,AC$2)+ROW()-5),AD$3&amp;"_"&amp;AD$3)+COUNTIF(INDEX($W$4:$W$200,INDEX($U$4:$U$11,AC$2)):INDEX($W$4:$W$200,INDEX($U$4:$U$11,AC$2)+ROW()-5),AC$3&amp;"_"&amp;AD$3)))</f>
        <v>0</v>
      </c>
      <c r="AI20" s="10">
        <f>IF(OR(ROW()-4&gt;INDEX($U$4:$U$11,AC$2+1)-INDEX($U$4:$U$11,AC$2),ROW()-4&gt;AD$2),NA(),(COUNTIF(INDEX($X$4:$X$200,INDEX($U$4:$U$11,AC$2)):INDEX($X$4:$X$200,INDEX($U$4:$U$11,AC$2)+ROW()-5),AC$3&amp;"_#03")-COUNTIF(INDEX($X$4:$X$200,INDEX($U$4:$U$11,AC$2)):INDEX($X$4:$X$200,INDEX($U$4:$U$11,AC$2)+ROW()-5),AD$3&amp;"_#02"))/(COUNTIF(INDEX($W$4:$W$200,INDEX($U$4:$U$11,AC$2)):INDEX($W$4:$W$200,INDEX($U$4:$U$11,AC$2)+ROW()-5),AC$3&amp;"_"&amp;AC$3)+COUNTIF(INDEX($W$4:$W$200,INDEX($U$4:$U$11,AC$2)):INDEX($W$4:$W$200,INDEX($U$4:$U$11,AC$2)+ROW()-5),AD$3&amp;"_"&amp;AC$3)))</f>
        <v>0.125</v>
      </c>
      <c r="AJ20" s="10">
        <f>IF(OR(ROW()-4&gt;INDEX($U$4:$U$11,AC$2+1)-INDEX($U$4:$U$11,AC$2),ROW()-4&gt;AD$2),NA(),(COUNTIF(INDEX($X$4:$X$200,INDEX($U$4:$U$11,AC$2)):INDEX($X$4:$X$200,INDEX($U$4:$U$11,AC$2)+ROW()-5),AD$3&amp;"_#03")-COUNTIF(INDEX($X$4:$X$200,INDEX($U$4:$U$11,AC$2)):INDEX($X$4:$X$200,INDEX($U$4:$U$11,AC$2)+ROW()-5),AC$3&amp;"_#02"))/(COUNTIF(INDEX($W$4:$W$200,INDEX($U$4:$U$11,AC$2)):INDEX($W$4:$W$200,INDEX($U$4:$U$11,AC$2)+ROW()-5),AD$3&amp;"_"&amp;AD$3)+COUNTIF(INDEX($W$4:$W$200,INDEX($U$4:$U$11,AC$2)):INDEX($W$4:$W$200,INDEX($U$4:$U$11,AC$2)+ROW()-5),AC$3&amp;"_"&amp;AD$3)))</f>
        <v>-0.125</v>
      </c>
      <c r="AK20" s="10">
        <f>IF(OR(ROW()-4&gt;INDEX($U$4:$U$11,AC$2+1)-INDEX($U$4:$U$11,AC$2),ROW()-4&gt;AD$2),NA(),(COUNTIF(INDEX($X$4:$X$200,INDEX($U$4:$U$11,AC$2)):INDEX($X$4:$X$200,INDEX($U$4:$U$11,AC$2)+ROW()-5),AC$3&amp;"_#01")+COUNTIF(INDEX($X$4:$X$200,INDEX($U$4:$U$11,AC$2)):INDEX($X$4:$X$200,INDEX($U$4:$U$11,AC$2)+ROW()-5),AC$3&amp;"_#03"))/(COUNTIF(INDEX($W$4:$W$200,INDEX($U$4:$U$11,AC$2)):INDEX($W$4:$W$200,INDEX($U$4:$U$11,AC$2)+ROW()-5),AC$3&amp;"_"&amp;AC$3)+COUNTIF(INDEX($W$4:$W$200,INDEX($U$4:$U$11,AC$2)):INDEX($W$4:$W$200,INDEX($U$4:$U$11,AC$2)+ROW()-5),AD$3&amp;"_"&amp;AC$3)))</f>
        <v>0.5</v>
      </c>
      <c r="AL20" s="10">
        <f>IF(OR(ROW()-4&gt;INDEX($U$4:$U$11,AC$2+1)-INDEX($U$4:$U$11,AC$2),ROW()-4&gt;AD$2),NA(),(COUNTIF(INDEX($X$4:$X$200,INDEX($U$4:$U$11,AC$2)):INDEX($X$4:$X$200,INDEX($U$4:$U$11,AC$2)+ROW()-5),AD$3&amp;"_#01")+COUNTIF(INDEX($X$4:$X$200,INDEX($U$4:$U$11,AC$2)):INDEX($X$4:$X$200,INDEX($U$4:$U$11,AC$2)+ROW()-5),AD$3&amp;"_#03"))/(COUNTIF(INDEX($W$4:$W$200,INDEX($U$4:$U$11,AC$2)):INDEX($W$4:$W$200,INDEX($U$4:$U$11,AC$2)+ROW()-5),AD$3&amp;"_"&amp;AD$3)+COUNTIF(INDEX($W$4:$W$200,INDEX($U$4:$U$11,AC$2)):INDEX($W$4:$W$200,INDEX($U$4:$U$11,AC$2)+ROW()-5),AC$3&amp;"_"&amp;AD$3)))</f>
        <v>0.25</v>
      </c>
      <c r="AN20">
        <f t="shared" si="125"/>
        <v>16</v>
      </c>
      <c r="AO20" t="str">
        <f t="shared" si="111"/>
        <v/>
      </c>
      <c r="AP20">
        <f t="shared" si="112"/>
        <v>48</v>
      </c>
      <c r="AQ20">
        <f t="shared" si="113"/>
        <v>64</v>
      </c>
      <c r="AR20" t="str">
        <f t="shared" si="114"/>
        <v/>
      </c>
      <c r="AS20" t="e">
        <f t="shared" si="115"/>
        <v>#VALUE!</v>
      </c>
      <c r="AT20" t="e">
        <f t="shared" si="116"/>
        <v>#VALUE!</v>
      </c>
      <c r="AV20" t="str">
        <f t="shared" si="117"/>
        <v>KIHARA Miyuu</v>
      </c>
      <c r="AW20" t="e">
        <f t="shared" si="63"/>
        <v>#VALUE!</v>
      </c>
      <c r="AX20" t="str">
        <f t="shared" si="64"/>
        <v>FENG Tianwei</v>
      </c>
      <c r="AY20" t="str">
        <f t="shared" si="65"/>
        <v>KIHARA Miyuu</v>
      </c>
      <c r="AZ20" t="e">
        <f t="shared" si="66"/>
        <v>#VALUE!</v>
      </c>
      <c r="BA20" t="e">
        <f t="shared" si="67"/>
        <v>#VALUE!</v>
      </c>
      <c r="BB20" t="e">
        <f t="shared" si="68"/>
        <v>#VALUE!</v>
      </c>
      <c r="BD20" t="str">
        <f t="shared" si="118"/>
        <v>FENG Tianwei</v>
      </c>
      <c r="BE20" t="e">
        <f t="shared" si="69"/>
        <v>#VALUE!</v>
      </c>
      <c r="BF20" t="str">
        <f t="shared" si="70"/>
        <v>KIHARA Miyuu</v>
      </c>
      <c r="BG20" t="str">
        <f t="shared" si="71"/>
        <v>FENG Tianwei</v>
      </c>
      <c r="BH20" t="e">
        <f t="shared" si="72"/>
        <v>#VALUE!</v>
      </c>
      <c r="BI20" t="e">
        <f t="shared" si="73"/>
        <v>#VALUE!</v>
      </c>
      <c r="BJ20" t="e">
        <f t="shared" si="74"/>
        <v>#VALUE!</v>
      </c>
      <c r="BL20" t="str">
        <f t="shared" si="119"/>
        <v>FENG Tianwei_(Side)</v>
      </c>
      <c r="BM20" t="e">
        <f t="shared" si="75"/>
        <v>#VALUE!</v>
      </c>
      <c r="BN20" t="str">
        <f t="shared" si="76"/>
        <v>KIHARA Miyuu_(Side)</v>
      </c>
      <c r="BO20" t="str">
        <f t="shared" si="77"/>
        <v>FENG Tianwei_Back</v>
      </c>
      <c r="BP20" t="e">
        <f t="shared" si="78"/>
        <v>#VALUE!</v>
      </c>
      <c r="BQ20" t="e">
        <f t="shared" si="79"/>
        <v>#VALUE!</v>
      </c>
      <c r="BR20" t="e">
        <f t="shared" si="80"/>
        <v>#VALUE!</v>
      </c>
      <c r="BT20" t="str">
        <f t="shared" si="120"/>
        <v>FENG Tianwei_B</v>
      </c>
      <c r="BU20" t="e">
        <f t="shared" si="81"/>
        <v>#VALUE!</v>
      </c>
      <c r="BV20" t="str">
        <f t="shared" si="82"/>
        <v>KIHARA Miyuu_B</v>
      </c>
      <c r="BW20" t="str">
        <f t="shared" si="83"/>
        <v>FENG Tianwei_B</v>
      </c>
      <c r="BX20" t="e">
        <f t="shared" si="84"/>
        <v>#VALUE!</v>
      </c>
      <c r="BY20" t="e">
        <f t="shared" si="85"/>
        <v>#VALUE!</v>
      </c>
      <c r="BZ20" t="e">
        <f t="shared" si="86"/>
        <v>#VALUE!</v>
      </c>
      <c r="CB20" t="str">
        <f t="shared" si="121"/>
        <v>FENG Tianwei_BM</v>
      </c>
      <c r="CC20" t="e">
        <f t="shared" si="87"/>
        <v>#VALUE!</v>
      </c>
      <c r="CD20" t="str">
        <f t="shared" si="88"/>
        <v>KIHARA Miyuu_FMS</v>
      </c>
      <c r="CE20" t="str">
        <f t="shared" si="89"/>
        <v>FENG Tianwei_B</v>
      </c>
      <c r="CF20" t="e">
        <f t="shared" si="90"/>
        <v>#VALUE!</v>
      </c>
      <c r="CG20" t="e">
        <f t="shared" si="91"/>
        <v>#VALUE!</v>
      </c>
      <c r="CH20" t="e">
        <f t="shared" si="92"/>
        <v>#VALUE!</v>
      </c>
      <c r="CJ20" t="str">
        <f t="shared" si="122"/>
        <v>KIHARA Miyuu_B</v>
      </c>
      <c r="CK20" t="e">
        <f t="shared" si="93"/>
        <v>#VALUE!</v>
      </c>
      <c r="CL20" t="str">
        <f t="shared" si="94"/>
        <v>FENG Tianwei_F</v>
      </c>
      <c r="CM20" t="str">
        <f t="shared" si="95"/>
        <v>KIHARA Miyuu_B</v>
      </c>
      <c r="CN20" t="e">
        <f t="shared" si="96"/>
        <v>#VALUE!</v>
      </c>
      <c r="CO20" t="e">
        <f t="shared" si="97"/>
        <v>#VALUE!</v>
      </c>
      <c r="CP20" t="e">
        <f t="shared" si="98"/>
        <v>#VALUE!</v>
      </c>
      <c r="CR20" t="str">
        <f t="shared" si="123"/>
        <v>KIHARA Miyuu_ドライブ</v>
      </c>
      <c r="CS20" t="e">
        <f t="shared" si="99"/>
        <v>#VALUE!</v>
      </c>
      <c r="CT20" t="str">
        <f t="shared" si="100"/>
        <v>FENG Tianwei_ドライブ</v>
      </c>
      <c r="CU20" t="str">
        <f t="shared" si="101"/>
        <v>KIHARA Miyuu_Push</v>
      </c>
      <c r="CV20" t="e">
        <f t="shared" si="102"/>
        <v>#VALUE!</v>
      </c>
      <c r="CW20" t="e">
        <f t="shared" si="103"/>
        <v>#VALUE!</v>
      </c>
      <c r="CX20" t="e">
        <f t="shared" si="104"/>
        <v>#VALUE!</v>
      </c>
      <c r="CZ20" t="str">
        <f t="shared" si="124"/>
        <v>KIHARA Miyuu_F</v>
      </c>
      <c r="DA20" t="e">
        <f t="shared" si="105"/>
        <v>#VALUE!</v>
      </c>
      <c r="DB20" t="str">
        <f t="shared" si="106"/>
        <v>FENG Tianwei_F</v>
      </c>
      <c r="DC20" t="str">
        <f t="shared" si="107"/>
        <v>KIHARA Miyuu_B</v>
      </c>
      <c r="DD20" t="e">
        <f t="shared" si="108"/>
        <v>#VALUE!</v>
      </c>
      <c r="DE20" t="e">
        <f t="shared" si="109"/>
        <v>#VALUE!</v>
      </c>
      <c r="DF20" t="e">
        <f t="shared" si="110"/>
        <v>#VALUE!</v>
      </c>
      <c r="DH20">
        <f>IF(OR(ROW()-4&gt;INDEX($U$4:$U$11,$AC$2+1,1)-INDEX($U$4:$U$11,$AC$2,1),ROW()-4&gt;$AD$2),NA(),COUNTIF(INDEX($BL$5:$BR$50,INDEX($U$4:$U$11,1,1),$AC$2):INDEX($BL$5:$BR$50,INDEX($U$4:$U$11,1,1)+ROW()-5,$AC$2),DH$3))</f>
        <v>3</v>
      </c>
      <c r="DI20">
        <f>IF(OR(ROW()-4&gt;INDEX($U$4:$U$11,$AC$2+1,1)-INDEX($U$4:$U$11,$AC$2,1),ROW()-4&gt;$AD$2),NA(),COUNTIF(INDEX($BL$5:$BR$50,INDEX($U$4:$U$11,1,1),$AC$2):INDEX($BL$5:$BR$50,INDEX($U$4:$U$11,1,1)+ROW()-5,$AC$2),DI$3))</f>
        <v>5</v>
      </c>
      <c r="DJ20">
        <f>IF(OR(ROW()-4&gt;INDEX($U$4:$U$11,$AC$2+1,1)-INDEX($U$4:$U$11,$AC$2,1),ROW()-4&gt;$AD$2),NA(),COUNTIF(INDEX($BL$5:$BR$50,INDEX($U$4:$U$11,1,1),$AC$2):INDEX($BL$5:$BR$50,INDEX($U$4:$U$11,1,1)+ROW()-5,$AC$2),DJ$3))</f>
        <v>0</v>
      </c>
      <c r="DL20">
        <f>IF(OR(ROW()-4&gt;INDEX($U$4:$U$11,$AC$2+1,1)-INDEX($U$4:$U$11,$AC$2,1),ROW()-4&gt;$AD$2),NA(),COUNTIF(INDEX($BL$5:$BR$50,INDEX($U$4:$U$11,1,1),$AC$2):INDEX($BL$5:$BR$50,INDEX($U$4:$U$11,1,1)+ROW()-5,$AC$2),DL$3))</f>
        <v>0</v>
      </c>
      <c r="DM20">
        <f>IF(OR(ROW()-4&gt;INDEX($U$4:$U$11,$AC$2+1,1)-INDEX($U$4:$U$11,$AC$2,1),ROW()-4&gt;$AD$2),NA(),COUNTIF(INDEX($BL$5:$BR$50,INDEX($U$4:$U$11,1,1),$AC$2):INDEX($BL$5:$BR$50,INDEX($U$4:$U$11,1,1)+ROW()-5,$AC$2),DM$3))</f>
        <v>0</v>
      </c>
      <c r="DN20">
        <f>IF(OR(ROW()-4&gt;INDEX($U$4:$U$11,$AC$2+1,1)-INDEX($U$4:$U$11,$AC$2,1),ROW()-4&gt;$AD$2),NA(),COUNTIF(INDEX($BL$5:$BR$50,INDEX($U$4:$U$11,1,1),$AC$2):INDEX($BL$5:$BR$50,INDEX($U$4:$U$11,1,1)+ROW()-5,$AC$2),DN$3))</f>
        <v>8</v>
      </c>
      <c r="DP20">
        <f>IF(OR(ROW()-4&gt;INDEX($U$4:$U$11,$AC$2+1,1)-INDEX($U$4:$U$11,$AC$2,1),ROW()-4&gt;$AD$2),NA(),COUNTIF(INDEX($BT$5:$BZ$201,INDEX($U$4:$U$11,1,1),$AC$2):INDEX($BT$5:$BZ$201,INDEX($U$4:$U$11,1,1)+ROW()-5,$AC$2),DP$3))</f>
        <v>8</v>
      </c>
      <c r="DQ20">
        <f>IF(OR(ROW()-4&gt;INDEX($U$4:$U$11,$AC$2+1,1)-INDEX($U$4:$U$11,$AC$2,1),ROW()-4&gt;$AD$2),NA(),COUNTIF(INDEX($BT$5:$BZ$201,INDEX($U$4:$U$11,1,1),$AC$2):INDEX($BT$5:$BZ$201,INDEX($U$4:$U$11,1,1)+ROW()-5,$AC$2),DQ$3))</f>
        <v>0</v>
      </c>
      <c r="DS20">
        <f>IF(OR(ROW()-4&gt;INDEX($U$4:$U$11,$AC$2+1,1)-INDEX($U$4:$U$11,$AC$2,1),ROW()-4&gt;$AD$2),NA(),COUNTIF(INDEX($BT$5:$BZ$201,INDEX($U$4:$U$11,1,1),$AC$2):INDEX($BT$5:$BZ$201,INDEX($U$4:$U$11,1,1)+ROW()-5,$AC$2),DS$3))</f>
        <v>8</v>
      </c>
      <c r="DT20">
        <f>IF(OR(ROW()-4&gt;INDEX($U$4:$U$11,$AC$2+1,1)-INDEX($U$4:$U$11,$AC$2,1),ROW()-4&gt;$AD$2),NA(),COUNTIF(INDEX($BT$5:$BZ$201,INDEX($U$4:$U$11,1,1),$AC$2):INDEX($BT$5:$BZ$201,INDEX($U$4:$U$11,1,1)+ROW()-5,$AC$2),DT$3))</f>
        <v>0</v>
      </c>
      <c r="DV20">
        <f>IF(OR(ROW()-4&gt;INDEX($U$4:$U$11,$AC$2+1,1)-INDEX($U$4:$U$11,$AC$2,1),ROW()-4&gt;$AD$2),NA(),COUNTIF(INDEX($CB$5:$CH$201,INDEX($U$4:$U$11,1,1),$AC$2):INDEX($CB$5:$CH$201,INDEX($U$4:$U$11,1,1)+ROW()-5,$AC$2),DV$3))</f>
        <v>0</v>
      </c>
      <c r="DW20">
        <f>IF(OR(ROW()-4&gt;INDEX($U$4:$U$11,$AC$2+1,1)-INDEX($U$4:$U$11,$AC$2,1),ROW()-4&gt;$AD$2),NA(),COUNTIF(INDEX($CB$5:$CH$201,INDEX($U$4:$U$11,1,1),$AC$2):INDEX($CB$5:$CH$201,INDEX($U$4:$U$11,1,1)+ROW()-5,$AC$2),DW$3))</f>
        <v>0</v>
      </c>
      <c r="DX20">
        <f>IF(OR(ROW()-4&gt;INDEX($U$4:$U$11,$AC$2+1,1)-INDEX($U$4:$U$11,$AC$2,1),ROW()-4&gt;$AD$2),NA(),COUNTIF(INDEX($CB$5:$CH$201,INDEX($U$4:$U$11,1,1),$AC$2):INDEX($CB$5:$CH$201,INDEX($U$4:$U$11,1,1)+ROW()-5,$AC$2),DX$3))</f>
        <v>3</v>
      </c>
      <c r="DY20">
        <f>IF(OR(ROW()-4&gt;INDEX($U$4:$U$11,$AC$2+1,1)-INDEX($U$4:$U$11,$AC$2,1),ROW()-4&gt;$AD$2),NA(),COUNTIF(INDEX($CB$5:$CH$201,INDEX($U$4:$U$11,1,1),$AC$2):INDEX($CB$5:$CH$201,INDEX($U$4:$U$11,1,1)+ROW()-5,$AC$2),DY$3))</f>
        <v>2</v>
      </c>
      <c r="DZ20">
        <f>IF(OR(ROW()-4&gt;INDEX($U$4:$U$11,$AC$2+1,1)-INDEX($U$4:$U$11,$AC$2,1),ROW()-4&gt;$AD$2),NA(),COUNTIF(INDEX($CB$5:$CH$201,INDEX($U$4:$U$11,1,1),$AC$2):INDEX($CB$5:$CH$201,INDEX($U$4:$U$11,1,1)+ROW()-5,$AC$2),DZ$3))</f>
        <v>1</v>
      </c>
      <c r="EA20">
        <f>IF(OR(ROW()-4&gt;INDEX($U$4:$U$11,$AC$2+1,1)-INDEX($U$4:$U$11,$AC$2,1),ROW()-4&gt;$AD$2),NA(),COUNTIF(INDEX($CB$5:$CH$201,INDEX($U$4:$U$11,1,1),$AC$2):INDEX($CB$5:$CH$201,INDEX($U$4:$U$11,1,1)+ROW()-5,$AC$2),EA$3))</f>
        <v>1</v>
      </c>
      <c r="EB20">
        <f>IF(OR(ROW()-4&gt;INDEX($U$4:$U$11,$AC$2+1,1)-INDEX($U$4:$U$11,$AC$2,1),ROW()-4&gt;$AD$2),NA(),COUNTIF(INDEX($CB$5:$CH$201,INDEX($U$4:$U$11,1,1),$AC$2):INDEX($CB$5:$CH$201,INDEX($U$4:$U$11,1,1)+ROW()-5,$AC$2),EB$3))</f>
        <v>0</v>
      </c>
      <c r="EC20">
        <f>IF(OR(ROW()-4&gt;INDEX($U$4:$U$11,$AC$2+1,1)-INDEX($U$4:$U$11,$AC$2,1),ROW()-4&gt;$AD$2),NA(),COUNTIF(INDEX($CB$5:$CH$201,INDEX($U$4:$U$11,1,1),$AC$2):INDEX($CB$5:$CH$201,INDEX($U$4:$U$11,1,1)+ROW()-5,$AC$2),EC$3))</f>
        <v>1</v>
      </c>
      <c r="EE20">
        <f>IF(OR(ROW()-4&gt;INDEX($U$4:$U$11,$AC$2+1,1)-INDEX($U$4:$U$11,$AC$2,1),ROW()-4&gt;$AD$2),NA(),COUNTIF(INDEX($CB$5:$CH$201,INDEX($U$4:$U$11,1,1),$AC$2):INDEX($CB$5:$CH$201,INDEX($U$4:$U$11,1,1)+ROW()-5,$AC$2),EE$3))</f>
        <v>0</v>
      </c>
      <c r="EF20">
        <f>IF(OR(ROW()-4&gt;INDEX($U$4:$U$11,$AC$2+1,1)-INDEX($U$4:$U$11,$AC$2,1),ROW()-4&gt;$AD$2),NA(),COUNTIF(INDEX($CB$5:$CH$201,INDEX($U$4:$U$11,1,1),$AC$2):INDEX($CB$5:$CH$201,INDEX($U$4:$U$11,1,1)+ROW()-5,$AC$2),EF$3))</f>
        <v>0</v>
      </c>
      <c r="EG20">
        <f>IF(OR(ROW()-4&gt;INDEX($U$4:$U$11,$AC$2+1,1)-INDEX($U$4:$U$11,$AC$2,1),ROW()-4&gt;$AD$2),NA(),COUNTIF(INDEX($CB$5:$CH$201,INDEX($U$4:$U$11,1,1),$AC$2):INDEX($CB$5:$CH$201,INDEX($U$4:$U$11,1,1)+ROW()-5,$AC$2),EG$3))</f>
        <v>0</v>
      </c>
      <c r="EH20">
        <f>IF(OR(ROW()-4&gt;INDEX($U$4:$U$11,$AC$2+1,1)-INDEX($U$4:$U$11,$AC$2,1),ROW()-4&gt;$AD$2),NA(),COUNTIF(INDEX($CB$5:$CH$201,INDEX($U$4:$U$11,1,1),$AC$2):INDEX($CB$5:$CH$201,INDEX($U$4:$U$11,1,1)+ROW()-5,$AC$2),EH$3))</f>
        <v>3</v>
      </c>
      <c r="EI20">
        <f>IF(OR(ROW()-4&gt;INDEX($U$4:$U$11,$AC$2+1,1)-INDEX($U$4:$U$11,$AC$2,1),ROW()-4&gt;$AD$2),NA(),COUNTIF(INDEX($CB$5:$CH$201,INDEX($U$4:$U$11,1,1),$AC$2):INDEX($CB$5:$CH$201,INDEX($U$4:$U$11,1,1)+ROW()-5,$AC$2),EI$3))</f>
        <v>3</v>
      </c>
      <c r="EJ20">
        <f>IF(OR(ROW()-4&gt;INDEX($U$4:$U$11,$AC$2+1,1)-INDEX($U$4:$U$11,$AC$2,1),ROW()-4&gt;$AD$2),NA(),COUNTIF(INDEX($CB$5:$CH$201,INDEX($U$4:$U$11,1,1),$AC$2):INDEX($CB$5:$CH$201,INDEX($U$4:$U$11,1,1)+ROW()-5,$AC$2),EJ$3))</f>
        <v>2</v>
      </c>
      <c r="EK20">
        <f>IF(OR(ROW()-4&gt;INDEX($U$4:$U$11,$AC$2+1,1)-INDEX($U$4:$U$11,$AC$2,1),ROW()-4&gt;$AD$2),NA(),COUNTIF(INDEX($CB$5:$CH$201,INDEX($U$4:$U$11,1,1),$AC$2):INDEX($CB$5:$CH$201,INDEX($U$4:$U$11,1,1)+ROW()-5,$AC$2),EK$3))</f>
        <v>0</v>
      </c>
      <c r="EL20">
        <f>IF(OR(ROW()-4&gt;INDEX($U$4:$U$11,$AC$2+1,1)-INDEX($U$4:$U$11,$AC$2,1),ROW()-4&gt;$AD$2),NA(),COUNTIF(INDEX($CB$5:$CH$201,INDEX($U$4:$U$11,1,1),$AC$2):INDEX($CB$5:$CH$201,INDEX($U$4:$U$11,1,1)+ROW()-5,$AC$2),EL$3))</f>
        <v>0</v>
      </c>
      <c r="EN20">
        <f>IF(OR(ROW()-4&gt;INDEX($U$4:$U$11,$AC$2+1,1)-INDEX($U$4:$U$11,$AC$2,1),ROW()-4&gt;$AD$2),NA(),COUNTIF(INDEX($CJ$5:$CP$201,INDEX($U$4:$U$11,1,1),$AC$2):INDEX($CJ$5:$CP$201,INDEX($U$4:$U$11,1,1)+ROW()-5,$AC$2),EN$3))</f>
        <v>4</v>
      </c>
      <c r="EO20">
        <f>IF(OR(ROW()-4&gt;INDEX($U$4:$U$11,$AC$2+1,1)-INDEX($U$4:$U$11,$AC$2,1),ROW()-4&gt;$AD$2),NA(),COUNTIF(INDEX($CJ$5:$CP$201,INDEX($U$4:$U$11,1,1),$AC$2):INDEX($CJ$5:$CP$201,INDEX($U$4:$U$11,1,1)+ROW()-5,$AC$2),EO$3))</f>
        <v>3</v>
      </c>
      <c r="EQ20">
        <f>IF(OR(ROW()-4&gt;INDEX($U$4:$U$11,$AC$2+1,1)-INDEX($U$4:$U$11,$AC$2,1),ROW()-4&gt;$AD$2),NA(),COUNTIF(INDEX($CJ$5:$CP$201,INDEX($U$4:$U$11,1,1),$AC$2):INDEX($CJ$5:$CP$201,INDEX($U$4:$U$11,1,1)+ROW()-5,$AC$2),EQ$3))</f>
        <v>7</v>
      </c>
      <c r="ER20">
        <f>IF(OR(ROW()-4&gt;INDEX($U$4:$U$11,$AC$2+1,1)-INDEX($U$4:$U$11,$AC$2,1),ROW()-4&gt;$AD$2),NA(),COUNTIF(INDEX($CJ$5:$CP$201,INDEX($U$4:$U$11,1,1),$AC$2):INDEX($CJ$5:$CP$201,INDEX($U$4:$U$11,1,1)+ROW()-5,$AC$2),ER$3))</f>
        <v>1</v>
      </c>
      <c r="ET20">
        <f>IF(OR(ROW()-4&gt;INDEX($U$4:$U$11,$AC$2+1,1)-INDEX($U$4:$U$11,$AC$2,1),ROW()-4&gt;$AD$2),NA(),COUNTIF(INDEX($CR$5:$CX$201,INDEX($U$4:$U$11,1,1),$AC$2):INDEX($CR$5:$CX$201,INDEX($U$4:$U$11,1,1)+ROW()-5,$AC$2),ET$3))</f>
        <v>1</v>
      </c>
      <c r="EU20">
        <f>IF(OR(ROW()-4&gt;INDEX($U$4:$U$11,$AC$2+1,1)-INDEX($U$4:$U$11,$AC$2,1),ROW()-4&gt;$AD$2),NA(),COUNTIF(INDEX($CR$5:$CX$201,INDEX($U$4:$U$11,1,1),$AC$2):INDEX($CR$5:$CX$201,INDEX($U$4:$U$11,1,1)+ROW()-5,$AC$2),EU$3))</f>
        <v>0</v>
      </c>
      <c r="EV20">
        <f>IF(OR(ROW()-4&gt;INDEX($U$4:$U$11,$AC$2+1,1)-INDEX($U$4:$U$11,$AC$2,1),ROW()-4&gt;$AD$2),NA(),COUNTIF(INDEX($CR$5:$CX$201,INDEX($U$4:$U$11,1,1),$AC$2):INDEX($CR$5:$CX$201,INDEX($U$4:$U$11,1,1)+ROW()-5,$AC$2),EV$3))</f>
        <v>3</v>
      </c>
      <c r="EW20">
        <f>IF(OR(ROW()-4&gt;INDEX($U$4:$U$11,$AC$2+1,1)-INDEX($U$4:$U$11,$AC$2,1),ROW()-4&gt;$AD$2),NA(),COUNTIF(INDEX($CR$5:$CX$201,INDEX($U$4:$U$11,1,1),$AC$2):INDEX($CR$5:$CX$201,INDEX($U$4:$U$11,1,1)+ROW()-5,$AC$2),EW$3))</f>
        <v>1</v>
      </c>
      <c r="EX20">
        <f>IF(OR(ROW()-4&gt;INDEX($U$4:$U$11,$AC$2+1,1)-INDEX($U$4:$U$11,$AC$2,1),ROW()-4&gt;$AD$2),NA(),COUNTIF(INDEX($CR$5:$CX$201,INDEX($U$4:$U$11,1,1),$AC$2):INDEX($CR$5:$CX$201,INDEX($U$4:$U$11,1,1)+ROW()-5,$AC$2),EX$3))</f>
        <v>0</v>
      </c>
      <c r="EY20">
        <f>IF(OR(ROW()-4&gt;INDEX($U$4:$U$11,$AC$2+1,1)-INDEX($U$4:$U$11,$AC$2,1),ROW()-4&gt;$AD$2),NA(),COUNTIF(INDEX($CR$5:$CX$201,INDEX($U$4:$U$11,1,1),$AC$2):INDEX($CR$5:$CX$201,INDEX($U$4:$U$11,1,1)+ROW()-5,$AC$2),EY$3))</f>
        <v>3</v>
      </c>
      <c r="EZ20">
        <f>IF(OR(ROW()-4&gt;INDEX($U$4:$U$11,$AC$2+1,1)-INDEX($U$4:$U$11,$AC$2,1),ROW()-4&gt;$AD$2),NA(),COUNTIF(INDEX($CR$5:$CX$201,INDEX($U$4:$U$11,1,1),$AC$2):INDEX($CR$5:$CX$201,INDEX($U$4:$U$11,1,1)+ROW()-5,$AC$2),EZ$3))</f>
        <v>0</v>
      </c>
      <c r="FA20">
        <f>IF(OR(ROW()-4&gt;INDEX($U$4:$U$11,$AC$2+1,1)-INDEX($U$4:$U$11,$AC$2,1),ROW()-4&gt;$AD$2),NA(),COUNTIF(INDEX($CR$5:$CX$201,INDEX($U$4:$U$11,1,1),$AC$2):INDEX($CR$5:$CX$201,INDEX($U$4:$U$11,1,1)+ROW()-5,$AC$2),FA$3))</f>
        <v>0</v>
      </c>
      <c r="FC20">
        <f>IF(OR(ROW()-4&gt;INDEX($U$4:$U$11,$AC$2+1,1)-INDEX($U$4:$U$11,$AC$2,1),ROW()-4&gt;$AD$2),NA(),COUNTIF(INDEX($CR$5:$CX$201,INDEX($U$4:$U$11,1,1),$AC$2):INDEX($CR$5:$CX$201,INDEX($U$4:$U$11,1,1)+ROW()-5,$AC$2),FC$3))</f>
        <v>0</v>
      </c>
      <c r="FD20">
        <f>IF(OR(ROW()-4&gt;INDEX($U$4:$U$11,$AC$2+1,1)-INDEX($U$4:$U$11,$AC$2,1),ROW()-4&gt;$AD$2),NA(),COUNTIF(INDEX($CR$5:$CX$201,INDEX($U$4:$U$11,1,1),$AC$2):INDEX($CR$5:$CX$201,INDEX($U$4:$U$11,1,1)+ROW()-5,$AC$2),FD$3))</f>
        <v>0</v>
      </c>
      <c r="FE20">
        <f>IF(OR(ROW()-4&gt;INDEX($U$4:$U$11,$AC$2+1,1)-INDEX($U$4:$U$11,$AC$2,1),ROW()-4&gt;$AD$2),NA(),COUNTIF(INDEX($CR$5:$CX$201,INDEX($U$4:$U$11,1,1),$AC$2):INDEX($CR$5:$CX$201,INDEX($U$4:$U$11,1,1)+ROW()-5,$AC$2),FE$3))</f>
        <v>1</v>
      </c>
      <c r="FF20">
        <f>IF(OR(ROW()-4&gt;INDEX($U$4:$U$11,$AC$2+1,1)-INDEX($U$4:$U$11,$AC$2,1),ROW()-4&gt;$AD$2),NA(),COUNTIF(INDEX($CR$5:$CX$201,INDEX($U$4:$U$11,1,1),$AC$2):INDEX($CR$5:$CX$201,INDEX($U$4:$U$11,1,1)+ROW()-5,$AC$2),FF$3))</f>
        <v>2</v>
      </c>
      <c r="FG20">
        <f>IF(OR(ROW()-4&gt;INDEX($U$4:$U$11,$AC$2+1,1)-INDEX($U$4:$U$11,$AC$2,1),ROW()-4&gt;$AD$2),NA(),COUNTIF(INDEX($CR$5:$CX$201,INDEX($U$4:$U$11,1,1),$AC$2):INDEX($CR$5:$CX$201,INDEX($U$4:$U$11,1,1)+ROW()-5,$AC$2),FG$3))</f>
        <v>0</v>
      </c>
      <c r="FH20">
        <f>IF(OR(ROW()-4&gt;INDEX($U$4:$U$11,$AC$2+1,1)-INDEX($U$4:$U$11,$AC$2,1),ROW()-4&gt;$AD$2),NA(),COUNTIF(INDEX($CR$5:$CX$201,INDEX($U$4:$U$11,1,1),$AC$2):INDEX($CR$5:$CX$201,INDEX($U$4:$U$11,1,1)+ROW()-5,$AC$2),FH$3))</f>
        <v>5</v>
      </c>
      <c r="FI20">
        <f>IF(OR(ROW()-4&gt;INDEX($U$4:$U$11,$AC$2+1,1)-INDEX($U$4:$U$11,$AC$2,1),ROW()-4&gt;$AD$2),NA(),COUNTIF(INDEX($CR$5:$CX$201,INDEX($U$4:$U$11,1,1),$AC$2):INDEX($CR$5:$CX$201,INDEX($U$4:$U$11,1,1)+ROW()-5,$AC$2),FI$3))</f>
        <v>0</v>
      </c>
      <c r="FJ20">
        <f>IF(OR(ROW()-4&gt;INDEX($U$4:$U$11,$AC$2+1,1)-INDEX($U$4:$U$11,$AC$2,1),ROW()-4&gt;$AD$2),NA(),COUNTIF(INDEX($CR$5:$CX$201,INDEX($U$4:$U$11,1,1),$AC$2):INDEX($CR$5:$CX$201,INDEX($U$4:$U$11,1,1)+ROW()-5,$AC$2),FJ$3))</f>
        <v>0</v>
      </c>
      <c r="FL20">
        <f>IF(OR(ROW()-4&gt;INDEX($U$4:$U$11,$AC$2+1,1)-INDEX($U$4:$U$11,$AC$2,1),ROW()-4&gt;$AD$2),NA(),COUNTIF(INDEX($CZ$5:$DF$201,INDEX($U$4:$U$11,1,1),$AC$2):INDEX($CZ$5:$DF$201,INDEX($U$4:$U$11,1,1)+ROW()-5,$AC$2),FL$3))</f>
        <v>0</v>
      </c>
      <c r="FM20">
        <f>IF(OR(ROW()-4&gt;INDEX($U$4:$U$11,$AC$2+1,1)-INDEX($U$4:$U$11,$AC$2,1),ROW()-4&gt;$AD$2),NA(),COUNTIF(INDEX($CZ$5:$DF$201,INDEX($U$4:$U$11,1,1),$AC$2):INDEX($CZ$5:$DF$201,INDEX($U$4:$U$11,1,1)+ROW()-5,$AC$2),FM$3))</f>
        <v>2</v>
      </c>
      <c r="FN20">
        <f>IF(OR(ROW()-4&gt;INDEX($U$4:$U$11,$AC$2+1,1)-INDEX($U$4:$U$11,$AC$2,1),ROW()-4&gt;$AD$2),NA(),COUNTIF(INDEX($CZ$5:$DF$201,INDEX($U$4:$U$11,1,1),$AC$2):INDEX($CZ$5:$DF$201,INDEX($U$4:$U$11,1,1)+ROW()-5,$AC$2),FN$3))</f>
        <v>0</v>
      </c>
      <c r="FO20">
        <f>IF(OR(ROW()-4&gt;INDEX($U$4:$U$11,$AC$2+1,1)-INDEX($U$4:$U$11,$AC$2,1),ROW()-4&gt;$AD$2),NA(),COUNTIF(INDEX($CZ$5:$DF$201,INDEX($U$4:$U$11,1,1),$AC$2):INDEX($CZ$5:$DF$201,INDEX($U$4:$U$11,1,1)+ROW()-5,$AC$2),FO$3))</f>
        <v>3</v>
      </c>
      <c r="FP20">
        <f>IF(OR(ROW()-4&gt;INDEX($U$4:$U$11,$AC$2+1,1)-INDEX($U$4:$U$11,$AC$2,1),ROW()-4&gt;$AD$2),NA(),COUNTIF(INDEX($CZ$5:$DF$201,INDEX($U$4:$U$11,1,1),$AC$2):INDEX($CZ$5:$DF$201,INDEX($U$4:$U$11,1,1)+ROW()-5,$AC$2),FP$3))</f>
        <v>0</v>
      </c>
      <c r="FQ20">
        <f>IF(OR(ROW()-4&gt;INDEX($U$4:$U$11,$AC$2+1,1)-INDEX($U$4:$U$11,$AC$2,1),ROW()-4&gt;$AD$2),NA(),COUNTIF(INDEX($CZ$5:$DF$201,INDEX($U$4:$U$11,1,1),$AC$2):INDEX($CZ$5:$DF$201,INDEX($U$4:$U$11,1,1)+ROW()-5,$AC$2),FQ$3))</f>
        <v>1</v>
      </c>
      <c r="FR20">
        <f>IF(OR(ROW()-4&gt;INDEX($U$4:$U$11,$AC$2+1,1)-INDEX($U$4:$U$11,$AC$2,1),ROW()-4&gt;$AD$2),NA(),COUNTIF(INDEX($CZ$5:$DF$201,INDEX($U$4:$U$11,1,1),$AC$2):INDEX($CZ$5:$DF$201,INDEX($U$4:$U$11,1,1)+ROW()-5,$AC$2),FR$3))</f>
        <v>0</v>
      </c>
      <c r="FS20">
        <f>IF(OR(ROW()-4&gt;INDEX($U$4:$U$11,$AC$2+1,1)-INDEX($U$4:$U$11,$AC$2,1),ROW()-4&gt;$AD$2),NA(),COUNTIF(INDEX($CZ$5:$DF$201,INDEX($U$4:$U$11,1,1),$AC$2):INDEX($CZ$5:$DF$201,INDEX($U$4:$U$11,1,1)+ROW()-5,$AC$2),FS$3))</f>
        <v>0</v>
      </c>
      <c r="FT20">
        <f>IF(OR(ROW()-4&gt;INDEX($U$4:$U$11,$AC$2+1,1)-INDEX($U$4:$U$11,$AC$2,1),ROW()-4&gt;$AD$2),NA(),COUNTIF(INDEX($CZ$5:$DF$201,INDEX($U$4:$U$11,1,1),$AC$2):INDEX($CZ$5:$DF$201,INDEX($U$4:$U$11,1,1)+ROW()-5,$AC$2),FT$3))</f>
        <v>0</v>
      </c>
      <c r="FU20">
        <f>IF(OR(ROW()-4&gt;INDEX($U$4:$U$11,$AC$2+1,1)-INDEX($U$4:$U$11,$AC$2,1),ROW()-4&gt;$AD$2),NA(),COUNTIF(INDEX($CZ$5:$DF$201,INDEX($U$4:$U$11,1,1),$AC$2):INDEX($CZ$5:$DF$201,INDEX($U$4:$U$11,1,1)+ROW()-5,$AC$2),FU$3))</f>
        <v>1</v>
      </c>
      <c r="FW20">
        <f>IF(OR(ROW()-4&gt;INDEX($U$4:$U$11,$AC$2+1,1)-INDEX($U$4:$U$11,$AC$2,1),ROW()-4&gt;$AD$2),NA(),COUNTIF(INDEX($CZ$5:$DF$201,INDEX($U$4:$U$11,1,1),$AC$2):INDEX($CZ$5:$DF$201,INDEX($U$4:$U$11,1,1)+ROW()-5,$AC$2),FW$3))</f>
        <v>0</v>
      </c>
      <c r="FX20">
        <f>IF(OR(ROW()-4&gt;INDEX($U$4:$U$11,$AC$2+1,1)-INDEX($U$4:$U$11,$AC$2,1),ROW()-4&gt;$AD$2),NA(),COUNTIF(INDEX($CZ$5:$DF$201,INDEX($U$4:$U$11,1,1),$AC$2):INDEX($CZ$5:$DF$201,INDEX($U$4:$U$11,1,1)+ROW()-5,$AC$2),FX$3))</f>
        <v>1</v>
      </c>
      <c r="FY20">
        <f>IF(OR(ROW()-4&gt;INDEX($U$4:$U$11,$AC$2+1,1)-INDEX($U$4:$U$11,$AC$2,1),ROW()-4&gt;$AD$2),NA(),COUNTIF(INDEX($CZ$5:$DF$201,INDEX($U$4:$U$11,1,1),$AC$2):INDEX($CZ$5:$DF$201,INDEX($U$4:$U$11,1,1)+ROW()-5,$AC$2),FY$3))</f>
        <v>1</v>
      </c>
      <c r="FZ20">
        <f>IF(OR(ROW()-4&gt;INDEX($U$4:$U$11,$AC$2+1,1)-INDEX($U$4:$U$11,$AC$2,1),ROW()-4&gt;$AD$2),NA(),COUNTIF(INDEX($CZ$5:$DF$201,INDEX($U$4:$U$11,1,1),$AC$2):INDEX($CZ$5:$DF$201,INDEX($U$4:$U$11,1,1)+ROW()-5,$AC$2),FZ$3))</f>
        <v>0</v>
      </c>
      <c r="GA20">
        <f>IF(OR(ROW()-4&gt;INDEX($U$4:$U$11,$AC$2+1,1)-INDEX($U$4:$U$11,$AC$2,1),ROW()-4&gt;$AD$2),NA(),COUNTIF(INDEX($CZ$5:$DF$201,INDEX($U$4:$U$11,1,1),$AC$2):INDEX($CZ$5:$DF$201,INDEX($U$4:$U$11,1,1)+ROW()-5,$AC$2),GA$3))</f>
        <v>1</v>
      </c>
      <c r="GB20">
        <f>IF(OR(ROW()-4&gt;INDEX($U$4:$U$11,$AC$2+1,1)-INDEX($U$4:$U$11,$AC$2,1),ROW()-4&gt;$AD$2),NA(),COUNTIF(INDEX($CZ$5:$DF$201,INDEX($U$4:$U$11,1,1),$AC$2):INDEX($CZ$5:$DF$201,INDEX($U$4:$U$11,1,1)+ROW()-5,$AC$2),GB$3))</f>
        <v>1</v>
      </c>
      <c r="GC20">
        <f>IF(OR(ROW()-4&gt;INDEX($U$4:$U$11,$AC$2+1,1)-INDEX($U$4:$U$11,$AC$2,1),ROW()-4&gt;$AD$2),NA(),COUNTIF(INDEX($CZ$5:$DF$201,INDEX($U$4:$U$11,1,1),$AC$2):INDEX($CZ$5:$DF$201,INDEX($U$4:$U$11,1,1)+ROW()-5,$AC$2),GC$3))</f>
        <v>1</v>
      </c>
      <c r="GD20">
        <f>IF(OR(ROW()-4&gt;INDEX($U$4:$U$11,$AC$2+1,1)-INDEX($U$4:$U$11,$AC$2,1),ROW()-4&gt;$AD$2),NA(),COUNTIF(INDEX($CZ$5:$DF$201,INDEX($U$4:$U$11,1,1),$AC$2):INDEX($CZ$5:$DF$201,INDEX($U$4:$U$11,1,1)+ROW()-5,$AC$2),GD$3))</f>
        <v>1</v>
      </c>
      <c r="GE20">
        <f>IF(OR(ROW()-4&gt;INDEX($U$4:$U$11,$AC$2+1,1)-INDEX($U$4:$U$11,$AC$2,1),ROW()-4&gt;$AD$2),NA(),COUNTIF(INDEX($CZ$5:$DF$201,INDEX($U$4:$U$11,1,1),$AC$2):INDEX($CZ$5:$DF$201,INDEX($U$4:$U$11,1,1)+ROW()-5,$AC$2),GE$3))</f>
        <v>0</v>
      </c>
      <c r="GF20">
        <f>IF(OR(ROW()-4&gt;INDEX($U$4:$U$11,$AC$2+1,1)-INDEX($U$4:$U$11,$AC$2,1),ROW()-4&gt;$AD$2),NA(),COUNTIF(INDEX($CZ$5:$DF$201,INDEX($U$4:$U$11,1,1),$AC$2):INDEX($CZ$5:$DF$201,INDEX($U$4:$U$11,1,1)+ROW()-5,$AC$2),GF$3))</f>
        <v>1</v>
      </c>
      <c r="GK20" t="s">
        <v>34</v>
      </c>
      <c r="GM20" s="59">
        <f>INDEX($DJ$55:$DJ$90,$AD$2)</f>
        <v>0</v>
      </c>
      <c r="GN20" s="59">
        <f>GQ20-GM20</f>
        <v>0</v>
      </c>
      <c r="GO20">
        <f>INDEX($DJ$4:$DJ$40,$AD$2+1)-INDEX($DJ$4:$DJ$40,$AD$2)</f>
        <v>0</v>
      </c>
      <c r="GP20" t="s">
        <v>53</v>
      </c>
      <c r="GQ20">
        <f>INDEX($DJ$5:$DJ$40,$AD$2)</f>
        <v>0</v>
      </c>
      <c r="HH20" t="s">
        <v>83</v>
      </c>
      <c r="HI20" t="s">
        <v>84</v>
      </c>
      <c r="HK20" t="str">
        <f>$AD$3</f>
        <v>KIHARA Miyuu</v>
      </c>
      <c r="HM20" s="67" t="str">
        <f>FW1</f>
        <v>B</v>
      </c>
      <c r="HN20" s="67" t="str">
        <f>FX1</f>
        <v>BM</v>
      </c>
      <c r="HO20" s="67" t="str">
        <f>FY1</f>
        <v>FM</v>
      </c>
      <c r="HP20" s="67" t="str">
        <f>FZ1</f>
        <v>F</v>
      </c>
    </row>
    <row r="21" spans="1:224" x14ac:dyDescent="0.45">
      <c r="A21" t="str">
        <f>データの貼付!A19</f>
        <v>KIHARA Miyuu</v>
      </c>
      <c r="B21">
        <f>データの貼付!B19</f>
        <v>4.9907060185185185E-3</v>
      </c>
      <c r="C21">
        <f>データの貼付!C19</f>
        <v>7.0277777777777775E-5</v>
      </c>
      <c r="D21">
        <f>データの貼付!D19</f>
        <v>6.9444444444444447E-4</v>
      </c>
      <c r="E21" t="str">
        <f>データの貼付!F19</f>
        <v>KIHARA Miyuu</v>
      </c>
      <c r="F21">
        <f>データの貼付!E19</f>
        <v>0</v>
      </c>
      <c r="G21" t="str">
        <f>データの貼付!G19</f>
        <v>#05</v>
      </c>
      <c r="H21" t="str">
        <f>データの貼付!H19</f>
        <v>KIHARA Miyuu</v>
      </c>
      <c r="I21" t="str">
        <f>データの貼付!I19</f>
        <v>(Side)</v>
      </c>
      <c r="J21" t="str">
        <f>データの貼付!J19</f>
        <v>B</v>
      </c>
      <c r="K21" t="str">
        <f>データの貼付!K19</f>
        <v>B</v>
      </c>
      <c r="L21" t="str">
        <f>データの貼付!L19</f>
        <v>B</v>
      </c>
      <c r="M21" t="str">
        <f>データの貼付!M19</f>
        <v>ドライブ</v>
      </c>
      <c r="N21" t="str">
        <f>データの貼付!N19</f>
        <v>BM</v>
      </c>
      <c r="R21">
        <f t="shared" si="59"/>
        <v>1</v>
      </c>
      <c r="S21">
        <f>SUM(R$4:R21)</f>
        <v>2</v>
      </c>
      <c r="T21" t="str">
        <f t="shared" si="60"/>
        <v/>
      </c>
      <c r="W21" t="str">
        <f t="shared" si="57"/>
        <v>KIHARA Miyuu_KIHARA Miyuu</v>
      </c>
      <c r="X21" t="str">
        <f t="shared" si="58"/>
        <v>KIHARA Miyuu_#05</v>
      </c>
      <c r="Y21" s="38">
        <v>1</v>
      </c>
      <c r="Z21" s="38">
        <f>COUNTIF(INDEX($E$4:$E$200,INDEX($U$4:$U$11,$Y21)):INDEX($E$4:$E$200,INDEX($U$4:$U$11,$Y21+1)-1),AC$3)</f>
        <v>4</v>
      </c>
      <c r="AA21" s="38">
        <f>COUNTIF(INDEX($E$4:$E$200,INDEX($U$4:$U$11,$Y21)):INDEX($E$4:$E$200,INDEX($U$4:$U$11,$Y21+1)-1),AD$3)</f>
        <v>11</v>
      </c>
      <c r="AC21" s="8" t="e">
        <f>IF(OR(ROW()-4&gt;INDEX($U$4:$U$11,AC$2+1)-INDEX($U$4:$U$11,AC$2),ROW()-4&gt;AD$2),NA(),COUNTIF(INDEX($W$4:$W$200,INDEX($U$4:$U$11,AC$2)):INDEX($W$4:$W$200,INDEX($U$4:$U$11,AC$2)+ROW()-5),AC$3&amp;"_"&amp;AC$3)/(COUNTIF(INDEX($W$4:$W$200,INDEX($U$4:$U$11,AC$2)):INDEX($W$4:$W$200,INDEX($U$4:$U$11,AC$2)+ROW()-5),AC$3&amp;"_"&amp;AC$3)+COUNTIF(INDEX($W$4:$W$200,INDEX($U$4:$U$11,AC$2)):INDEX($W$4:$W$200,INDEX($U$4:$U$11,AC$2)+ROW()-5),AD$3&amp;"_"&amp;AC$3)))</f>
        <v>#N/A</v>
      </c>
      <c r="AD21" s="8" t="e">
        <f>IF(OR(ROW()-4&gt;INDEX($U$4:$U$11,AC$2+1)-INDEX($U$4:$U$11,AC$2),ROW()-4&gt;AD$2),NA(),COUNTIF(INDEX($W$4:$W$200,INDEX($U$4:$U$11,AC$2)):INDEX($W$4:$W$200,INDEX($U$4:$U$11,AC$2)+ROW()-5),AD$3&amp;"_"&amp;AD$3)/(COUNTIF(INDEX($W$4:$W$200,INDEX($U$4:$U$11,AC$2)):INDEX($W$4:$W$200,INDEX($U$4:$U$11,AC$2)+ROW()-5),AD$3&amp;"_"&amp;AD$3)+COUNTIF(INDEX($W$4:$W$200,INDEX($U$4:$U$11,AC$2)):INDEX($W$4:$W$200,INDEX($U$4:$U$11,AC$2)+ROW()-5),AC$3&amp;"_"&amp;AD$3)))</f>
        <v>#N/A</v>
      </c>
      <c r="AE21" s="10" t="e">
        <f>IF(OR(ROW()-4&gt;INDEX($U$4:$U$11,AC$2+1)-INDEX($U$4:$U$11,AC$2),ROW()-4&gt;AD$2),NA(),COUNTIF(INDEX($W$4:$W$200,INDEX($U$4:$U$11,AC$2)):INDEX($W$4:$W$200,INDEX($U$4:$U$11,AC$2)+ROW()-5),AC$3&amp;"_"&amp;AD$3)/(COUNTIF(INDEX($W$4:$W$200,INDEX($U$4:$U$11,AC$2)):INDEX($W$4:$W$200,INDEX($U$4:$U$11,AC$2)+ROW()-5),AC$3&amp;"_"&amp;AD$3)+COUNTIF(INDEX($W$4:$W$200,INDEX($U$4:$U$11,AC$2)):INDEX($W$4:$W$200,INDEX($U$4:$U$11,AC$2)+ROW()-5),AD$3&amp;"_"&amp;AD$3)))</f>
        <v>#N/A</v>
      </c>
      <c r="AF21" s="10" t="e">
        <f>IF(OR(ROW()-4&gt;INDEX($U$4:$U$11,AC$2+1)-INDEX($U$4:$U$11,AC$2),ROW()-4&gt;AD$2),NA(),COUNTIF(INDEX($W$4:$W$200,INDEX($U$4:$U$11,AC$2)):INDEX($W$4:$W$200,INDEX($U$4:$U$11,AC$2)+ROW()-5),AD$3&amp;"_"&amp;AC$3)/(COUNTIF(INDEX($W$4:$W$200,INDEX($U$4:$U$11,AC$2)):INDEX($W$4:$W$200,INDEX($U$4:$U$11,AC$2)+ROW()-5),AD$3&amp;"_"&amp;AC$3)+COUNTIF(INDEX($W$4:$W$200,INDEX($U$4:$U$11,AC$2)):INDEX($W$4:$W$200,INDEX($U$4:$U$11,AC$2)+ROW()-5),AC$3&amp;"_"&amp;AC$3)))</f>
        <v>#N/A</v>
      </c>
      <c r="AG21" s="10" t="e">
        <f>IF(OR(ROW()-4&gt;INDEX($U$4:$U$11,AC$2+1)-INDEX($U$4:$U$11,AC$2),ROW()-4&gt;AD$2),NA(),COUNTIF(INDEX($X$4:$X$200,INDEX($U$4:$U$11,AC$2)):INDEX($X$4:$X$200,INDEX($U$4:$U$11,AC$2)+ROW()-5),AC$3&amp;"_#03")/(COUNTIF(INDEX($W$4:$W$200,INDEX($U$4:$U$11,AC$2)):INDEX($W$4:$W$200,INDEX($U$4:$U$11,AC$2)+ROW()-5),AC$3&amp;"_"&amp;AC$3)+COUNTIF(INDEX($W$4:$W$200,INDEX($U$4:$U$11,AC$2)):INDEX($W$4:$W$200,INDEX($U$4:$U$11,AC$2)+ROW()-5),AD$3&amp;"_"&amp;AC$3)))</f>
        <v>#N/A</v>
      </c>
      <c r="AH21" s="10" t="e">
        <f>IF(OR(ROW()-4&gt;INDEX($U$4:$U$11,AC$2+1)-INDEX($U$4:$U$11,AC$2),ROW()-4&gt;AD$2),NA(),COUNTIF(INDEX($X$4:$X$200,INDEX($U$4:$U$11,AC$2)):INDEX($X$4:$X$200,INDEX($U$4:$U$11,AC$2)+ROW()-5),AD$3&amp;"_#03")/(COUNTIF(INDEX($W$4:$W$200,INDEX($U$4:$U$11,AC$2)):INDEX($W$4:$W$200,INDEX($U$4:$U$11,AC$2)+ROW()-5),AD$3&amp;"_"&amp;AD$3)+COUNTIF(INDEX($W$4:$W$200,INDEX($U$4:$U$11,AC$2)):INDEX($W$4:$W$200,INDEX($U$4:$U$11,AC$2)+ROW()-5),AC$3&amp;"_"&amp;AD$3)))</f>
        <v>#N/A</v>
      </c>
      <c r="AI21" s="10" t="e">
        <f>IF(OR(ROW()-4&gt;INDEX($U$4:$U$11,AC$2+1)-INDEX($U$4:$U$11,AC$2),ROW()-4&gt;AD$2),NA(),(COUNTIF(INDEX($X$4:$X$200,INDEX($U$4:$U$11,AC$2)):INDEX($X$4:$X$200,INDEX($U$4:$U$11,AC$2)+ROW()-5),AC$3&amp;"_#03")-COUNTIF(INDEX($X$4:$X$200,INDEX($U$4:$U$11,AC$2)):INDEX($X$4:$X$200,INDEX($U$4:$U$11,AC$2)+ROW()-5),AD$3&amp;"_#02"))/(COUNTIF(INDEX($W$4:$W$200,INDEX($U$4:$U$11,AC$2)):INDEX($W$4:$W$200,INDEX($U$4:$U$11,AC$2)+ROW()-5),AC$3&amp;"_"&amp;AC$3)+COUNTIF(INDEX($W$4:$W$200,INDEX($U$4:$U$11,AC$2)):INDEX($W$4:$W$200,INDEX($U$4:$U$11,AC$2)+ROW()-5),AD$3&amp;"_"&amp;AC$3)))</f>
        <v>#N/A</v>
      </c>
      <c r="AJ21" s="10" t="e">
        <f>IF(OR(ROW()-4&gt;INDEX($U$4:$U$11,AC$2+1)-INDEX($U$4:$U$11,AC$2),ROW()-4&gt;AD$2),NA(),(COUNTIF(INDEX($X$4:$X$200,INDEX($U$4:$U$11,AC$2)):INDEX($X$4:$X$200,INDEX($U$4:$U$11,AC$2)+ROW()-5),AD$3&amp;"_#03")-COUNTIF(INDEX($X$4:$X$200,INDEX($U$4:$U$11,AC$2)):INDEX($X$4:$X$200,INDEX($U$4:$U$11,AC$2)+ROW()-5),AC$3&amp;"_#02"))/(COUNTIF(INDEX($W$4:$W$200,INDEX($U$4:$U$11,AC$2)):INDEX($W$4:$W$200,INDEX($U$4:$U$11,AC$2)+ROW()-5),AD$3&amp;"_"&amp;AD$3)+COUNTIF(INDEX($W$4:$W$200,INDEX($U$4:$U$11,AC$2)):INDEX($W$4:$W$200,INDEX($U$4:$U$11,AC$2)+ROW()-5),AC$3&amp;"_"&amp;AD$3)))</f>
        <v>#N/A</v>
      </c>
      <c r="AK21" s="10" t="e">
        <f>IF(OR(ROW()-4&gt;INDEX($U$4:$U$11,AC$2+1)-INDEX($U$4:$U$11,AC$2),ROW()-4&gt;AD$2),NA(),(COUNTIF(INDEX($X$4:$X$200,INDEX($U$4:$U$11,AC$2)):INDEX($X$4:$X$200,INDEX($U$4:$U$11,AC$2)+ROW()-5),AC$3&amp;"_#01")+COUNTIF(INDEX($X$4:$X$200,INDEX($U$4:$U$11,AC$2)):INDEX($X$4:$X$200,INDEX($U$4:$U$11,AC$2)+ROW()-5),AC$3&amp;"_#03"))/(COUNTIF(INDEX($W$4:$W$200,INDEX($U$4:$U$11,AC$2)):INDEX($W$4:$W$200,INDEX($U$4:$U$11,AC$2)+ROW()-5),AC$3&amp;"_"&amp;AC$3)+COUNTIF(INDEX($W$4:$W$200,INDEX($U$4:$U$11,AC$2)):INDEX($W$4:$W$200,INDEX($U$4:$U$11,AC$2)+ROW()-5),AD$3&amp;"_"&amp;AC$3)))</f>
        <v>#N/A</v>
      </c>
      <c r="AL21" s="10" t="e">
        <f>IF(OR(ROW()-4&gt;INDEX($U$4:$U$11,AC$2+1)-INDEX($U$4:$U$11,AC$2),ROW()-4&gt;AD$2),NA(),(COUNTIF(INDEX($X$4:$X$200,INDEX($U$4:$U$11,AC$2)):INDEX($X$4:$X$200,INDEX($U$4:$U$11,AC$2)+ROW()-5),AD$3&amp;"_#01")+COUNTIF(INDEX($X$4:$X$200,INDEX($U$4:$U$11,AC$2)):INDEX($X$4:$X$200,INDEX($U$4:$U$11,AC$2)+ROW()-5),AD$3&amp;"_#03"))/(COUNTIF(INDEX($W$4:$W$200,INDEX($U$4:$U$11,AC$2)):INDEX($W$4:$W$200,INDEX($U$4:$U$11,AC$2)+ROW()-5),AD$3&amp;"_"&amp;AD$3)+COUNTIF(INDEX($W$4:$W$200,INDEX($U$4:$U$11,AC$2)):INDEX($W$4:$W$200,INDEX($U$4:$U$11,AC$2)+ROW()-5),AC$3&amp;"_"&amp;AD$3)))</f>
        <v>#N/A</v>
      </c>
      <c r="AN21">
        <f t="shared" si="125"/>
        <v>17</v>
      </c>
      <c r="AO21" t="str">
        <f t="shared" si="111"/>
        <v/>
      </c>
      <c r="AP21" t="str">
        <f t="shared" si="112"/>
        <v/>
      </c>
      <c r="AQ21">
        <f t="shared" si="113"/>
        <v>65</v>
      </c>
      <c r="AR21" t="str">
        <f t="shared" si="114"/>
        <v/>
      </c>
      <c r="AS21" t="e">
        <f t="shared" si="115"/>
        <v>#VALUE!</v>
      </c>
      <c r="AT21" t="e">
        <f t="shared" si="116"/>
        <v>#VALUE!</v>
      </c>
      <c r="AV21" t="str">
        <f t="shared" si="117"/>
        <v>KIHARA Miyuu</v>
      </c>
      <c r="AW21" t="e">
        <f t="shared" si="63"/>
        <v>#VALUE!</v>
      </c>
      <c r="AX21" t="e">
        <f t="shared" si="64"/>
        <v>#VALUE!</v>
      </c>
      <c r="AY21" t="str">
        <f t="shared" si="65"/>
        <v>FENG Tianwei</v>
      </c>
      <c r="AZ21" t="e">
        <f t="shared" si="66"/>
        <v>#VALUE!</v>
      </c>
      <c r="BA21" t="e">
        <f t="shared" si="67"/>
        <v>#VALUE!</v>
      </c>
      <c r="BB21" t="e">
        <f t="shared" si="68"/>
        <v>#VALUE!</v>
      </c>
      <c r="BD21" t="str">
        <f t="shared" si="118"/>
        <v>KIHARA Miyuu</v>
      </c>
      <c r="BE21" t="e">
        <f t="shared" si="69"/>
        <v>#VALUE!</v>
      </c>
      <c r="BF21" t="e">
        <f t="shared" si="70"/>
        <v>#VALUE!</v>
      </c>
      <c r="BG21" t="str">
        <f t="shared" si="71"/>
        <v>KIHARA Miyuu</v>
      </c>
      <c r="BH21" t="e">
        <f t="shared" si="72"/>
        <v>#VALUE!</v>
      </c>
      <c r="BI21" t="e">
        <f t="shared" si="73"/>
        <v>#VALUE!</v>
      </c>
      <c r="BJ21" t="e">
        <f t="shared" si="74"/>
        <v>#VALUE!</v>
      </c>
      <c r="BL21" t="str">
        <f t="shared" si="119"/>
        <v>KIHARA Miyuu_(Side)</v>
      </c>
      <c r="BM21" t="e">
        <f t="shared" si="75"/>
        <v>#VALUE!</v>
      </c>
      <c r="BN21" t="e">
        <f t="shared" si="76"/>
        <v>#VALUE!</v>
      </c>
      <c r="BO21" t="str">
        <f t="shared" si="77"/>
        <v>KIHARA Miyuu_(Side)</v>
      </c>
      <c r="BP21" t="e">
        <f t="shared" si="78"/>
        <v>#VALUE!</v>
      </c>
      <c r="BQ21" t="e">
        <f t="shared" si="79"/>
        <v>#VALUE!</v>
      </c>
      <c r="BR21" t="e">
        <f t="shared" si="80"/>
        <v>#VALUE!</v>
      </c>
      <c r="BT21" t="str">
        <f t="shared" si="120"/>
        <v>KIHARA Miyuu_B</v>
      </c>
      <c r="BU21" t="e">
        <f t="shared" si="81"/>
        <v>#VALUE!</v>
      </c>
      <c r="BV21" t="e">
        <f t="shared" si="82"/>
        <v>#VALUE!</v>
      </c>
      <c r="BW21" t="str">
        <f t="shared" si="83"/>
        <v>KIHARA Miyuu_B</v>
      </c>
      <c r="BX21" t="e">
        <f t="shared" si="84"/>
        <v>#VALUE!</v>
      </c>
      <c r="BY21" t="e">
        <f t="shared" si="85"/>
        <v>#VALUE!</v>
      </c>
      <c r="BZ21" t="e">
        <f t="shared" si="86"/>
        <v>#VALUE!</v>
      </c>
      <c r="CB21" t="str">
        <f t="shared" si="121"/>
        <v>KIHARA Miyuu_FMS</v>
      </c>
      <c r="CC21" t="e">
        <f t="shared" si="87"/>
        <v>#VALUE!</v>
      </c>
      <c r="CD21" t="e">
        <f t="shared" si="88"/>
        <v>#VALUE!</v>
      </c>
      <c r="CE21" t="str">
        <f t="shared" si="89"/>
        <v>KIHARA Miyuu_FMS</v>
      </c>
      <c r="CF21" t="e">
        <f t="shared" si="90"/>
        <v>#VALUE!</v>
      </c>
      <c r="CG21" t="e">
        <f t="shared" si="91"/>
        <v>#VALUE!</v>
      </c>
      <c r="CH21" t="e">
        <f t="shared" si="92"/>
        <v>#VALUE!</v>
      </c>
      <c r="CJ21" t="str">
        <f t="shared" si="122"/>
        <v>FENG Tianwei_F</v>
      </c>
      <c r="CK21" t="e">
        <f t="shared" si="93"/>
        <v>#VALUE!</v>
      </c>
      <c r="CL21" t="e">
        <f t="shared" si="94"/>
        <v>#VALUE!</v>
      </c>
      <c r="CM21" t="str">
        <f t="shared" si="95"/>
        <v>FENG Tianwei_B</v>
      </c>
      <c r="CN21" t="e">
        <f t="shared" si="96"/>
        <v>#VALUE!</v>
      </c>
      <c r="CO21" t="e">
        <f t="shared" si="97"/>
        <v>#VALUE!</v>
      </c>
      <c r="CP21" t="e">
        <f t="shared" si="98"/>
        <v>#VALUE!</v>
      </c>
      <c r="CR21" t="str">
        <f t="shared" si="123"/>
        <v>FENG Tianwei_ドライブ</v>
      </c>
      <c r="CS21" t="e">
        <f t="shared" si="99"/>
        <v>#VALUE!</v>
      </c>
      <c r="CT21" t="e">
        <f t="shared" si="100"/>
        <v>#VALUE!</v>
      </c>
      <c r="CU21" t="str">
        <f t="shared" si="101"/>
        <v>FENG Tianwei_Chiquita</v>
      </c>
      <c r="CV21" t="e">
        <f t="shared" si="102"/>
        <v>#VALUE!</v>
      </c>
      <c r="CW21" t="e">
        <f t="shared" si="103"/>
        <v>#VALUE!</v>
      </c>
      <c r="CX21" t="e">
        <f t="shared" si="104"/>
        <v>#VALUE!</v>
      </c>
      <c r="CZ21" t="str">
        <f t="shared" si="124"/>
        <v>FENG Tianwei_BM</v>
      </c>
      <c r="DA21" t="e">
        <f t="shared" si="105"/>
        <v>#VALUE!</v>
      </c>
      <c r="DB21" t="e">
        <f t="shared" si="106"/>
        <v>#VALUE!</v>
      </c>
      <c r="DC21" t="str">
        <f t="shared" si="107"/>
        <v>FENG Tianwei_F</v>
      </c>
      <c r="DD21" t="e">
        <f t="shared" si="108"/>
        <v>#VALUE!</v>
      </c>
      <c r="DE21" t="e">
        <f t="shared" si="109"/>
        <v>#VALUE!</v>
      </c>
      <c r="DF21" t="e">
        <f t="shared" si="110"/>
        <v>#VALUE!</v>
      </c>
      <c r="DH21" t="e">
        <f>IF(OR(ROW()-4&gt;INDEX($U$4:$U$11,$AC$2+1,1)-INDEX($U$4:$U$11,$AC$2,1),ROW()-4&gt;$AD$2),NA(),COUNTIF(INDEX($BL$5:$BR$50,INDEX($U$4:$U$11,1,1),$AC$2):INDEX($BL$5:$BR$50,INDEX($U$4:$U$11,1,1)+ROW()-5,$AC$2),DH$3))</f>
        <v>#N/A</v>
      </c>
      <c r="DI21" t="e">
        <f>IF(OR(ROW()-4&gt;INDEX($U$4:$U$11,$AC$2+1,1)-INDEX($U$4:$U$11,$AC$2,1),ROW()-4&gt;$AD$2),NA(),COUNTIF(INDEX($BL$5:$BR$50,INDEX($U$4:$U$11,1,1),$AC$2):INDEX($BL$5:$BR$50,INDEX($U$4:$U$11,1,1)+ROW()-5,$AC$2),DI$3))</f>
        <v>#N/A</v>
      </c>
      <c r="DJ21" t="e">
        <f>IF(OR(ROW()-4&gt;INDEX($U$4:$U$11,$AC$2+1,1)-INDEX($U$4:$U$11,$AC$2,1),ROW()-4&gt;$AD$2),NA(),COUNTIF(INDEX($BL$5:$BR$50,INDEX($U$4:$U$11,1,1),$AC$2):INDEX($BL$5:$BR$50,INDEX($U$4:$U$11,1,1)+ROW()-5,$AC$2),DJ$3))</f>
        <v>#N/A</v>
      </c>
      <c r="DL21" t="e">
        <f>IF(OR(ROW()-4&gt;INDEX($U$4:$U$11,$AC$2+1,1)-INDEX($U$4:$U$11,$AC$2,1),ROW()-4&gt;$AD$2),NA(),COUNTIF(INDEX($BL$5:$BR$50,INDEX($U$4:$U$11,1,1),$AC$2):INDEX($BL$5:$BR$50,INDEX($U$4:$U$11,1,1)+ROW()-5,$AC$2),DL$3))</f>
        <v>#N/A</v>
      </c>
      <c r="DM21" t="e">
        <f>IF(OR(ROW()-4&gt;INDEX($U$4:$U$11,$AC$2+1,1)-INDEX($U$4:$U$11,$AC$2,1),ROW()-4&gt;$AD$2),NA(),COUNTIF(INDEX($BL$5:$BR$50,INDEX($U$4:$U$11,1,1),$AC$2):INDEX($BL$5:$BR$50,INDEX($U$4:$U$11,1,1)+ROW()-5,$AC$2),DM$3))</f>
        <v>#N/A</v>
      </c>
      <c r="DN21" t="e">
        <f>IF(OR(ROW()-4&gt;INDEX($U$4:$U$11,$AC$2+1,1)-INDEX($U$4:$U$11,$AC$2,1),ROW()-4&gt;$AD$2),NA(),COUNTIF(INDEX($BL$5:$BR$50,INDEX($U$4:$U$11,1,1),$AC$2):INDEX($BL$5:$BR$50,INDEX($U$4:$U$11,1,1)+ROW()-5,$AC$2),DN$3))</f>
        <v>#N/A</v>
      </c>
      <c r="DP21" t="e">
        <f>IF(OR(ROW()-4&gt;INDEX($U$4:$U$11,$AC$2+1,1)-INDEX($U$4:$U$11,$AC$2,1),ROW()-4&gt;$AD$2),NA(),COUNTIF(INDEX($BT$5:$BZ$201,INDEX($U$4:$U$11,1,1),$AC$2):INDEX($BT$5:$BZ$201,INDEX($U$4:$U$11,1,1)+ROW()-5,$AC$2),DP$3))</f>
        <v>#N/A</v>
      </c>
      <c r="DQ21" t="e">
        <f>IF(OR(ROW()-4&gt;INDEX($U$4:$U$11,$AC$2+1,1)-INDEX($U$4:$U$11,$AC$2,1),ROW()-4&gt;$AD$2),NA(),COUNTIF(INDEX($BT$5:$BZ$201,INDEX($U$4:$U$11,1,1),$AC$2):INDEX($BT$5:$BZ$201,INDEX($U$4:$U$11,1,1)+ROW()-5,$AC$2),DQ$3))</f>
        <v>#N/A</v>
      </c>
      <c r="DS21" t="e">
        <f>IF(OR(ROW()-4&gt;INDEX($U$4:$U$11,$AC$2+1,1)-INDEX($U$4:$U$11,$AC$2,1),ROW()-4&gt;$AD$2),NA(),COUNTIF(INDEX($BT$5:$BZ$201,INDEX($U$4:$U$11,1,1),$AC$2):INDEX($BT$5:$BZ$201,INDEX($U$4:$U$11,1,1)+ROW()-5,$AC$2),DS$3))</f>
        <v>#N/A</v>
      </c>
      <c r="DT21" t="e">
        <f>IF(OR(ROW()-4&gt;INDEX($U$4:$U$11,$AC$2+1,1)-INDEX($U$4:$U$11,$AC$2,1),ROW()-4&gt;$AD$2),NA(),COUNTIF(INDEX($BT$5:$BZ$201,INDEX($U$4:$U$11,1,1),$AC$2):INDEX($BT$5:$BZ$201,INDEX($U$4:$U$11,1,1)+ROW()-5,$AC$2),DT$3))</f>
        <v>#N/A</v>
      </c>
      <c r="DV21" t="e">
        <f>IF(OR(ROW()-4&gt;INDEX($U$4:$U$11,$AC$2+1,1)-INDEX($U$4:$U$11,$AC$2,1),ROW()-4&gt;$AD$2),NA(),COUNTIF(INDEX($CB$5:$CH$201,INDEX($U$4:$U$11,1,1),$AC$2):INDEX($CB$5:$CH$201,INDEX($U$4:$U$11,1,1)+ROW()-5,$AC$2),DV$3))</f>
        <v>#N/A</v>
      </c>
      <c r="DW21" t="e">
        <f>IF(OR(ROW()-4&gt;INDEX($U$4:$U$11,$AC$2+1,1)-INDEX($U$4:$U$11,$AC$2,1),ROW()-4&gt;$AD$2),NA(),COUNTIF(INDEX($CB$5:$CH$201,INDEX($U$4:$U$11,1,1),$AC$2):INDEX($CB$5:$CH$201,INDEX($U$4:$U$11,1,1)+ROW()-5,$AC$2),DW$3))</f>
        <v>#N/A</v>
      </c>
      <c r="DX21" t="e">
        <f>IF(OR(ROW()-4&gt;INDEX($U$4:$U$11,$AC$2+1,1)-INDEX($U$4:$U$11,$AC$2,1),ROW()-4&gt;$AD$2),NA(),COUNTIF(INDEX($CB$5:$CH$201,INDEX($U$4:$U$11,1,1),$AC$2):INDEX($CB$5:$CH$201,INDEX($U$4:$U$11,1,1)+ROW()-5,$AC$2),DX$3))</f>
        <v>#N/A</v>
      </c>
      <c r="DY21" t="e">
        <f>IF(OR(ROW()-4&gt;INDEX($U$4:$U$11,$AC$2+1,1)-INDEX($U$4:$U$11,$AC$2,1),ROW()-4&gt;$AD$2),NA(),COUNTIF(INDEX($CB$5:$CH$201,INDEX($U$4:$U$11,1,1),$AC$2):INDEX($CB$5:$CH$201,INDEX($U$4:$U$11,1,1)+ROW()-5,$AC$2),DY$3))</f>
        <v>#N/A</v>
      </c>
      <c r="DZ21" t="e">
        <f>IF(OR(ROW()-4&gt;INDEX($U$4:$U$11,$AC$2+1,1)-INDEX($U$4:$U$11,$AC$2,1),ROW()-4&gt;$AD$2),NA(),COUNTIF(INDEX($CB$5:$CH$201,INDEX($U$4:$U$11,1,1),$AC$2):INDEX($CB$5:$CH$201,INDEX($U$4:$U$11,1,1)+ROW()-5,$AC$2),DZ$3))</f>
        <v>#N/A</v>
      </c>
      <c r="EA21" t="e">
        <f>IF(OR(ROW()-4&gt;INDEX($U$4:$U$11,$AC$2+1,1)-INDEX($U$4:$U$11,$AC$2,1),ROW()-4&gt;$AD$2),NA(),COUNTIF(INDEX($CB$5:$CH$201,INDEX($U$4:$U$11,1,1),$AC$2):INDEX($CB$5:$CH$201,INDEX($U$4:$U$11,1,1)+ROW()-5,$AC$2),EA$3))</f>
        <v>#N/A</v>
      </c>
      <c r="EB21" t="e">
        <f>IF(OR(ROW()-4&gt;INDEX($U$4:$U$11,$AC$2+1,1)-INDEX($U$4:$U$11,$AC$2,1),ROW()-4&gt;$AD$2),NA(),COUNTIF(INDEX($CB$5:$CH$201,INDEX($U$4:$U$11,1,1),$AC$2):INDEX($CB$5:$CH$201,INDEX($U$4:$U$11,1,1)+ROW()-5,$AC$2),EB$3))</f>
        <v>#N/A</v>
      </c>
      <c r="EC21" t="e">
        <f>IF(OR(ROW()-4&gt;INDEX($U$4:$U$11,$AC$2+1,1)-INDEX($U$4:$U$11,$AC$2,1),ROW()-4&gt;$AD$2),NA(),COUNTIF(INDEX($CB$5:$CH$201,INDEX($U$4:$U$11,1,1),$AC$2):INDEX($CB$5:$CH$201,INDEX($U$4:$U$11,1,1)+ROW()-5,$AC$2),EC$3))</f>
        <v>#N/A</v>
      </c>
      <c r="EE21" t="e">
        <f>IF(OR(ROW()-4&gt;INDEX($U$4:$U$11,$AC$2+1,1)-INDEX($U$4:$U$11,$AC$2,1),ROW()-4&gt;$AD$2),NA(),COUNTIF(INDEX($CB$5:$CH$201,INDEX($U$4:$U$11,1,1),$AC$2):INDEX($CB$5:$CH$201,INDEX($U$4:$U$11,1,1)+ROW()-5,$AC$2),EE$3))</f>
        <v>#N/A</v>
      </c>
      <c r="EF21" t="e">
        <f>IF(OR(ROW()-4&gt;INDEX($U$4:$U$11,$AC$2+1,1)-INDEX($U$4:$U$11,$AC$2,1),ROW()-4&gt;$AD$2),NA(),COUNTIF(INDEX($CB$5:$CH$201,INDEX($U$4:$U$11,1,1),$AC$2):INDEX($CB$5:$CH$201,INDEX($U$4:$U$11,1,1)+ROW()-5,$AC$2),EF$3))</f>
        <v>#N/A</v>
      </c>
      <c r="EG21" t="e">
        <f>IF(OR(ROW()-4&gt;INDEX($U$4:$U$11,$AC$2+1,1)-INDEX($U$4:$U$11,$AC$2,1),ROW()-4&gt;$AD$2),NA(),COUNTIF(INDEX($CB$5:$CH$201,INDEX($U$4:$U$11,1,1),$AC$2):INDEX($CB$5:$CH$201,INDEX($U$4:$U$11,1,1)+ROW()-5,$AC$2),EG$3))</f>
        <v>#N/A</v>
      </c>
      <c r="EH21" t="e">
        <f>IF(OR(ROW()-4&gt;INDEX($U$4:$U$11,$AC$2+1,1)-INDEX($U$4:$U$11,$AC$2,1),ROW()-4&gt;$AD$2),NA(),COUNTIF(INDEX($CB$5:$CH$201,INDEX($U$4:$U$11,1,1),$AC$2):INDEX($CB$5:$CH$201,INDEX($U$4:$U$11,1,1)+ROW()-5,$AC$2),EH$3))</f>
        <v>#N/A</v>
      </c>
      <c r="EI21" t="e">
        <f>IF(OR(ROW()-4&gt;INDEX($U$4:$U$11,$AC$2+1,1)-INDEX($U$4:$U$11,$AC$2,1),ROW()-4&gt;$AD$2),NA(),COUNTIF(INDEX($CB$5:$CH$201,INDEX($U$4:$U$11,1,1),$AC$2):INDEX($CB$5:$CH$201,INDEX($U$4:$U$11,1,1)+ROW()-5,$AC$2),EI$3))</f>
        <v>#N/A</v>
      </c>
      <c r="EJ21" t="e">
        <f>IF(OR(ROW()-4&gt;INDEX($U$4:$U$11,$AC$2+1,1)-INDEX($U$4:$U$11,$AC$2,1),ROW()-4&gt;$AD$2),NA(),COUNTIF(INDEX($CB$5:$CH$201,INDEX($U$4:$U$11,1,1),$AC$2):INDEX($CB$5:$CH$201,INDEX($U$4:$U$11,1,1)+ROW()-5,$AC$2),EJ$3))</f>
        <v>#N/A</v>
      </c>
      <c r="EK21" t="e">
        <f>IF(OR(ROW()-4&gt;INDEX($U$4:$U$11,$AC$2+1,1)-INDEX($U$4:$U$11,$AC$2,1),ROW()-4&gt;$AD$2),NA(),COUNTIF(INDEX($CB$5:$CH$201,INDEX($U$4:$U$11,1,1),$AC$2):INDEX($CB$5:$CH$201,INDEX($U$4:$U$11,1,1)+ROW()-5,$AC$2),EK$3))</f>
        <v>#N/A</v>
      </c>
      <c r="EL21" t="e">
        <f>IF(OR(ROW()-4&gt;INDEX($U$4:$U$11,$AC$2+1,1)-INDEX($U$4:$U$11,$AC$2,1),ROW()-4&gt;$AD$2),NA(),COUNTIF(INDEX($CB$5:$CH$201,INDEX($U$4:$U$11,1,1),$AC$2):INDEX($CB$5:$CH$201,INDEX($U$4:$U$11,1,1)+ROW()-5,$AC$2),EL$3))</f>
        <v>#N/A</v>
      </c>
      <c r="EN21" t="e">
        <f>IF(OR(ROW()-4&gt;INDEX($U$4:$U$11,$AC$2+1,1)-INDEX($U$4:$U$11,$AC$2,1),ROW()-4&gt;$AD$2),NA(),COUNTIF(INDEX($CJ$5:$CP$201,INDEX($U$4:$U$11,1,1),$AC$2):INDEX($CJ$5:$CP$201,INDEX($U$4:$U$11,1,1)+ROW()-5,$AC$2),EN$3))</f>
        <v>#N/A</v>
      </c>
      <c r="EO21" t="e">
        <f>IF(OR(ROW()-4&gt;INDEX($U$4:$U$11,$AC$2+1,1)-INDEX($U$4:$U$11,$AC$2,1),ROW()-4&gt;$AD$2),NA(),COUNTIF(INDEX($CJ$5:$CP$201,INDEX($U$4:$U$11,1,1),$AC$2):INDEX($CJ$5:$CP$201,INDEX($U$4:$U$11,1,1)+ROW()-5,$AC$2),EO$3))</f>
        <v>#N/A</v>
      </c>
      <c r="EQ21" t="e">
        <f>IF(OR(ROW()-4&gt;INDEX($U$4:$U$11,$AC$2+1,1)-INDEX($U$4:$U$11,$AC$2,1),ROW()-4&gt;$AD$2),NA(),COUNTIF(INDEX($CJ$5:$CP$201,INDEX($U$4:$U$11,1,1),$AC$2):INDEX($CJ$5:$CP$201,INDEX($U$4:$U$11,1,1)+ROW()-5,$AC$2),EQ$3))</f>
        <v>#N/A</v>
      </c>
      <c r="ER21" t="e">
        <f>IF(OR(ROW()-4&gt;INDEX($U$4:$U$11,$AC$2+1,1)-INDEX($U$4:$U$11,$AC$2,1),ROW()-4&gt;$AD$2),NA(),COUNTIF(INDEX($CJ$5:$CP$201,INDEX($U$4:$U$11,1,1),$AC$2):INDEX($CJ$5:$CP$201,INDEX($U$4:$U$11,1,1)+ROW()-5,$AC$2),ER$3))</f>
        <v>#N/A</v>
      </c>
      <c r="ET21" t="e">
        <f>IF(OR(ROW()-4&gt;INDEX($U$4:$U$11,$AC$2+1,1)-INDEX($U$4:$U$11,$AC$2,1),ROW()-4&gt;$AD$2),NA(),COUNTIF(INDEX($CR$5:$CX$201,INDEX($U$4:$U$11,1,1),$AC$2):INDEX($CR$5:$CX$201,INDEX($U$4:$U$11,1,1)+ROW()-5,$AC$2),ET$3))</f>
        <v>#N/A</v>
      </c>
      <c r="EU21" t="e">
        <f>IF(OR(ROW()-4&gt;INDEX($U$4:$U$11,$AC$2+1,1)-INDEX($U$4:$U$11,$AC$2,1),ROW()-4&gt;$AD$2),NA(),COUNTIF(INDEX($CR$5:$CX$201,INDEX($U$4:$U$11,1,1),$AC$2):INDEX($CR$5:$CX$201,INDEX($U$4:$U$11,1,1)+ROW()-5,$AC$2),EU$3))</f>
        <v>#N/A</v>
      </c>
      <c r="EV21" t="e">
        <f>IF(OR(ROW()-4&gt;INDEX($U$4:$U$11,$AC$2+1,1)-INDEX($U$4:$U$11,$AC$2,1),ROW()-4&gt;$AD$2),NA(),COUNTIF(INDEX($CR$5:$CX$201,INDEX($U$4:$U$11,1,1),$AC$2):INDEX($CR$5:$CX$201,INDEX($U$4:$U$11,1,1)+ROW()-5,$AC$2),EV$3))</f>
        <v>#N/A</v>
      </c>
      <c r="EW21" t="e">
        <f>IF(OR(ROW()-4&gt;INDEX($U$4:$U$11,$AC$2+1,1)-INDEX($U$4:$U$11,$AC$2,1),ROW()-4&gt;$AD$2),NA(),COUNTIF(INDEX($CR$5:$CX$201,INDEX($U$4:$U$11,1,1),$AC$2):INDEX($CR$5:$CX$201,INDEX($U$4:$U$11,1,1)+ROW()-5,$AC$2),EW$3))</f>
        <v>#N/A</v>
      </c>
      <c r="EX21" t="e">
        <f>IF(OR(ROW()-4&gt;INDEX($U$4:$U$11,$AC$2+1,1)-INDEX($U$4:$U$11,$AC$2,1),ROW()-4&gt;$AD$2),NA(),COUNTIF(INDEX($CR$5:$CX$201,INDEX($U$4:$U$11,1,1),$AC$2):INDEX($CR$5:$CX$201,INDEX($U$4:$U$11,1,1)+ROW()-5,$AC$2),EX$3))</f>
        <v>#N/A</v>
      </c>
      <c r="EY21" t="e">
        <f>IF(OR(ROW()-4&gt;INDEX($U$4:$U$11,$AC$2+1,1)-INDEX($U$4:$U$11,$AC$2,1),ROW()-4&gt;$AD$2),NA(),COUNTIF(INDEX($CR$5:$CX$201,INDEX($U$4:$U$11,1,1),$AC$2):INDEX($CR$5:$CX$201,INDEX($U$4:$U$11,1,1)+ROW()-5,$AC$2),EY$3))</f>
        <v>#N/A</v>
      </c>
      <c r="EZ21" t="e">
        <f>IF(OR(ROW()-4&gt;INDEX($U$4:$U$11,$AC$2+1,1)-INDEX($U$4:$U$11,$AC$2,1),ROW()-4&gt;$AD$2),NA(),COUNTIF(INDEX($CR$5:$CX$201,INDEX($U$4:$U$11,1,1),$AC$2):INDEX($CR$5:$CX$201,INDEX($U$4:$U$11,1,1)+ROW()-5,$AC$2),EZ$3))</f>
        <v>#N/A</v>
      </c>
      <c r="FA21" t="e">
        <f>IF(OR(ROW()-4&gt;INDEX($U$4:$U$11,$AC$2+1,1)-INDEX($U$4:$U$11,$AC$2,1),ROW()-4&gt;$AD$2),NA(),COUNTIF(INDEX($CR$5:$CX$201,INDEX($U$4:$U$11,1,1),$AC$2):INDEX($CR$5:$CX$201,INDEX($U$4:$U$11,1,1)+ROW()-5,$AC$2),FA$3))</f>
        <v>#N/A</v>
      </c>
      <c r="FC21" t="e">
        <f>IF(OR(ROW()-4&gt;INDEX($U$4:$U$11,$AC$2+1,1)-INDEX($U$4:$U$11,$AC$2,1),ROW()-4&gt;$AD$2),NA(),COUNTIF(INDEX($CR$5:$CX$201,INDEX($U$4:$U$11,1,1),$AC$2):INDEX($CR$5:$CX$201,INDEX($U$4:$U$11,1,1)+ROW()-5,$AC$2),FC$3))</f>
        <v>#N/A</v>
      </c>
      <c r="FD21" t="e">
        <f>IF(OR(ROW()-4&gt;INDEX($U$4:$U$11,$AC$2+1,1)-INDEX($U$4:$U$11,$AC$2,1),ROW()-4&gt;$AD$2),NA(),COUNTIF(INDEX($CR$5:$CX$201,INDEX($U$4:$U$11,1,1),$AC$2):INDEX($CR$5:$CX$201,INDEX($U$4:$U$11,1,1)+ROW()-5,$AC$2),FD$3))</f>
        <v>#N/A</v>
      </c>
      <c r="FE21" t="e">
        <f>IF(OR(ROW()-4&gt;INDEX($U$4:$U$11,$AC$2+1,1)-INDEX($U$4:$U$11,$AC$2,1),ROW()-4&gt;$AD$2),NA(),COUNTIF(INDEX($CR$5:$CX$201,INDEX($U$4:$U$11,1,1),$AC$2):INDEX($CR$5:$CX$201,INDEX($U$4:$U$11,1,1)+ROW()-5,$AC$2),FE$3))</f>
        <v>#N/A</v>
      </c>
      <c r="FF21" t="e">
        <f>IF(OR(ROW()-4&gt;INDEX($U$4:$U$11,$AC$2+1,1)-INDEX($U$4:$U$11,$AC$2,1),ROW()-4&gt;$AD$2),NA(),COUNTIF(INDEX($CR$5:$CX$201,INDEX($U$4:$U$11,1,1),$AC$2):INDEX($CR$5:$CX$201,INDEX($U$4:$U$11,1,1)+ROW()-5,$AC$2),FF$3))</f>
        <v>#N/A</v>
      </c>
      <c r="FG21" t="e">
        <f>IF(OR(ROW()-4&gt;INDEX($U$4:$U$11,$AC$2+1,1)-INDEX($U$4:$U$11,$AC$2,1),ROW()-4&gt;$AD$2),NA(),COUNTIF(INDEX($CR$5:$CX$201,INDEX($U$4:$U$11,1,1),$AC$2):INDEX($CR$5:$CX$201,INDEX($U$4:$U$11,1,1)+ROW()-5,$AC$2),FG$3))</f>
        <v>#N/A</v>
      </c>
      <c r="FH21" t="e">
        <f>IF(OR(ROW()-4&gt;INDEX($U$4:$U$11,$AC$2+1,1)-INDEX($U$4:$U$11,$AC$2,1),ROW()-4&gt;$AD$2),NA(),COUNTIF(INDEX($CR$5:$CX$201,INDEX($U$4:$U$11,1,1),$AC$2):INDEX($CR$5:$CX$201,INDEX($U$4:$U$11,1,1)+ROW()-5,$AC$2),FH$3))</f>
        <v>#N/A</v>
      </c>
      <c r="FI21" t="e">
        <f>IF(OR(ROW()-4&gt;INDEX($U$4:$U$11,$AC$2+1,1)-INDEX($U$4:$U$11,$AC$2,1),ROW()-4&gt;$AD$2),NA(),COUNTIF(INDEX($CR$5:$CX$201,INDEX($U$4:$U$11,1,1),$AC$2):INDEX($CR$5:$CX$201,INDEX($U$4:$U$11,1,1)+ROW()-5,$AC$2),FI$3))</f>
        <v>#N/A</v>
      </c>
      <c r="FJ21" t="e">
        <f>IF(OR(ROW()-4&gt;INDEX($U$4:$U$11,$AC$2+1,1)-INDEX($U$4:$U$11,$AC$2,1),ROW()-4&gt;$AD$2),NA(),COUNTIF(INDEX($CR$5:$CX$201,INDEX($U$4:$U$11,1,1),$AC$2):INDEX($CR$5:$CX$201,INDEX($U$4:$U$11,1,1)+ROW()-5,$AC$2),FJ$3))</f>
        <v>#N/A</v>
      </c>
      <c r="FL21" t="e">
        <f>IF(OR(ROW()-4&gt;INDEX($U$4:$U$11,$AC$2+1,1)-INDEX($U$4:$U$11,$AC$2,1),ROW()-4&gt;$AD$2),NA(),COUNTIF(INDEX($CZ$5:$DF$201,INDEX($U$4:$U$11,1,1),$AC$2):INDEX($CZ$5:$DF$201,INDEX($U$4:$U$11,1,1)+ROW()-5,$AC$2),FL$3))</f>
        <v>#N/A</v>
      </c>
      <c r="FM21" t="e">
        <f>IF(OR(ROW()-4&gt;INDEX($U$4:$U$11,$AC$2+1,1)-INDEX($U$4:$U$11,$AC$2,1),ROW()-4&gt;$AD$2),NA(),COUNTIF(INDEX($CZ$5:$DF$201,INDEX($U$4:$U$11,1,1),$AC$2):INDEX($CZ$5:$DF$201,INDEX($U$4:$U$11,1,1)+ROW()-5,$AC$2),FM$3))</f>
        <v>#N/A</v>
      </c>
      <c r="FN21" t="e">
        <f>IF(OR(ROW()-4&gt;INDEX($U$4:$U$11,$AC$2+1,1)-INDEX($U$4:$U$11,$AC$2,1),ROW()-4&gt;$AD$2),NA(),COUNTIF(INDEX($CZ$5:$DF$201,INDEX($U$4:$U$11,1,1),$AC$2):INDEX($CZ$5:$DF$201,INDEX($U$4:$U$11,1,1)+ROW()-5,$AC$2),FN$3))</f>
        <v>#N/A</v>
      </c>
      <c r="FO21" t="e">
        <f>IF(OR(ROW()-4&gt;INDEX($U$4:$U$11,$AC$2+1,1)-INDEX($U$4:$U$11,$AC$2,1),ROW()-4&gt;$AD$2),NA(),COUNTIF(INDEX($CZ$5:$DF$201,INDEX($U$4:$U$11,1,1),$AC$2):INDEX($CZ$5:$DF$201,INDEX($U$4:$U$11,1,1)+ROW()-5,$AC$2),FO$3))</f>
        <v>#N/A</v>
      </c>
      <c r="FP21" t="e">
        <f>IF(OR(ROW()-4&gt;INDEX($U$4:$U$11,$AC$2+1,1)-INDEX($U$4:$U$11,$AC$2,1),ROW()-4&gt;$AD$2),NA(),COUNTIF(INDEX($CZ$5:$DF$201,INDEX($U$4:$U$11,1,1),$AC$2):INDEX($CZ$5:$DF$201,INDEX($U$4:$U$11,1,1)+ROW()-5,$AC$2),FP$3))</f>
        <v>#N/A</v>
      </c>
      <c r="FQ21" t="e">
        <f>IF(OR(ROW()-4&gt;INDEX($U$4:$U$11,$AC$2+1,1)-INDEX($U$4:$U$11,$AC$2,1),ROW()-4&gt;$AD$2),NA(),COUNTIF(INDEX($CZ$5:$DF$201,INDEX($U$4:$U$11,1,1),$AC$2):INDEX($CZ$5:$DF$201,INDEX($U$4:$U$11,1,1)+ROW()-5,$AC$2),FQ$3))</f>
        <v>#N/A</v>
      </c>
      <c r="FR21" t="e">
        <f>IF(OR(ROW()-4&gt;INDEX($U$4:$U$11,$AC$2+1,1)-INDEX($U$4:$U$11,$AC$2,1),ROW()-4&gt;$AD$2),NA(),COUNTIF(INDEX($CZ$5:$DF$201,INDEX($U$4:$U$11,1,1),$AC$2):INDEX($CZ$5:$DF$201,INDEX($U$4:$U$11,1,1)+ROW()-5,$AC$2),FR$3))</f>
        <v>#N/A</v>
      </c>
      <c r="FS21" t="e">
        <f>IF(OR(ROW()-4&gt;INDEX($U$4:$U$11,$AC$2+1,1)-INDEX($U$4:$U$11,$AC$2,1),ROW()-4&gt;$AD$2),NA(),COUNTIF(INDEX($CZ$5:$DF$201,INDEX($U$4:$U$11,1,1),$AC$2):INDEX($CZ$5:$DF$201,INDEX($U$4:$U$11,1,1)+ROW()-5,$AC$2),FS$3))</f>
        <v>#N/A</v>
      </c>
      <c r="FT21" t="e">
        <f>IF(OR(ROW()-4&gt;INDEX($U$4:$U$11,$AC$2+1,1)-INDEX($U$4:$U$11,$AC$2,1),ROW()-4&gt;$AD$2),NA(),COUNTIF(INDEX($CZ$5:$DF$201,INDEX($U$4:$U$11,1,1),$AC$2):INDEX($CZ$5:$DF$201,INDEX($U$4:$U$11,1,1)+ROW()-5,$AC$2),FT$3))</f>
        <v>#N/A</v>
      </c>
      <c r="FU21" t="e">
        <f>IF(OR(ROW()-4&gt;INDEX($U$4:$U$11,$AC$2+1,1)-INDEX($U$4:$U$11,$AC$2,1),ROW()-4&gt;$AD$2),NA(),COUNTIF(INDEX($CZ$5:$DF$201,INDEX($U$4:$U$11,1,1),$AC$2):INDEX($CZ$5:$DF$201,INDEX($U$4:$U$11,1,1)+ROW()-5,$AC$2),FU$3))</f>
        <v>#N/A</v>
      </c>
      <c r="FW21" t="e">
        <f>IF(OR(ROW()-4&gt;INDEX($U$4:$U$11,$AC$2+1,1)-INDEX($U$4:$U$11,$AC$2,1),ROW()-4&gt;$AD$2),NA(),COUNTIF(INDEX($CZ$5:$DF$201,INDEX($U$4:$U$11,1,1),$AC$2):INDEX($CZ$5:$DF$201,INDEX($U$4:$U$11,1,1)+ROW()-5,$AC$2),FW$3))</f>
        <v>#N/A</v>
      </c>
      <c r="FX21" t="e">
        <f>IF(OR(ROW()-4&gt;INDEX($U$4:$U$11,$AC$2+1,1)-INDEX($U$4:$U$11,$AC$2,1),ROW()-4&gt;$AD$2),NA(),COUNTIF(INDEX($CZ$5:$DF$201,INDEX($U$4:$U$11,1,1),$AC$2):INDEX($CZ$5:$DF$201,INDEX($U$4:$U$11,1,1)+ROW()-5,$AC$2),FX$3))</f>
        <v>#N/A</v>
      </c>
      <c r="FY21" t="e">
        <f>IF(OR(ROW()-4&gt;INDEX($U$4:$U$11,$AC$2+1,1)-INDEX($U$4:$U$11,$AC$2,1),ROW()-4&gt;$AD$2),NA(),COUNTIF(INDEX($CZ$5:$DF$201,INDEX($U$4:$U$11,1,1),$AC$2):INDEX($CZ$5:$DF$201,INDEX($U$4:$U$11,1,1)+ROW()-5,$AC$2),FY$3))</f>
        <v>#N/A</v>
      </c>
      <c r="FZ21" t="e">
        <f>IF(OR(ROW()-4&gt;INDEX($U$4:$U$11,$AC$2+1,1)-INDEX($U$4:$U$11,$AC$2,1),ROW()-4&gt;$AD$2),NA(),COUNTIF(INDEX($CZ$5:$DF$201,INDEX($U$4:$U$11,1,1),$AC$2):INDEX($CZ$5:$DF$201,INDEX($U$4:$U$11,1,1)+ROW()-5,$AC$2),FZ$3))</f>
        <v>#N/A</v>
      </c>
      <c r="GA21" t="e">
        <f>IF(OR(ROW()-4&gt;INDEX($U$4:$U$11,$AC$2+1,1)-INDEX($U$4:$U$11,$AC$2,1),ROW()-4&gt;$AD$2),NA(),COUNTIF(INDEX($CZ$5:$DF$201,INDEX($U$4:$U$11,1,1),$AC$2):INDEX($CZ$5:$DF$201,INDEX($U$4:$U$11,1,1)+ROW()-5,$AC$2),GA$3))</f>
        <v>#N/A</v>
      </c>
      <c r="GB21" t="e">
        <f>IF(OR(ROW()-4&gt;INDEX($U$4:$U$11,$AC$2+1,1)-INDEX($U$4:$U$11,$AC$2,1),ROW()-4&gt;$AD$2),NA(),COUNTIF(INDEX($CZ$5:$DF$201,INDEX($U$4:$U$11,1,1),$AC$2):INDEX($CZ$5:$DF$201,INDEX($U$4:$U$11,1,1)+ROW()-5,$AC$2),GB$3))</f>
        <v>#N/A</v>
      </c>
      <c r="GC21" t="e">
        <f>IF(OR(ROW()-4&gt;INDEX($U$4:$U$11,$AC$2+1,1)-INDEX($U$4:$U$11,$AC$2,1),ROW()-4&gt;$AD$2),NA(),COUNTIF(INDEX($CZ$5:$DF$201,INDEX($U$4:$U$11,1,1),$AC$2):INDEX($CZ$5:$DF$201,INDEX($U$4:$U$11,1,1)+ROW()-5,$AC$2),GC$3))</f>
        <v>#N/A</v>
      </c>
      <c r="GD21" t="e">
        <f>IF(OR(ROW()-4&gt;INDEX($U$4:$U$11,$AC$2+1,1)-INDEX($U$4:$U$11,$AC$2,1),ROW()-4&gt;$AD$2),NA(),COUNTIF(INDEX($CZ$5:$DF$201,INDEX($U$4:$U$11,1,1),$AC$2):INDEX($CZ$5:$DF$201,INDEX($U$4:$U$11,1,1)+ROW()-5,$AC$2),GD$3))</f>
        <v>#N/A</v>
      </c>
      <c r="GE21" t="e">
        <f>IF(OR(ROW()-4&gt;INDEX($U$4:$U$11,$AC$2+1,1)-INDEX($U$4:$U$11,$AC$2,1),ROW()-4&gt;$AD$2),NA(),COUNTIF(INDEX($CZ$5:$DF$201,INDEX($U$4:$U$11,1,1),$AC$2):INDEX($CZ$5:$DF$201,INDEX($U$4:$U$11,1,1)+ROW()-5,$AC$2),GE$3))</f>
        <v>#N/A</v>
      </c>
      <c r="GF21" t="e">
        <f>IF(OR(ROW()-4&gt;INDEX($U$4:$U$11,$AC$2+1,1)-INDEX($U$4:$U$11,$AC$2,1),ROW()-4&gt;$AD$2),NA(),COUNTIF(INDEX($CZ$5:$DF$201,INDEX($U$4:$U$11,1,1),$AC$2):INDEX($CZ$5:$DF$201,INDEX($U$4:$U$11,1,1)+ROW()-5,$AC$2),GF$3))</f>
        <v>#N/A</v>
      </c>
      <c r="GK21" t="s">
        <v>40</v>
      </c>
      <c r="GP21" t="str">
        <f>$AC$3</f>
        <v>FENG Tianwei</v>
      </c>
      <c r="HE21" t="s">
        <v>54</v>
      </c>
      <c r="HF21">
        <f>INDEX($FC$5:$FC$40,$AD$2)</f>
        <v>0</v>
      </c>
      <c r="HG21">
        <f>INDEX($FC$4:$FC$40,$AD$2+1)-INDEX($FC$4:$FC$40,$AD$2)</f>
        <v>0</v>
      </c>
      <c r="HH21" s="59">
        <f>INDEX($FC$55:$FC$90,$AD$2)</f>
        <v>0</v>
      </c>
      <c r="HI21" s="59">
        <f t="shared" ref="HI21:HI28" si="131">HF21-HH21</f>
        <v>0</v>
      </c>
      <c r="HM21" s="67">
        <f>INDEX($GA$5:$GA$40,$AD$2)</f>
        <v>1</v>
      </c>
      <c r="HN21" s="67">
        <f>INDEX($GB$5:$GB$40,$AD$2)</f>
        <v>1</v>
      </c>
      <c r="HO21" s="67">
        <f>INDEX($GC$5:$GC$40,$AD$2)</f>
        <v>1</v>
      </c>
      <c r="HP21" s="67">
        <f>INDEX($GD$5:$GD$40,$AD$2)</f>
        <v>1</v>
      </c>
    </row>
    <row r="22" spans="1:224" x14ac:dyDescent="0.45">
      <c r="A22" t="str">
        <f>データの貼付!A20</f>
        <v>KIHARA Miyuu</v>
      </c>
      <c r="B22">
        <f>データの貼付!B20</f>
        <v>5.1710532407407408E-3</v>
      </c>
      <c r="C22">
        <f>データの貼付!C20</f>
        <v>8.2638888888888877E-5</v>
      </c>
      <c r="D22">
        <f>データの貼付!D20</f>
        <v>6.9444444444444447E-4</v>
      </c>
      <c r="E22" t="str">
        <f>データの貼付!F20</f>
        <v>KIHARA Miyuu</v>
      </c>
      <c r="F22">
        <f>データの貼付!E20</f>
        <v>0</v>
      </c>
      <c r="G22" t="str">
        <f>データの貼付!G20</f>
        <v>#07</v>
      </c>
      <c r="H22" t="str">
        <f>データの貼付!H20</f>
        <v>KIHARA Miyuu</v>
      </c>
      <c r="I22" t="str">
        <f>データの貼付!I20</f>
        <v>(Side)</v>
      </c>
      <c r="J22" t="str">
        <f>データの貼付!J20</f>
        <v>B</v>
      </c>
      <c r="K22" t="str">
        <f>データの貼付!K20</f>
        <v>FM</v>
      </c>
      <c r="L22" t="str">
        <f>データの貼付!L20</f>
        <v>F</v>
      </c>
      <c r="M22" t="str">
        <f>データの貼付!M20</f>
        <v>ドライブ</v>
      </c>
      <c r="N22" t="str">
        <f>データの貼付!N20</f>
        <v>FM</v>
      </c>
      <c r="R22">
        <f t="shared" si="59"/>
        <v>0</v>
      </c>
      <c r="S22">
        <f>SUM(R$4:R22)</f>
        <v>2</v>
      </c>
      <c r="T22" t="str">
        <f t="shared" si="60"/>
        <v/>
      </c>
      <c r="W22" t="str">
        <f t="shared" si="57"/>
        <v>KIHARA Miyuu_KIHARA Miyuu</v>
      </c>
      <c r="X22" t="str">
        <f t="shared" si="58"/>
        <v>KIHARA Miyuu_#07</v>
      </c>
      <c r="Y22" s="38">
        <v>2</v>
      </c>
      <c r="Z22" s="38">
        <f>COUNTIF(INDEX($E$4:$E$200,INDEX($U$4:$U$11,$Y22)):INDEX($E$4:$E$200,INDEX($U$4:$U$11,$Y22+1)-1),AC$3)</f>
        <v>4</v>
      </c>
      <c r="AA22" s="38">
        <f>COUNTIF(INDEX($E$4:$E$200,INDEX($U$4:$U$11,$Y22)):INDEX($E$4:$E$200,INDEX($U$4:$U$11,$Y22+1)-1),AD$3)</f>
        <v>11</v>
      </c>
      <c r="AC22" s="8" t="e">
        <f>IF(OR(ROW()-4&gt;INDEX($U$4:$U$11,AC$2+1)-INDEX($U$4:$U$11,AC$2),ROW()-4&gt;AD$2),NA(),COUNTIF(INDEX($W$4:$W$200,INDEX($U$4:$U$11,AC$2)):INDEX($W$4:$W$200,INDEX($U$4:$U$11,AC$2)+ROW()-5),AC$3&amp;"_"&amp;AC$3)/(COUNTIF(INDEX($W$4:$W$200,INDEX($U$4:$U$11,AC$2)):INDEX($W$4:$W$200,INDEX($U$4:$U$11,AC$2)+ROW()-5),AC$3&amp;"_"&amp;AC$3)+COUNTIF(INDEX($W$4:$W$200,INDEX($U$4:$U$11,AC$2)):INDEX($W$4:$W$200,INDEX($U$4:$U$11,AC$2)+ROW()-5),AD$3&amp;"_"&amp;AC$3)))</f>
        <v>#N/A</v>
      </c>
      <c r="AD22" s="8" t="e">
        <f>IF(OR(ROW()-4&gt;INDEX($U$4:$U$11,AC$2+1)-INDEX($U$4:$U$11,AC$2),ROW()-4&gt;AD$2),NA(),COUNTIF(INDEX($W$4:$W$200,INDEX($U$4:$U$11,AC$2)):INDEX($W$4:$W$200,INDEX($U$4:$U$11,AC$2)+ROW()-5),AD$3&amp;"_"&amp;AD$3)/(COUNTIF(INDEX($W$4:$W$200,INDEX($U$4:$U$11,AC$2)):INDEX($W$4:$W$200,INDEX($U$4:$U$11,AC$2)+ROW()-5),AD$3&amp;"_"&amp;AD$3)+COUNTIF(INDEX($W$4:$W$200,INDEX($U$4:$U$11,AC$2)):INDEX($W$4:$W$200,INDEX($U$4:$U$11,AC$2)+ROW()-5),AC$3&amp;"_"&amp;AD$3)))</f>
        <v>#N/A</v>
      </c>
      <c r="AE22" s="10" t="e">
        <f>IF(OR(ROW()-4&gt;INDEX($U$4:$U$11,AC$2+1)-INDEX($U$4:$U$11,AC$2),ROW()-4&gt;AD$2),NA(),COUNTIF(INDEX($W$4:$W$200,INDEX($U$4:$U$11,AC$2)):INDEX($W$4:$W$200,INDEX($U$4:$U$11,AC$2)+ROW()-5),AC$3&amp;"_"&amp;AD$3)/(COUNTIF(INDEX($W$4:$W$200,INDEX($U$4:$U$11,AC$2)):INDEX($W$4:$W$200,INDEX($U$4:$U$11,AC$2)+ROW()-5),AC$3&amp;"_"&amp;AD$3)+COUNTIF(INDEX($W$4:$W$200,INDEX($U$4:$U$11,AC$2)):INDEX($W$4:$W$200,INDEX($U$4:$U$11,AC$2)+ROW()-5),AD$3&amp;"_"&amp;AD$3)))</f>
        <v>#N/A</v>
      </c>
      <c r="AF22" s="10" t="e">
        <f>IF(OR(ROW()-4&gt;INDEX($U$4:$U$11,AC$2+1)-INDEX($U$4:$U$11,AC$2),ROW()-4&gt;AD$2),NA(),COUNTIF(INDEX($W$4:$W$200,INDEX($U$4:$U$11,AC$2)):INDEX($W$4:$W$200,INDEX($U$4:$U$11,AC$2)+ROW()-5),AD$3&amp;"_"&amp;AC$3)/(COUNTIF(INDEX($W$4:$W$200,INDEX($U$4:$U$11,AC$2)):INDEX($W$4:$W$200,INDEX($U$4:$U$11,AC$2)+ROW()-5),AD$3&amp;"_"&amp;AC$3)+COUNTIF(INDEX($W$4:$W$200,INDEX($U$4:$U$11,AC$2)):INDEX($W$4:$W$200,INDEX($U$4:$U$11,AC$2)+ROW()-5),AC$3&amp;"_"&amp;AC$3)))</f>
        <v>#N/A</v>
      </c>
      <c r="AG22" s="10" t="e">
        <f>IF(OR(ROW()-4&gt;INDEX($U$4:$U$11,AC$2+1)-INDEX($U$4:$U$11,AC$2),ROW()-4&gt;AD$2),NA(),COUNTIF(INDEX($X$4:$X$200,INDEX($U$4:$U$11,AC$2)):INDEX($X$4:$X$200,INDEX($U$4:$U$11,AC$2)+ROW()-5),AC$3&amp;"_#03")/(COUNTIF(INDEX($W$4:$W$200,INDEX($U$4:$U$11,AC$2)):INDEX($W$4:$W$200,INDEX($U$4:$U$11,AC$2)+ROW()-5),AC$3&amp;"_"&amp;AC$3)+COUNTIF(INDEX($W$4:$W$200,INDEX($U$4:$U$11,AC$2)):INDEX($W$4:$W$200,INDEX($U$4:$U$11,AC$2)+ROW()-5),AD$3&amp;"_"&amp;AC$3)))</f>
        <v>#N/A</v>
      </c>
      <c r="AH22" s="10" t="e">
        <f>IF(OR(ROW()-4&gt;INDEX($U$4:$U$11,AC$2+1)-INDEX($U$4:$U$11,AC$2),ROW()-4&gt;AD$2),NA(),COUNTIF(INDEX($X$4:$X$200,INDEX($U$4:$U$11,AC$2)):INDEX($X$4:$X$200,INDEX($U$4:$U$11,AC$2)+ROW()-5),AD$3&amp;"_#03")/(COUNTIF(INDEX($W$4:$W$200,INDEX($U$4:$U$11,AC$2)):INDEX($W$4:$W$200,INDEX($U$4:$U$11,AC$2)+ROW()-5),AD$3&amp;"_"&amp;AD$3)+COUNTIF(INDEX($W$4:$W$200,INDEX($U$4:$U$11,AC$2)):INDEX($W$4:$W$200,INDEX($U$4:$U$11,AC$2)+ROW()-5),AC$3&amp;"_"&amp;AD$3)))</f>
        <v>#N/A</v>
      </c>
      <c r="AI22" s="10" t="e">
        <f>IF(OR(ROW()-4&gt;INDEX($U$4:$U$11,AC$2+1)-INDEX($U$4:$U$11,AC$2),ROW()-4&gt;AD$2),NA(),(COUNTIF(INDEX($X$4:$X$200,INDEX($U$4:$U$11,AC$2)):INDEX($X$4:$X$200,INDEX($U$4:$U$11,AC$2)+ROW()-5),AC$3&amp;"_#03")-COUNTIF(INDEX($X$4:$X$200,INDEX($U$4:$U$11,AC$2)):INDEX($X$4:$X$200,INDEX($U$4:$U$11,AC$2)+ROW()-5),AD$3&amp;"_#02"))/(COUNTIF(INDEX($W$4:$W$200,INDEX($U$4:$U$11,AC$2)):INDEX($W$4:$W$200,INDEX($U$4:$U$11,AC$2)+ROW()-5),AC$3&amp;"_"&amp;AC$3)+COUNTIF(INDEX($W$4:$W$200,INDEX($U$4:$U$11,AC$2)):INDEX($W$4:$W$200,INDEX($U$4:$U$11,AC$2)+ROW()-5),AD$3&amp;"_"&amp;AC$3)))</f>
        <v>#N/A</v>
      </c>
      <c r="AJ22" s="10" t="e">
        <f>IF(OR(ROW()-4&gt;INDEX($U$4:$U$11,AC$2+1)-INDEX($U$4:$U$11,AC$2),ROW()-4&gt;AD$2),NA(),(COUNTIF(INDEX($X$4:$X$200,INDEX($U$4:$U$11,AC$2)):INDEX($X$4:$X$200,INDEX($U$4:$U$11,AC$2)+ROW()-5),AD$3&amp;"_#03")-COUNTIF(INDEX($X$4:$X$200,INDEX($U$4:$U$11,AC$2)):INDEX($X$4:$X$200,INDEX($U$4:$U$11,AC$2)+ROW()-5),AC$3&amp;"_#02"))/(COUNTIF(INDEX($W$4:$W$200,INDEX($U$4:$U$11,AC$2)):INDEX($W$4:$W$200,INDEX($U$4:$U$11,AC$2)+ROW()-5),AD$3&amp;"_"&amp;AD$3)+COUNTIF(INDEX($W$4:$W$200,INDEX($U$4:$U$11,AC$2)):INDEX($W$4:$W$200,INDEX($U$4:$U$11,AC$2)+ROW()-5),AC$3&amp;"_"&amp;AD$3)))</f>
        <v>#N/A</v>
      </c>
      <c r="AK22" s="10" t="e">
        <f>IF(OR(ROW()-4&gt;INDEX($U$4:$U$11,AC$2+1)-INDEX($U$4:$U$11,AC$2),ROW()-4&gt;AD$2),NA(),(COUNTIF(INDEX($X$4:$X$200,INDEX($U$4:$U$11,AC$2)):INDEX($X$4:$X$200,INDEX($U$4:$U$11,AC$2)+ROW()-5),AC$3&amp;"_#01")+COUNTIF(INDEX($X$4:$X$200,INDEX($U$4:$U$11,AC$2)):INDEX($X$4:$X$200,INDEX($U$4:$U$11,AC$2)+ROW()-5),AC$3&amp;"_#03"))/(COUNTIF(INDEX($W$4:$W$200,INDEX($U$4:$U$11,AC$2)):INDEX($W$4:$W$200,INDEX($U$4:$U$11,AC$2)+ROW()-5),AC$3&amp;"_"&amp;AC$3)+COUNTIF(INDEX($W$4:$W$200,INDEX($U$4:$U$11,AC$2)):INDEX($W$4:$W$200,INDEX($U$4:$U$11,AC$2)+ROW()-5),AD$3&amp;"_"&amp;AC$3)))</f>
        <v>#N/A</v>
      </c>
      <c r="AL22" s="10" t="e">
        <f>IF(OR(ROW()-4&gt;INDEX($U$4:$U$11,AC$2+1)-INDEX($U$4:$U$11,AC$2),ROW()-4&gt;AD$2),NA(),(COUNTIF(INDEX($X$4:$X$200,INDEX($U$4:$U$11,AC$2)):INDEX($X$4:$X$200,INDEX($U$4:$U$11,AC$2)+ROW()-5),AD$3&amp;"_#01")+COUNTIF(INDEX($X$4:$X$200,INDEX($U$4:$U$11,AC$2)):INDEX($X$4:$X$200,INDEX($U$4:$U$11,AC$2)+ROW()-5),AD$3&amp;"_#03"))/(COUNTIF(INDEX($W$4:$W$200,INDEX($U$4:$U$11,AC$2)):INDEX($W$4:$W$200,INDEX($U$4:$U$11,AC$2)+ROW()-5),AD$3&amp;"_"&amp;AD$3)+COUNTIF(INDEX($W$4:$W$200,INDEX($U$4:$U$11,AC$2)):INDEX($W$4:$W$200,INDEX($U$4:$U$11,AC$2)+ROW()-5),AC$3&amp;"_"&amp;AD$3)))</f>
        <v>#N/A</v>
      </c>
      <c r="AN22" t="str">
        <f t="shared" si="125"/>
        <v/>
      </c>
      <c r="AO22" t="str">
        <f t="shared" si="111"/>
        <v/>
      </c>
      <c r="AP22" t="str">
        <f t="shared" si="112"/>
        <v/>
      </c>
      <c r="AQ22">
        <f t="shared" si="113"/>
        <v>66</v>
      </c>
      <c r="AR22" t="str">
        <f t="shared" si="114"/>
        <v/>
      </c>
      <c r="AS22" t="e">
        <f t="shared" si="115"/>
        <v>#VALUE!</v>
      </c>
      <c r="AT22" t="e">
        <f t="shared" si="116"/>
        <v>#VALUE!</v>
      </c>
      <c r="AV22" t="e">
        <f t="shared" si="117"/>
        <v>#VALUE!</v>
      </c>
      <c r="AW22" t="e">
        <f t="shared" si="63"/>
        <v>#VALUE!</v>
      </c>
      <c r="AX22" t="e">
        <f t="shared" si="64"/>
        <v>#VALUE!</v>
      </c>
      <c r="AY22" t="str">
        <f t="shared" si="65"/>
        <v>FENG Tianwei</v>
      </c>
      <c r="AZ22" t="e">
        <f t="shared" si="66"/>
        <v>#VALUE!</v>
      </c>
      <c r="BA22" t="e">
        <f t="shared" si="67"/>
        <v>#VALUE!</v>
      </c>
      <c r="BB22" t="e">
        <f t="shared" si="68"/>
        <v>#VALUE!</v>
      </c>
      <c r="BD22" t="e">
        <f t="shared" si="118"/>
        <v>#VALUE!</v>
      </c>
      <c r="BE22" t="e">
        <f t="shared" si="69"/>
        <v>#VALUE!</v>
      </c>
      <c r="BF22" t="e">
        <f t="shared" si="70"/>
        <v>#VALUE!</v>
      </c>
      <c r="BG22" t="str">
        <f t="shared" si="71"/>
        <v>KIHARA Miyuu</v>
      </c>
      <c r="BH22" t="e">
        <f t="shared" si="72"/>
        <v>#VALUE!</v>
      </c>
      <c r="BI22" t="e">
        <f t="shared" si="73"/>
        <v>#VALUE!</v>
      </c>
      <c r="BJ22" t="e">
        <f t="shared" si="74"/>
        <v>#VALUE!</v>
      </c>
      <c r="BL22" t="e">
        <f t="shared" si="119"/>
        <v>#VALUE!</v>
      </c>
      <c r="BM22" t="e">
        <f t="shared" si="75"/>
        <v>#VALUE!</v>
      </c>
      <c r="BN22" t="e">
        <f t="shared" si="76"/>
        <v>#VALUE!</v>
      </c>
      <c r="BO22" t="str">
        <f t="shared" si="77"/>
        <v>KIHARA Miyuu_(Side)</v>
      </c>
      <c r="BP22" t="e">
        <f t="shared" si="78"/>
        <v>#VALUE!</v>
      </c>
      <c r="BQ22" t="e">
        <f t="shared" si="79"/>
        <v>#VALUE!</v>
      </c>
      <c r="BR22" t="e">
        <f t="shared" si="80"/>
        <v>#VALUE!</v>
      </c>
      <c r="BT22" t="e">
        <f t="shared" si="120"/>
        <v>#VALUE!</v>
      </c>
      <c r="BU22" t="e">
        <f t="shared" si="81"/>
        <v>#VALUE!</v>
      </c>
      <c r="BV22" t="e">
        <f t="shared" si="82"/>
        <v>#VALUE!</v>
      </c>
      <c r="BW22" t="str">
        <f t="shared" si="83"/>
        <v>KIHARA Miyuu_B</v>
      </c>
      <c r="BX22" t="e">
        <f t="shared" si="84"/>
        <v>#VALUE!</v>
      </c>
      <c r="BY22" t="e">
        <f t="shared" si="85"/>
        <v>#VALUE!</v>
      </c>
      <c r="BZ22" t="e">
        <f t="shared" si="86"/>
        <v>#VALUE!</v>
      </c>
      <c r="CB22" t="e">
        <f t="shared" si="121"/>
        <v>#VALUE!</v>
      </c>
      <c r="CC22" t="e">
        <f t="shared" si="87"/>
        <v>#VALUE!</v>
      </c>
      <c r="CD22" t="e">
        <f t="shared" si="88"/>
        <v>#VALUE!</v>
      </c>
      <c r="CE22" t="str">
        <f t="shared" si="89"/>
        <v>KIHARA Miyuu_BM</v>
      </c>
      <c r="CF22" t="e">
        <f t="shared" si="90"/>
        <v>#VALUE!</v>
      </c>
      <c r="CG22" t="e">
        <f t="shared" si="91"/>
        <v>#VALUE!</v>
      </c>
      <c r="CH22" t="e">
        <f t="shared" si="92"/>
        <v>#VALUE!</v>
      </c>
      <c r="CJ22" t="e">
        <f t="shared" si="122"/>
        <v>#VALUE!</v>
      </c>
      <c r="CK22" t="e">
        <f t="shared" si="93"/>
        <v>#VALUE!</v>
      </c>
      <c r="CL22" t="e">
        <f t="shared" si="94"/>
        <v>#VALUE!</v>
      </c>
      <c r="CM22" t="str">
        <f t="shared" si="95"/>
        <v>FENG Tianwei_B</v>
      </c>
      <c r="CN22" t="e">
        <f t="shared" si="96"/>
        <v>#VALUE!</v>
      </c>
      <c r="CO22" t="e">
        <f t="shared" si="97"/>
        <v>#VALUE!</v>
      </c>
      <c r="CP22" t="e">
        <f t="shared" si="98"/>
        <v>#VALUE!</v>
      </c>
      <c r="CR22" t="e">
        <f t="shared" si="123"/>
        <v>#VALUE!</v>
      </c>
      <c r="CS22" t="e">
        <f t="shared" si="99"/>
        <v>#VALUE!</v>
      </c>
      <c r="CT22" t="e">
        <f t="shared" si="100"/>
        <v>#VALUE!</v>
      </c>
      <c r="CU22" t="str">
        <f t="shared" si="101"/>
        <v>FENG Tianwei_ドライブ</v>
      </c>
      <c r="CV22" t="e">
        <f t="shared" si="102"/>
        <v>#VALUE!</v>
      </c>
      <c r="CW22" t="e">
        <f t="shared" si="103"/>
        <v>#VALUE!</v>
      </c>
      <c r="CX22" t="e">
        <f t="shared" si="104"/>
        <v>#VALUE!</v>
      </c>
      <c r="CZ22" t="e">
        <f t="shared" si="124"/>
        <v>#VALUE!</v>
      </c>
      <c r="DA22" t="e">
        <f t="shared" si="105"/>
        <v>#VALUE!</v>
      </c>
      <c r="DB22" t="e">
        <f t="shared" si="106"/>
        <v>#VALUE!</v>
      </c>
      <c r="DC22" t="str">
        <f t="shared" si="107"/>
        <v>FENG Tianwei_B</v>
      </c>
      <c r="DD22" t="e">
        <f t="shared" si="108"/>
        <v>#VALUE!</v>
      </c>
      <c r="DE22" t="e">
        <f t="shared" si="109"/>
        <v>#VALUE!</v>
      </c>
      <c r="DF22" t="e">
        <f t="shared" si="110"/>
        <v>#VALUE!</v>
      </c>
      <c r="DH22" t="e">
        <f>IF(OR(ROW()-4&gt;INDEX($U$4:$U$11,$AC$2+1,1)-INDEX($U$4:$U$11,$AC$2,1),ROW()-4&gt;$AD$2),NA(),COUNTIF(INDEX($BL$5:$BR$50,INDEX($U$4:$U$11,1,1),$AC$2):INDEX($BL$5:$BR$50,INDEX($U$4:$U$11,1,1)+ROW()-5,$AC$2),DH$3))</f>
        <v>#N/A</v>
      </c>
      <c r="DI22" t="e">
        <f>IF(OR(ROW()-4&gt;INDEX($U$4:$U$11,$AC$2+1,1)-INDEX($U$4:$U$11,$AC$2,1),ROW()-4&gt;$AD$2),NA(),COUNTIF(INDEX($BL$5:$BR$50,INDEX($U$4:$U$11,1,1),$AC$2):INDEX($BL$5:$BR$50,INDEX($U$4:$U$11,1,1)+ROW()-5,$AC$2),DI$3))</f>
        <v>#N/A</v>
      </c>
      <c r="DJ22" t="e">
        <f>IF(OR(ROW()-4&gt;INDEX($U$4:$U$11,$AC$2+1,1)-INDEX($U$4:$U$11,$AC$2,1),ROW()-4&gt;$AD$2),NA(),COUNTIF(INDEX($BL$5:$BR$50,INDEX($U$4:$U$11,1,1),$AC$2):INDEX($BL$5:$BR$50,INDEX($U$4:$U$11,1,1)+ROW()-5,$AC$2),DJ$3))</f>
        <v>#N/A</v>
      </c>
      <c r="DL22" t="e">
        <f>IF(OR(ROW()-4&gt;INDEX($U$4:$U$11,$AC$2+1,1)-INDEX($U$4:$U$11,$AC$2,1),ROW()-4&gt;$AD$2),NA(),COUNTIF(INDEX($BL$5:$BR$50,INDEX($U$4:$U$11,1,1),$AC$2):INDEX($BL$5:$BR$50,INDEX($U$4:$U$11,1,1)+ROW()-5,$AC$2),DL$3))</f>
        <v>#N/A</v>
      </c>
      <c r="DM22" t="e">
        <f>IF(OR(ROW()-4&gt;INDEX($U$4:$U$11,$AC$2+1,1)-INDEX($U$4:$U$11,$AC$2,1),ROW()-4&gt;$AD$2),NA(),COUNTIF(INDEX($BL$5:$BR$50,INDEX($U$4:$U$11,1,1),$AC$2):INDEX($BL$5:$BR$50,INDEX($U$4:$U$11,1,1)+ROW()-5,$AC$2),DM$3))</f>
        <v>#N/A</v>
      </c>
      <c r="DN22" t="e">
        <f>IF(OR(ROW()-4&gt;INDEX($U$4:$U$11,$AC$2+1,1)-INDEX($U$4:$U$11,$AC$2,1),ROW()-4&gt;$AD$2),NA(),COUNTIF(INDEX($BL$5:$BR$50,INDEX($U$4:$U$11,1,1),$AC$2):INDEX($BL$5:$BR$50,INDEX($U$4:$U$11,1,1)+ROW()-5,$AC$2),DN$3))</f>
        <v>#N/A</v>
      </c>
      <c r="DP22" t="e">
        <f>IF(OR(ROW()-4&gt;INDEX($U$4:$U$11,$AC$2+1,1)-INDEX($U$4:$U$11,$AC$2,1),ROW()-4&gt;$AD$2),NA(),COUNTIF(INDEX($BT$5:$BZ$201,INDEX($U$4:$U$11,1,1),$AC$2):INDEX($BT$5:$BZ$201,INDEX($U$4:$U$11,1,1)+ROW()-5,$AC$2),DP$3))</f>
        <v>#N/A</v>
      </c>
      <c r="DQ22" t="e">
        <f>IF(OR(ROW()-4&gt;INDEX($U$4:$U$11,$AC$2+1,1)-INDEX($U$4:$U$11,$AC$2,1),ROW()-4&gt;$AD$2),NA(),COUNTIF(INDEX($BT$5:$BZ$201,INDEX($U$4:$U$11,1,1),$AC$2):INDEX($BT$5:$BZ$201,INDEX($U$4:$U$11,1,1)+ROW()-5,$AC$2),DQ$3))</f>
        <v>#N/A</v>
      </c>
      <c r="DS22" t="e">
        <f>IF(OR(ROW()-4&gt;INDEX($U$4:$U$11,$AC$2+1,1)-INDEX($U$4:$U$11,$AC$2,1),ROW()-4&gt;$AD$2),NA(),COUNTIF(INDEX($BT$5:$BZ$201,INDEX($U$4:$U$11,1,1),$AC$2):INDEX($BT$5:$BZ$201,INDEX($U$4:$U$11,1,1)+ROW()-5,$AC$2),DS$3))</f>
        <v>#N/A</v>
      </c>
      <c r="DT22" t="e">
        <f>IF(OR(ROW()-4&gt;INDEX($U$4:$U$11,$AC$2+1,1)-INDEX($U$4:$U$11,$AC$2,1),ROW()-4&gt;$AD$2),NA(),COUNTIF(INDEX($BT$5:$BZ$201,INDEX($U$4:$U$11,1,1),$AC$2):INDEX($BT$5:$BZ$201,INDEX($U$4:$U$11,1,1)+ROW()-5,$AC$2),DT$3))</f>
        <v>#N/A</v>
      </c>
      <c r="DV22" t="e">
        <f>IF(OR(ROW()-4&gt;INDEX($U$4:$U$11,$AC$2+1,1)-INDEX($U$4:$U$11,$AC$2,1),ROW()-4&gt;$AD$2),NA(),COUNTIF(INDEX($CB$5:$CH$201,INDEX($U$4:$U$11,1,1),$AC$2):INDEX($CB$5:$CH$201,INDEX($U$4:$U$11,1,1)+ROW()-5,$AC$2),DV$3))</f>
        <v>#N/A</v>
      </c>
      <c r="DW22" t="e">
        <f>IF(OR(ROW()-4&gt;INDEX($U$4:$U$11,$AC$2+1,1)-INDEX($U$4:$U$11,$AC$2,1),ROW()-4&gt;$AD$2),NA(),COUNTIF(INDEX($CB$5:$CH$201,INDEX($U$4:$U$11,1,1),$AC$2):INDEX($CB$5:$CH$201,INDEX($U$4:$U$11,1,1)+ROW()-5,$AC$2),DW$3))</f>
        <v>#N/A</v>
      </c>
      <c r="DX22" t="e">
        <f>IF(OR(ROW()-4&gt;INDEX($U$4:$U$11,$AC$2+1,1)-INDEX($U$4:$U$11,$AC$2,1),ROW()-4&gt;$AD$2),NA(),COUNTIF(INDEX($CB$5:$CH$201,INDEX($U$4:$U$11,1,1),$AC$2):INDEX($CB$5:$CH$201,INDEX($U$4:$U$11,1,1)+ROW()-5,$AC$2),DX$3))</f>
        <v>#N/A</v>
      </c>
      <c r="DY22" t="e">
        <f>IF(OR(ROW()-4&gt;INDEX($U$4:$U$11,$AC$2+1,1)-INDEX($U$4:$U$11,$AC$2,1),ROW()-4&gt;$AD$2),NA(),COUNTIF(INDEX($CB$5:$CH$201,INDEX($U$4:$U$11,1,1),$AC$2):INDEX($CB$5:$CH$201,INDEX($U$4:$U$11,1,1)+ROW()-5,$AC$2),DY$3))</f>
        <v>#N/A</v>
      </c>
      <c r="DZ22" t="e">
        <f>IF(OR(ROW()-4&gt;INDEX($U$4:$U$11,$AC$2+1,1)-INDEX($U$4:$U$11,$AC$2,1),ROW()-4&gt;$AD$2),NA(),COUNTIF(INDEX($CB$5:$CH$201,INDEX($U$4:$U$11,1,1),$AC$2):INDEX($CB$5:$CH$201,INDEX($U$4:$U$11,1,1)+ROW()-5,$AC$2),DZ$3))</f>
        <v>#N/A</v>
      </c>
      <c r="EA22" t="e">
        <f>IF(OR(ROW()-4&gt;INDEX($U$4:$U$11,$AC$2+1,1)-INDEX($U$4:$U$11,$AC$2,1),ROW()-4&gt;$AD$2),NA(),COUNTIF(INDEX($CB$5:$CH$201,INDEX($U$4:$U$11,1,1),$AC$2):INDEX($CB$5:$CH$201,INDEX($U$4:$U$11,1,1)+ROW()-5,$AC$2),EA$3))</f>
        <v>#N/A</v>
      </c>
      <c r="EB22" t="e">
        <f>IF(OR(ROW()-4&gt;INDEX($U$4:$U$11,$AC$2+1,1)-INDEX($U$4:$U$11,$AC$2,1),ROW()-4&gt;$AD$2),NA(),COUNTIF(INDEX($CB$5:$CH$201,INDEX($U$4:$U$11,1,1),$AC$2):INDEX($CB$5:$CH$201,INDEX($U$4:$U$11,1,1)+ROW()-5,$AC$2),EB$3))</f>
        <v>#N/A</v>
      </c>
      <c r="EC22" t="e">
        <f>IF(OR(ROW()-4&gt;INDEX($U$4:$U$11,$AC$2+1,1)-INDEX($U$4:$U$11,$AC$2,1),ROW()-4&gt;$AD$2),NA(),COUNTIF(INDEX($CB$5:$CH$201,INDEX($U$4:$U$11,1,1),$AC$2):INDEX($CB$5:$CH$201,INDEX($U$4:$U$11,1,1)+ROW()-5,$AC$2),EC$3))</f>
        <v>#N/A</v>
      </c>
      <c r="EE22" t="e">
        <f>IF(OR(ROW()-4&gt;INDEX($U$4:$U$11,$AC$2+1,1)-INDEX($U$4:$U$11,$AC$2,1),ROW()-4&gt;$AD$2),NA(),COUNTIF(INDEX($CB$5:$CH$201,INDEX($U$4:$U$11,1,1),$AC$2):INDEX($CB$5:$CH$201,INDEX($U$4:$U$11,1,1)+ROW()-5,$AC$2),EE$3))</f>
        <v>#N/A</v>
      </c>
      <c r="EF22" t="e">
        <f>IF(OR(ROW()-4&gt;INDEX($U$4:$U$11,$AC$2+1,1)-INDEX($U$4:$U$11,$AC$2,1),ROW()-4&gt;$AD$2),NA(),COUNTIF(INDEX($CB$5:$CH$201,INDEX($U$4:$U$11,1,1),$AC$2):INDEX($CB$5:$CH$201,INDEX($U$4:$U$11,1,1)+ROW()-5,$AC$2),EF$3))</f>
        <v>#N/A</v>
      </c>
      <c r="EG22" t="e">
        <f>IF(OR(ROW()-4&gt;INDEX($U$4:$U$11,$AC$2+1,1)-INDEX($U$4:$U$11,$AC$2,1),ROW()-4&gt;$AD$2),NA(),COUNTIF(INDEX($CB$5:$CH$201,INDEX($U$4:$U$11,1,1),$AC$2):INDEX($CB$5:$CH$201,INDEX($U$4:$U$11,1,1)+ROW()-5,$AC$2),EG$3))</f>
        <v>#N/A</v>
      </c>
      <c r="EH22" t="e">
        <f>IF(OR(ROW()-4&gt;INDEX($U$4:$U$11,$AC$2+1,1)-INDEX($U$4:$U$11,$AC$2,1),ROW()-4&gt;$AD$2),NA(),COUNTIF(INDEX($CB$5:$CH$201,INDEX($U$4:$U$11,1,1),$AC$2):INDEX($CB$5:$CH$201,INDEX($U$4:$U$11,1,1)+ROW()-5,$AC$2),EH$3))</f>
        <v>#N/A</v>
      </c>
      <c r="EI22" t="e">
        <f>IF(OR(ROW()-4&gt;INDEX($U$4:$U$11,$AC$2+1,1)-INDEX($U$4:$U$11,$AC$2,1),ROW()-4&gt;$AD$2),NA(),COUNTIF(INDEX($CB$5:$CH$201,INDEX($U$4:$U$11,1,1),$AC$2):INDEX($CB$5:$CH$201,INDEX($U$4:$U$11,1,1)+ROW()-5,$AC$2),EI$3))</f>
        <v>#N/A</v>
      </c>
      <c r="EJ22" t="e">
        <f>IF(OR(ROW()-4&gt;INDEX($U$4:$U$11,$AC$2+1,1)-INDEX($U$4:$U$11,$AC$2,1),ROW()-4&gt;$AD$2),NA(),COUNTIF(INDEX($CB$5:$CH$201,INDEX($U$4:$U$11,1,1),$AC$2):INDEX($CB$5:$CH$201,INDEX($U$4:$U$11,1,1)+ROW()-5,$AC$2),EJ$3))</f>
        <v>#N/A</v>
      </c>
      <c r="EK22" t="e">
        <f>IF(OR(ROW()-4&gt;INDEX($U$4:$U$11,$AC$2+1,1)-INDEX($U$4:$U$11,$AC$2,1),ROW()-4&gt;$AD$2),NA(),COUNTIF(INDEX($CB$5:$CH$201,INDEX($U$4:$U$11,1,1),$AC$2):INDEX($CB$5:$CH$201,INDEX($U$4:$U$11,1,1)+ROW()-5,$AC$2),EK$3))</f>
        <v>#N/A</v>
      </c>
      <c r="EL22" t="e">
        <f>IF(OR(ROW()-4&gt;INDEX($U$4:$U$11,$AC$2+1,1)-INDEX($U$4:$U$11,$AC$2,1),ROW()-4&gt;$AD$2),NA(),COUNTIF(INDEX($CB$5:$CH$201,INDEX($U$4:$U$11,1,1),$AC$2):INDEX($CB$5:$CH$201,INDEX($U$4:$U$11,1,1)+ROW()-5,$AC$2),EL$3))</f>
        <v>#N/A</v>
      </c>
      <c r="EN22" t="e">
        <f>IF(OR(ROW()-4&gt;INDEX($U$4:$U$11,$AC$2+1,1)-INDEX($U$4:$U$11,$AC$2,1),ROW()-4&gt;$AD$2),NA(),COUNTIF(INDEX($CJ$5:$CP$201,INDEX($U$4:$U$11,1,1),$AC$2):INDEX($CJ$5:$CP$201,INDEX($U$4:$U$11,1,1)+ROW()-5,$AC$2),EN$3))</f>
        <v>#N/A</v>
      </c>
      <c r="EO22" t="e">
        <f>IF(OR(ROW()-4&gt;INDEX($U$4:$U$11,$AC$2+1,1)-INDEX($U$4:$U$11,$AC$2,1),ROW()-4&gt;$AD$2),NA(),COUNTIF(INDEX($CJ$5:$CP$201,INDEX($U$4:$U$11,1,1),$AC$2):INDEX($CJ$5:$CP$201,INDEX($U$4:$U$11,1,1)+ROW()-5,$AC$2),EO$3))</f>
        <v>#N/A</v>
      </c>
      <c r="EQ22" t="e">
        <f>IF(OR(ROW()-4&gt;INDEX($U$4:$U$11,$AC$2+1,1)-INDEX($U$4:$U$11,$AC$2,1),ROW()-4&gt;$AD$2),NA(),COUNTIF(INDEX($CJ$5:$CP$201,INDEX($U$4:$U$11,1,1),$AC$2):INDEX($CJ$5:$CP$201,INDEX($U$4:$U$11,1,1)+ROW()-5,$AC$2),EQ$3))</f>
        <v>#N/A</v>
      </c>
      <c r="ER22" t="e">
        <f>IF(OR(ROW()-4&gt;INDEX($U$4:$U$11,$AC$2+1,1)-INDEX($U$4:$U$11,$AC$2,1),ROW()-4&gt;$AD$2),NA(),COUNTIF(INDEX($CJ$5:$CP$201,INDEX($U$4:$U$11,1,1),$AC$2):INDEX($CJ$5:$CP$201,INDEX($U$4:$U$11,1,1)+ROW()-5,$AC$2),ER$3))</f>
        <v>#N/A</v>
      </c>
      <c r="ET22" t="e">
        <f>IF(OR(ROW()-4&gt;INDEX($U$4:$U$11,$AC$2+1,1)-INDEX($U$4:$U$11,$AC$2,1),ROW()-4&gt;$AD$2),NA(),COUNTIF(INDEX($CR$5:$CX$201,INDEX($U$4:$U$11,1,1),$AC$2):INDEX($CR$5:$CX$201,INDEX($U$4:$U$11,1,1)+ROW()-5,$AC$2),ET$3))</f>
        <v>#N/A</v>
      </c>
      <c r="EU22" t="e">
        <f>IF(OR(ROW()-4&gt;INDEX($U$4:$U$11,$AC$2+1,1)-INDEX($U$4:$U$11,$AC$2,1),ROW()-4&gt;$AD$2),NA(),COUNTIF(INDEX($CR$5:$CX$201,INDEX($U$4:$U$11,1,1),$AC$2):INDEX($CR$5:$CX$201,INDEX($U$4:$U$11,1,1)+ROW()-5,$AC$2),EU$3))</f>
        <v>#N/A</v>
      </c>
      <c r="EV22" t="e">
        <f>IF(OR(ROW()-4&gt;INDEX($U$4:$U$11,$AC$2+1,1)-INDEX($U$4:$U$11,$AC$2,1),ROW()-4&gt;$AD$2),NA(),COUNTIF(INDEX($CR$5:$CX$201,INDEX($U$4:$U$11,1,1),$AC$2):INDEX($CR$5:$CX$201,INDEX($U$4:$U$11,1,1)+ROW()-5,$AC$2),EV$3))</f>
        <v>#N/A</v>
      </c>
      <c r="EW22" t="e">
        <f>IF(OR(ROW()-4&gt;INDEX($U$4:$U$11,$AC$2+1,1)-INDEX($U$4:$U$11,$AC$2,1),ROW()-4&gt;$AD$2),NA(),COUNTIF(INDEX($CR$5:$CX$201,INDEX($U$4:$U$11,1,1),$AC$2):INDEX($CR$5:$CX$201,INDEX($U$4:$U$11,1,1)+ROW()-5,$AC$2),EW$3))</f>
        <v>#N/A</v>
      </c>
      <c r="EX22" t="e">
        <f>IF(OR(ROW()-4&gt;INDEX($U$4:$U$11,$AC$2+1,1)-INDEX($U$4:$U$11,$AC$2,1),ROW()-4&gt;$AD$2),NA(),COUNTIF(INDEX($CR$5:$CX$201,INDEX($U$4:$U$11,1,1),$AC$2):INDEX($CR$5:$CX$201,INDEX($U$4:$U$11,1,1)+ROW()-5,$AC$2),EX$3))</f>
        <v>#N/A</v>
      </c>
      <c r="EY22" t="e">
        <f>IF(OR(ROW()-4&gt;INDEX($U$4:$U$11,$AC$2+1,1)-INDEX($U$4:$U$11,$AC$2,1),ROW()-4&gt;$AD$2),NA(),COUNTIF(INDEX($CR$5:$CX$201,INDEX($U$4:$U$11,1,1),$AC$2):INDEX($CR$5:$CX$201,INDEX($U$4:$U$11,1,1)+ROW()-5,$AC$2),EY$3))</f>
        <v>#N/A</v>
      </c>
      <c r="EZ22" t="e">
        <f>IF(OR(ROW()-4&gt;INDEX($U$4:$U$11,$AC$2+1,1)-INDEX($U$4:$U$11,$AC$2,1),ROW()-4&gt;$AD$2),NA(),COUNTIF(INDEX($CR$5:$CX$201,INDEX($U$4:$U$11,1,1),$AC$2):INDEX($CR$5:$CX$201,INDEX($U$4:$U$11,1,1)+ROW()-5,$AC$2),EZ$3))</f>
        <v>#N/A</v>
      </c>
      <c r="FA22" t="e">
        <f>IF(OR(ROW()-4&gt;INDEX($U$4:$U$11,$AC$2+1,1)-INDEX($U$4:$U$11,$AC$2,1),ROW()-4&gt;$AD$2),NA(),COUNTIF(INDEX($CR$5:$CX$201,INDEX($U$4:$U$11,1,1),$AC$2):INDEX($CR$5:$CX$201,INDEX($U$4:$U$11,1,1)+ROW()-5,$AC$2),FA$3))</f>
        <v>#N/A</v>
      </c>
      <c r="FC22" t="e">
        <f>IF(OR(ROW()-4&gt;INDEX($U$4:$U$11,$AC$2+1,1)-INDEX($U$4:$U$11,$AC$2,1),ROW()-4&gt;$AD$2),NA(),COUNTIF(INDEX($CR$5:$CX$201,INDEX($U$4:$U$11,1,1),$AC$2):INDEX($CR$5:$CX$201,INDEX($U$4:$U$11,1,1)+ROW()-5,$AC$2),FC$3))</f>
        <v>#N/A</v>
      </c>
      <c r="FD22" t="e">
        <f>IF(OR(ROW()-4&gt;INDEX($U$4:$U$11,$AC$2+1,1)-INDEX($U$4:$U$11,$AC$2,1),ROW()-4&gt;$AD$2),NA(),COUNTIF(INDEX($CR$5:$CX$201,INDEX($U$4:$U$11,1,1),$AC$2):INDEX($CR$5:$CX$201,INDEX($U$4:$U$11,1,1)+ROW()-5,$AC$2),FD$3))</f>
        <v>#N/A</v>
      </c>
      <c r="FE22" t="e">
        <f>IF(OR(ROW()-4&gt;INDEX($U$4:$U$11,$AC$2+1,1)-INDEX($U$4:$U$11,$AC$2,1),ROW()-4&gt;$AD$2),NA(),COUNTIF(INDEX($CR$5:$CX$201,INDEX($U$4:$U$11,1,1),$AC$2):INDEX($CR$5:$CX$201,INDEX($U$4:$U$11,1,1)+ROW()-5,$AC$2),FE$3))</f>
        <v>#N/A</v>
      </c>
      <c r="FF22" t="e">
        <f>IF(OR(ROW()-4&gt;INDEX($U$4:$U$11,$AC$2+1,1)-INDEX($U$4:$U$11,$AC$2,1),ROW()-4&gt;$AD$2),NA(),COUNTIF(INDEX($CR$5:$CX$201,INDEX($U$4:$U$11,1,1),$AC$2):INDEX($CR$5:$CX$201,INDEX($U$4:$U$11,1,1)+ROW()-5,$AC$2),FF$3))</f>
        <v>#N/A</v>
      </c>
      <c r="FG22" t="e">
        <f>IF(OR(ROW()-4&gt;INDEX($U$4:$U$11,$AC$2+1,1)-INDEX($U$4:$U$11,$AC$2,1),ROW()-4&gt;$AD$2),NA(),COUNTIF(INDEX($CR$5:$CX$201,INDEX($U$4:$U$11,1,1),$AC$2):INDEX($CR$5:$CX$201,INDEX($U$4:$U$11,1,1)+ROW()-5,$AC$2),FG$3))</f>
        <v>#N/A</v>
      </c>
      <c r="FH22" t="e">
        <f>IF(OR(ROW()-4&gt;INDEX($U$4:$U$11,$AC$2+1,1)-INDEX($U$4:$U$11,$AC$2,1),ROW()-4&gt;$AD$2),NA(),COUNTIF(INDEX($CR$5:$CX$201,INDEX($U$4:$U$11,1,1),$AC$2):INDEX($CR$5:$CX$201,INDEX($U$4:$U$11,1,1)+ROW()-5,$AC$2),FH$3))</f>
        <v>#N/A</v>
      </c>
      <c r="FI22" t="e">
        <f>IF(OR(ROW()-4&gt;INDEX($U$4:$U$11,$AC$2+1,1)-INDEX($U$4:$U$11,$AC$2,1),ROW()-4&gt;$AD$2),NA(),COUNTIF(INDEX($CR$5:$CX$201,INDEX($U$4:$U$11,1,1),$AC$2):INDEX($CR$5:$CX$201,INDEX($U$4:$U$11,1,1)+ROW()-5,$AC$2),FI$3))</f>
        <v>#N/A</v>
      </c>
      <c r="FJ22" t="e">
        <f>IF(OR(ROW()-4&gt;INDEX($U$4:$U$11,$AC$2+1,1)-INDEX($U$4:$U$11,$AC$2,1),ROW()-4&gt;$AD$2),NA(),COUNTIF(INDEX($CR$5:$CX$201,INDEX($U$4:$U$11,1,1),$AC$2):INDEX($CR$5:$CX$201,INDEX($U$4:$U$11,1,1)+ROW()-5,$AC$2),FJ$3))</f>
        <v>#N/A</v>
      </c>
      <c r="FL22" t="e">
        <f>IF(OR(ROW()-4&gt;INDEX($U$4:$U$11,$AC$2+1,1)-INDEX($U$4:$U$11,$AC$2,1),ROW()-4&gt;$AD$2),NA(),COUNTIF(INDEX($CZ$5:$DF$201,INDEX($U$4:$U$11,1,1),$AC$2):INDEX($CZ$5:$DF$201,INDEX($U$4:$U$11,1,1)+ROW()-5,$AC$2),FL$3))</f>
        <v>#N/A</v>
      </c>
      <c r="FM22" t="e">
        <f>IF(OR(ROW()-4&gt;INDEX($U$4:$U$11,$AC$2+1,1)-INDEX($U$4:$U$11,$AC$2,1),ROW()-4&gt;$AD$2),NA(),COUNTIF(INDEX($CZ$5:$DF$201,INDEX($U$4:$U$11,1,1),$AC$2):INDEX($CZ$5:$DF$201,INDEX($U$4:$U$11,1,1)+ROW()-5,$AC$2),FM$3))</f>
        <v>#N/A</v>
      </c>
      <c r="FN22" t="e">
        <f>IF(OR(ROW()-4&gt;INDEX($U$4:$U$11,$AC$2+1,1)-INDEX($U$4:$U$11,$AC$2,1),ROW()-4&gt;$AD$2),NA(),COUNTIF(INDEX($CZ$5:$DF$201,INDEX($U$4:$U$11,1,1),$AC$2):INDEX($CZ$5:$DF$201,INDEX($U$4:$U$11,1,1)+ROW()-5,$AC$2),FN$3))</f>
        <v>#N/A</v>
      </c>
      <c r="FO22" t="e">
        <f>IF(OR(ROW()-4&gt;INDEX($U$4:$U$11,$AC$2+1,1)-INDEX($U$4:$U$11,$AC$2,1),ROW()-4&gt;$AD$2),NA(),COUNTIF(INDEX($CZ$5:$DF$201,INDEX($U$4:$U$11,1,1),$AC$2):INDEX($CZ$5:$DF$201,INDEX($U$4:$U$11,1,1)+ROW()-5,$AC$2),FO$3))</f>
        <v>#N/A</v>
      </c>
      <c r="FP22" t="e">
        <f>IF(OR(ROW()-4&gt;INDEX($U$4:$U$11,$AC$2+1,1)-INDEX($U$4:$U$11,$AC$2,1),ROW()-4&gt;$AD$2),NA(),COUNTIF(INDEX($CZ$5:$DF$201,INDEX($U$4:$U$11,1,1),$AC$2):INDEX($CZ$5:$DF$201,INDEX($U$4:$U$11,1,1)+ROW()-5,$AC$2),FP$3))</f>
        <v>#N/A</v>
      </c>
      <c r="FQ22" t="e">
        <f>IF(OR(ROW()-4&gt;INDEX($U$4:$U$11,$AC$2+1,1)-INDEX($U$4:$U$11,$AC$2,1),ROW()-4&gt;$AD$2),NA(),COUNTIF(INDEX($CZ$5:$DF$201,INDEX($U$4:$U$11,1,1),$AC$2):INDEX($CZ$5:$DF$201,INDEX($U$4:$U$11,1,1)+ROW()-5,$AC$2),FQ$3))</f>
        <v>#N/A</v>
      </c>
      <c r="FR22" t="e">
        <f>IF(OR(ROW()-4&gt;INDEX($U$4:$U$11,$AC$2+1,1)-INDEX($U$4:$U$11,$AC$2,1),ROW()-4&gt;$AD$2),NA(),COUNTIF(INDEX($CZ$5:$DF$201,INDEX($U$4:$U$11,1,1),$AC$2):INDEX($CZ$5:$DF$201,INDEX($U$4:$U$11,1,1)+ROW()-5,$AC$2),FR$3))</f>
        <v>#N/A</v>
      </c>
      <c r="FS22" t="e">
        <f>IF(OR(ROW()-4&gt;INDEX($U$4:$U$11,$AC$2+1,1)-INDEX($U$4:$U$11,$AC$2,1),ROW()-4&gt;$AD$2),NA(),COUNTIF(INDEX($CZ$5:$DF$201,INDEX($U$4:$U$11,1,1),$AC$2):INDEX($CZ$5:$DF$201,INDEX($U$4:$U$11,1,1)+ROW()-5,$AC$2),FS$3))</f>
        <v>#N/A</v>
      </c>
      <c r="FT22" t="e">
        <f>IF(OR(ROW()-4&gt;INDEX($U$4:$U$11,$AC$2+1,1)-INDEX($U$4:$U$11,$AC$2,1),ROW()-4&gt;$AD$2),NA(),COUNTIF(INDEX($CZ$5:$DF$201,INDEX($U$4:$U$11,1,1),$AC$2):INDEX($CZ$5:$DF$201,INDEX($U$4:$U$11,1,1)+ROW()-5,$AC$2),FT$3))</f>
        <v>#N/A</v>
      </c>
      <c r="FU22" t="e">
        <f>IF(OR(ROW()-4&gt;INDEX($U$4:$U$11,$AC$2+1,1)-INDEX($U$4:$U$11,$AC$2,1),ROW()-4&gt;$AD$2),NA(),COUNTIF(INDEX($CZ$5:$DF$201,INDEX($U$4:$U$11,1,1),$AC$2):INDEX($CZ$5:$DF$201,INDEX($U$4:$U$11,1,1)+ROW()-5,$AC$2),FU$3))</f>
        <v>#N/A</v>
      </c>
      <c r="FW22" t="e">
        <f>IF(OR(ROW()-4&gt;INDEX($U$4:$U$11,$AC$2+1,1)-INDEX($U$4:$U$11,$AC$2,1),ROW()-4&gt;$AD$2),NA(),COUNTIF(INDEX($CZ$5:$DF$201,INDEX($U$4:$U$11,1,1),$AC$2):INDEX($CZ$5:$DF$201,INDEX($U$4:$U$11,1,1)+ROW()-5,$AC$2),FW$3))</f>
        <v>#N/A</v>
      </c>
      <c r="FX22" t="e">
        <f>IF(OR(ROW()-4&gt;INDEX($U$4:$U$11,$AC$2+1,1)-INDEX($U$4:$U$11,$AC$2,1),ROW()-4&gt;$AD$2),NA(),COUNTIF(INDEX($CZ$5:$DF$201,INDEX($U$4:$U$11,1,1),$AC$2):INDEX($CZ$5:$DF$201,INDEX($U$4:$U$11,1,1)+ROW()-5,$AC$2),FX$3))</f>
        <v>#N/A</v>
      </c>
      <c r="FY22" t="e">
        <f>IF(OR(ROW()-4&gt;INDEX($U$4:$U$11,$AC$2+1,1)-INDEX($U$4:$U$11,$AC$2,1),ROW()-4&gt;$AD$2),NA(),COUNTIF(INDEX($CZ$5:$DF$201,INDEX($U$4:$U$11,1,1),$AC$2):INDEX($CZ$5:$DF$201,INDEX($U$4:$U$11,1,1)+ROW()-5,$AC$2),FY$3))</f>
        <v>#N/A</v>
      </c>
      <c r="FZ22" t="e">
        <f>IF(OR(ROW()-4&gt;INDEX($U$4:$U$11,$AC$2+1,1)-INDEX($U$4:$U$11,$AC$2,1),ROW()-4&gt;$AD$2),NA(),COUNTIF(INDEX($CZ$5:$DF$201,INDEX($U$4:$U$11,1,1),$AC$2):INDEX($CZ$5:$DF$201,INDEX($U$4:$U$11,1,1)+ROW()-5,$AC$2),FZ$3))</f>
        <v>#N/A</v>
      </c>
      <c r="GA22" t="e">
        <f>IF(OR(ROW()-4&gt;INDEX($U$4:$U$11,$AC$2+1,1)-INDEX($U$4:$U$11,$AC$2,1),ROW()-4&gt;$AD$2),NA(),COUNTIF(INDEX($CZ$5:$DF$201,INDEX($U$4:$U$11,1,1),$AC$2):INDEX($CZ$5:$DF$201,INDEX($U$4:$U$11,1,1)+ROW()-5,$AC$2),GA$3))</f>
        <v>#N/A</v>
      </c>
      <c r="GB22" t="e">
        <f>IF(OR(ROW()-4&gt;INDEX($U$4:$U$11,$AC$2+1,1)-INDEX($U$4:$U$11,$AC$2,1),ROW()-4&gt;$AD$2),NA(),COUNTIF(INDEX($CZ$5:$DF$201,INDEX($U$4:$U$11,1,1),$AC$2):INDEX($CZ$5:$DF$201,INDEX($U$4:$U$11,1,1)+ROW()-5,$AC$2),GB$3))</f>
        <v>#N/A</v>
      </c>
      <c r="GC22" t="e">
        <f>IF(OR(ROW()-4&gt;INDEX($U$4:$U$11,$AC$2+1,1)-INDEX($U$4:$U$11,$AC$2,1),ROW()-4&gt;$AD$2),NA(),COUNTIF(INDEX($CZ$5:$DF$201,INDEX($U$4:$U$11,1,1),$AC$2):INDEX($CZ$5:$DF$201,INDEX($U$4:$U$11,1,1)+ROW()-5,$AC$2),GC$3))</f>
        <v>#N/A</v>
      </c>
      <c r="GD22" t="e">
        <f>IF(OR(ROW()-4&gt;INDEX($U$4:$U$11,$AC$2+1,1)-INDEX($U$4:$U$11,$AC$2,1),ROW()-4&gt;$AD$2),NA(),COUNTIF(INDEX($CZ$5:$DF$201,INDEX($U$4:$U$11,1,1),$AC$2):INDEX($CZ$5:$DF$201,INDEX($U$4:$U$11,1,1)+ROW()-5,$AC$2),GD$3))</f>
        <v>#N/A</v>
      </c>
      <c r="GE22" t="e">
        <f>IF(OR(ROW()-4&gt;INDEX($U$4:$U$11,$AC$2+1,1)-INDEX($U$4:$U$11,$AC$2,1),ROW()-4&gt;$AD$2),NA(),COUNTIF(INDEX($CZ$5:$DF$201,INDEX($U$4:$U$11,1,1),$AC$2):INDEX($CZ$5:$DF$201,INDEX($U$4:$U$11,1,1)+ROW()-5,$AC$2),GE$3))</f>
        <v>#N/A</v>
      </c>
      <c r="GF22" t="e">
        <f>IF(OR(ROW()-4&gt;INDEX($U$4:$U$11,$AC$2+1,1)-INDEX($U$4:$U$11,$AC$2,1),ROW()-4&gt;$AD$2),NA(),COUNTIF(INDEX($CZ$5:$DF$201,INDEX($U$4:$U$11,1,1),$AC$2):INDEX($CZ$5:$DF$201,INDEX($U$4:$U$11,1,1)+ROW()-5,$AC$2),GF$3))</f>
        <v>#N/A</v>
      </c>
      <c r="GK22" t="s">
        <v>41</v>
      </c>
      <c r="HE22" t="s">
        <v>55</v>
      </c>
      <c r="HF22">
        <f>INDEX($FD$5:$FD$40,$AD$2)</f>
        <v>0</v>
      </c>
      <c r="HG22">
        <f>INDEX($FD$4:$FD$40,$AD$2+1)-INDEX($FD$4:$FD$40,$AD$2)</f>
        <v>0</v>
      </c>
      <c r="HH22" s="59">
        <f>INDEX($FD$55:$FD$90,$AD$2)</f>
        <v>0</v>
      </c>
      <c r="HI22" s="59">
        <f t="shared" si="131"/>
        <v>0</v>
      </c>
      <c r="HM22" s="67">
        <f>INDEX($FW$5:$FW$40,$AD$2)</f>
        <v>0</v>
      </c>
      <c r="HN22" s="67">
        <f>INDEX($FX$5:$FX$40,$AD$2)</f>
        <v>1</v>
      </c>
      <c r="HO22" s="67">
        <f>INDEX($FY$5:$FY$40,$AD$2)</f>
        <v>1</v>
      </c>
      <c r="HP22" s="67">
        <f>INDEX($FZ$5:$FZ$40,$AD$2)</f>
        <v>0</v>
      </c>
    </row>
    <row r="23" spans="1:224" x14ac:dyDescent="0.45">
      <c r="A23" t="str">
        <f>データの貼付!A21</f>
        <v>FENG Tianwei</v>
      </c>
      <c r="B23">
        <f>データの貼付!B21</f>
        <v>5.4491087962962965E-3</v>
      </c>
      <c r="C23">
        <f>データの貼付!C21</f>
        <v>5.3287037037037039E-5</v>
      </c>
      <c r="D23">
        <f>データの貼付!D21</f>
        <v>6.9444444444444447E-4</v>
      </c>
      <c r="E23" t="str">
        <f>データの貼付!F21</f>
        <v>KIHARA Miyuu</v>
      </c>
      <c r="F23">
        <f>データの貼付!E21</f>
        <v>0</v>
      </c>
      <c r="G23" t="str">
        <f>データの貼付!G21</f>
        <v>#02</v>
      </c>
      <c r="H23" t="str">
        <f>データの貼付!H21</f>
        <v>FENG Tianwei</v>
      </c>
      <c r="I23" t="str">
        <f>データの貼付!I21</f>
        <v>Side</v>
      </c>
      <c r="J23" t="str">
        <f>データの貼付!J21</f>
        <v>B</v>
      </c>
      <c r="K23" t="str">
        <f>データの貼付!K21</f>
        <v>BM</v>
      </c>
      <c r="L23" t="str">
        <f>データの貼付!L21</f>
        <v>B</v>
      </c>
      <c r="M23" t="str">
        <f>データの貼付!M21</f>
        <v>ドライブ</v>
      </c>
      <c r="N23" t="str">
        <f>データの貼付!N21</f>
        <v>BM</v>
      </c>
      <c r="R23">
        <f t="shared" si="59"/>
        <v>0</v>
      </c>
      <c r="S23">
        <f>SUM(R$4:R23)</f>
        <v>2</v>
      </c>
      <c r="T23" t="str">
        <f t="shared" si="60"/>
        <v/>
      </c>
      <c r="W23" t="str">
        <f t="shared" si="57"/>
        <v>KIHARA Miyuu_FENG Tianwei</v>
      </c>
      <c r="X23" t="str">
        <f t="shared" si="58"/>
        <v>KIHARA Miyuu_#02</v>
      </c>
      <c r="Y23" s="38">
        <v>3</v>
      </c>
      <c r="Z23" s="38">
        <f>COUNTIF(INDEX($E$4:$E$200,INDEX($U$4:$U$11,$Y23)):INDEX($E$4:$E$200,INDEX($U$4:$U$11,$Y23+1)-1),AC$3)</f>
        <v>11</v>
      </c>
      <c r="AA23" s="38">
        <f>COUNTIF(INDEX($E$4:$E$200,INDEX($U$4:$U$11,$Y23)):INDEX($E$4:$E$200,INDEX($U$4:$U$11,$Y23+1)-1),AD$3)</f>
        <v>5</v>
      </c>
      <c r="AC23" s="8" t="e">
        <f>IF(OR(ROW()-4&gt;INDEX($U$4:$U$11,AC$2+1)-INDEX($U$4:$U$11,AC$2),ROW()-4&gt;AD$2),NA(),COUNTIF(INDEX($W$4:$W$200,INDEX($U$4:$U$11,AC$2)):INDEX($W$4:$W$200,INDEX($U$4:$U$11,AC$2)+ROW()-5),AC$3&amp;"_"&amp;AC$3)/(COUNTIF(INDEX($W$4:$W$200,INDEX($U$4:$U$11,AC$2)):INDEX($W$4:$W$200,INDEX($U$4:$U$11,AC$2)+ROW()-5),AC$3&amp;"_"&amp;AC$3)+COUNTIF(INDEX($W$4:$W$200,INDEX($U$4:$U$11,AC$2)):INDEX($W$4:$W$200,INDEX($U$4:$U$11,AC$2)+ROW()-5),AD$3&amp;"_"&amp;AC$3)))</f>
        <v>#N/A</v>
      </c>
      <c r="AD23" s="8" t="e">
        <f>IF(OR(ROW()-4&gt;INDEX($U$4:$U$11,AC$2+1)-INDEX($U$4:$U$11,AC$2),ROW()-4&gt;AD$2),NA(),COUNTIF(INDEX($W$4:$W$200,INDEX($U$4:$U$11,AC$2)):INDEX($W$4:$W$200,INDEX($U$4:$U$11,AC$2)+ROW()-5),AD$3&amp;"_"&amp;AD$3)/(COUNTIF(INDEX($W$4:$W$200,INDEX($U$4:$U$11,AC$2)):INDEX($W$4:$W$200,INDEX($U$4:$U$11,AC$2)+ROW()-5),AD$3&amp;"_"&amp;AD$3)+COUNTIF(INDEX($W$4:$W$200,INDEX($U$4:$U$11,AC$2)):INDEX($W$4:$W$200,INDEX($U$4:$U$11,AC$2)+ROW()-5),AC$3&amp;"_"&amp;AD$3)))</f>
        <v>#N/A</v>
      </c>
      <c r="AE23" s="10" t="e">
        <f>IF(OR(ROW()-4&gt;INDEX($U$4:$U$11,AC$2+1)-INDEX($U$4:$U$11,AC$2),ROW()-4&gt;AD$2),NA(),COUNTIF(INDEX($W$4:$W$200,INDEX($U$4:$U$11,AC$2)):INDEX($W$4:$W$200,INDEX($U$4:$U$11,AC$2)+ROW()-5),AC$3&amp;"_"&amp;AD$3)/(COUNTIF(INDEX($W$4:$W$200,INDEX($U$4:$U$11,AC$2)):INDEX($W$4:$W$200,INDEX($U$4:$U$11,AC$2)+ROW()-5),AC$3&amp;"_"&amp;AD$3)+COUNTIF(INDEX($W$4:$W$200,INDEX($U$4:$U$11,AC$2)):INDEX($W$4:$W$200,INDEX($U$4:$U$11,AC$2)+ROW()-5),AD$3&amp;"_"&amp;AD$3)))</f>
        <v>#N/A</v>
      </c>
      <c r="AF23" s="10" t="e">
        <f>IF(OR(ROW()-4&gt;INDEX($U$4:$U$11,AC$2+1)-INDEX($U$4:$U$11,AC$2),ROW()-4&gt;AD$2),NA(),COUNTIF(INDEX($W$4:$W$200,INDEX($U$4:$U$11,AC$2)):INDEX($W$4:$W$200,INDEX($U$4:$U$11,AC$2)+ROW()-5),AD$3&amp;"_"&amp;AC$3)/(COUNTIF(INDEX($W$4:$W$200,INDEX($U$4:$U$11,AC$2)):INDEX($W$4:$W$200,INDEX($U$4:$U$11,AC$2)+ROW()-5),AD$3&amp;"_"&amp;AC$3)+COUNTIF(INDEX($W$4:$W$200,INDEX($U$4:$U$11,AC$2)):INDEX($W$4:$W$200,INDEX($U$4:$U$11,AC$2)+ROW()-5),AC$3&amp;"_"&amp;AC$3)))</f>
        <v>#N/A</v>
      </c>
      <c r="AG23" s="10" t="e">
        <f>IF(OR(ROW()-4&gt;INDEX($U$4:$U$11,AC$2+1)-INDEX($U$4:$U$11,AC$2),ROW()-4&gt;AD$2),NA(),COUNTIF(INDEX($X$4:$X$200,INDEX($U$4:$U$11,AC$2)):INDEX($X$4:$X$200,INDEX($U$4:$U$11,AC$2)+ROW()-5),AC$3&amp;"_#03")/(COUNTIF(INDEX($W$4:$W$200,INDEX($U$4:$U$11,AC$2)):INDEX($W$4:$W$200,INDEX($U$4:$U$11,AC$2)+ROW()-5),AC$3&amp;"_"&amp;AC$3)+COUNTIF(INDEX($W$4:$W$200,INDEX($U$4:$U$11,AC$2)):INDEX($W$4:$W$200,INDEX($U$4:$U$11,AC$2)+ROW()-5),AD$3&amp;"_"&amp;AC$3)))</f>
        <v>#N/A</v>
      </c>
      <c r="AH23" s="10" t="e">
        <f>IF(OR(ROW()-4&gt;INDEX($U$4:$U$11,AC$2+1)-INDEX($U$4:$U$11,AC$2),ROW()-4&gt;AD$2),NA(),COUNTIF(INDEX($X$4:$X$200,INDEX($U$4:$U$11,AC$2)):INDEX($X$4:$X$200,INDEX($U$4:$U$11,AC$2)+ROW()-5),AD$3&amp;"_#03")/(COUNTIF(INDEX($W$4:$W$200,INDEX($U$4:$U$11,AC$2)):INDEX($W$4:$W$200,INDEX($U$4:$U$11,AC$2)+ROW()-5),AD$3&amp;"_"&amp;AD$3)+COUNTIF(INDEX($W$4:$W$200,INDEX($U$4:$U$11,AC$2)):INDEX($W$4:$W$200,INDEX($U$4:$U$11,AC$2)+ROW()-5),AC$3&amp;"_"&amp;AD$3)))</f>
        <v>#N/A</v>
      </c>
      <c r="AI23" s="10" t="e">
        <f>IF(OR(ROW()-4&gt;INDEX($U$4:$U$11,AC$2+1)-INDEX($U$4:$U$11,AC$2),ROW()-4&gt;AD$2),NA(),(COUNTIF(INDEX($X$4:$X$200,INDEX($U$4:$U$11,AC$2)):INDEX($X$4:$X$200,INDEX($U$4:$U$11,AC$2)+ROW()-5),AC$3&amp;"_#03")-COUNTIF(INDEX($X$4:$X$200,INDEX($U$4:$U$11,AC$2)):INDEX($X$4:$X$200,INDEX($U$4:$U$11,AC$2)+ROW()-5),AD$3&amp;"_#02"))/(COUNTIF(INDEX($W$4:$W$200,INDEX($U$4:$U$11,AC$2)):INDEX($W$4:$W$200,INDEX($U$4:$U$11,AC$2)+ROW()-5),AC$3&amp;"_"&amp;AC$3)+COUNTIF(INDEX($W$4:$W$200,INDEX($U$4:$U$11,AC$2)):INDEX($W$4:$W$200,INDEX($U$4:$U$11,AC$2)+ROW()-5),AD$3&amp;"_"&amp;AC$3)))</f>
        <v>#N/A</v>
      </c>
      <c r="AJ23" s="10" t="e">
        <f>IF(OR(ROW()-4&gt;INDEX($U$4:$U$11,AC$2+1)-INDEX($U$4:$U$11,AC$2),ROW()-4&gt;AD$2),NA(),(COUNTIF(INDEX($X$4:$X$200,INDEX($U$4:$U$11,AC$2)):INDEX($X$4:$X$200,INDEX($U$4:$U$11,AC$2)+ROW()-5),AD$3&amp;"_#03")-COUNTIF(INDEX($X$4:$X$200,INDEX($U$4:$U$11,AC$2)):INDEX($X$4:$X$200,INDEX($U$4:$U$11,AC$2)+ROW()-5),AC$3&amp;"_#02"))/(COUNTIF(INDEX($W$4:$W$200,INDEX($U$4:$U$11,AC$2)):INDEX($W$4:$W$200,INDEX($U$4:$U$11,AC$2)+ROW()-5),AD$3&amp;"_"&amp;AD$3)+COUNTIF(INDEX($W$4:$W$200,INDEX($U$4:$U$11,AC$2)):INDEX($W$4:$W$200,INDEX($U$4:$U$11,AC$2)+ROW()-5),AC$3&amp;"_"&amp;AD$3)))</f>
        <v>#N/A</v>
      </c>
      <c r="AK23" s="10" t="e">
        <f>IF(OR(ROW()-4&gt;INDEX($U$4:$U$11,AC$2+1)-INDEX($U$4:$U$11,AC$2),ROW()-4&gt;AD$2),NA(),(COUNTIF(INDEX($X$4:$X$200,INDEX($U$4:$U$11,AC$2)):INDEX($X$4:$X$200,INDEX($U$4:$U$11,AC$2)+ROW()-5),AC$3&amp;"_#01")+COUNTIF(INDEX($X$4:$X$200,INDEX($U$4:$U$11,AC$2)):INDEX($X$4:$X$200,INDEX($U$4:$U$11,AC$2)+ROW()-5),AC$3&amp;"_#03"))/(COUNTIF(INDEX($W$4:$W$200,INDEX($U$4:$U$11,AC$2)):INDEX($W$4:$W$200,INDEX($U$4:$U$11,AC$2)+ROW()-5),AC$3&amp;"_"&amp;AC$3)+COUNTIF(INDEX($W$4:$W$200,INDEX($U$4:$U$11,AC$2)):INDEX($W$4:$W$200,INDEX($U$4:$U$11,AC$2)+ROW()-5),AD$3&amp;"_"&amp;AC$3)))</f>
        <v>#N/A</v>
      </c>
      <c r="AL23" s="10" t="e">
        <f>IF(OR(ROW()-4&gt;INDEX($U$4:$U$11,AC$2+1)-INDEX($U$4:$U$11,AC$2),ROW()-4&gt;AD$2),NA(),(COUNTIF(INDEX($X$4:$X$200,INDEX($U$4:$U$11,AC$2)):INDEX($X$4:$X$200,INDEX($U$4:$U$11,AC$2)+ROW()-5),AD$3&amp;"_#01")+COUNTIF(INDEX($X$4:$X$200,INDEX($U$4:$U$11,AC$2)):INDEX($X$4:$X$200,INDEX($U$4:$U$11,AC$2)+ROW()-5),AD$3&amp;"_#03"))/(COUNTIF(INDEX($W$4:$W$200,INDEX($U$4:$U$11,AC$2)):INDEX($W$4:$W$200,INDEX($U$4:$U$11,AC$2)+ROW()-5),AD$3&amp;"_"&amp;AD$3)+COUNTIF(INDEX($W$4:$W$200,INDEX($U$4:$U$11,AC$2)):INDEX($W$4:$W$200,INDEX($U$4:$U$11,AC$2)+ROW()-5),AC$3&amp;"_"&amp;AD$3)))</f>
        <v>#N/A</v>
      </c>
      <c r="AN23" t="str">
        <f t="shared" si="125"/>
        <v/>
      </c>
      <c r="AO23" t="str">
        <f t="shared" si="111"/>
        <v/>
      </c>
      <c r="AP23" t="str">
        <f t="shared" si="112"/>
        <v/>
      </c>
      <c r="AQ23">
        <f t="shared" si="113"/>
        <v>67</v>
      </c>
      <c r="AR23" t="str">
        <f t="shared" si="114"/>
        <v/>
      </c>
      <c r="AS23" t="e">
        <f t="shared" si="115"/>
        <v>#VALUE!</v>
      </c>
      <c r="AT23" t="e">
        <f t="shared" si="116"/>
        <v>#VALUE!</v>
      </c>
      <c r="AV23" t="e">
        <f t="shared" si="117"/>
        <v>#VALUE!</v>
      </c>
      <c r="AW23" t="e">
        <f t="shared" si="63"/>
        <v>#VALUE!</v>
      </c>
      <c r="AX23" t="e">
        <f t="shared" si="64"/>
        <v>#VALUE!</v>
      </c>
      <c r="AY23" t="str">
        <f t="shared" si="65"/>
        <v>FENG Tianwei</v>
      </c>
      <c r="AZ23" t="e">
        <f t="shared" si="66"/>
        <v>#VALUE!</v>
      </c>
      <c r="BA23" t="e">
        <f t="shared" si="67"/>
        <v>#VALUE!</v>
      </c>
      <c r="BB23" t="e">
        <f t="shared" si="68"/>
        <v>#VALUE!</v>
      </c>
      <c r="BD23" t="e">
        <f t="shared" si="118"/>
        <v>#VALUE!</v>
      </c>
      <c r="BE23" t="e">
        <f t="shared" si="69"/>
        <v>#VALUE!</v>
      </c>
      <c r="BF23" t="e">
        <f t="shared" si="70"/>
        <v>#VALUE!</v>
      </c>
      <c r="BG23" t="str">
        <f t="shared" si="71"/>
        <v>FENG Tianwei</v>
      </c>
      <c r="BH23" t="e">
        <f t="shared" si="72"/>
        <v>#VALUE!</v>
      </c>
      <c r="BI23" t="e">
        <f t="shared" si="73"/>
        <v>#VALUE!</v>
      </c>
      <c r="BJ23" t="e">
        <f t="shared" si="74"/>
        <v>#VALUE!</v>
      </c>
      <c r="BL23" t="e">
        <f t="shared" si="119"/>
        <v>#VALUE!</v>
      </c>
      <c r="BM23" t="e">
        <f t="shared" si="75"/>
        <v>#VALUE!</v>
      </c>
      <c r="BN23" t="e">
        <f t="shared" si="76"/>
        <v>#VALUE!</v>
      </c>
      <c r="BO23" t="str">
        <f t="shared" si="77"/>
        <v>FENG Tianwei_Side</v>
      </c>
      <c r="BP23" t="e">
        <f t="shared" si="78"/>
        <v>#VALUE!</v>
      </c>
      <c r="BQ23" t="e">
        <f t="shared" si="79"/>
        <v>#VALUE!</v>
      </c>
      <c r="BR23" t="e">
        <f t="shared" si="80"/>
        <v>#VALUE!</v>
      </c>
      <c r="BT23" t="e">
        <f t="shared" si="120"/>
        <v>#VALUE!</v>
      </c>
      <c r="BU23" t="e">
        <f t="shared" si="81"/>
        <v>#VALUE!</v>
      </c>
      <c r="BV23" t="e">
        <f t="shared" si="82"/>
        <v>#VALUE!</v>
      </c>
      <c r="BW23" t="str">
        <f t="shared" si="83"/>
        <v>FENG Tianwei_B</v>
      </c>
      <c r="BX23" t="e">
        <f t="shared" si="84"/>
        <v>#VALUE!</v>
      </c>
      <c r="BY23" t="e">
        <f t="shared" si="85"/>
        <v>#VALUE!</v>
      </c>
      <c r="BZ23" t="e">
        <f t="shared" si="86"/>
        <v>#VALUE!</v>
      </c>
      <c r="CB23" t="e">
        <f t="shared" si="121"/>
        <v>#VALUE!</v>
      </c>
      <c r="CC23" t="e">
        <f t="shared" si="87"/>
        <v>#VALUE!</v>
      </c>
      <c r="CD23" t="e">
        <f t="shared" si="88"/>
        <v>#VALUE!</v>
      </c>
      <c r="CE23" t="str">
        <f t="shared" si="89"/>
        <v>FENG Tianwei_B</v>
      </c>
      <c r="CF23" t="e">
        <f t="shared" si="90"/>
        <v>#VALUE!</v>
      </c>
      <c r="CG23" t="e">
        <f t="shared" si="91"/>
        <v>#VALUE!</v>
      </c>
      <c r="CH23" t="e">
        <f t="shared" si="92"/>
        <v>#VALUE!</v>
      </c>
      <c r="CJ23" t="e">
        <f t="shared" si="122"/>
        <v>#VALUE!</v>
      </c>
      <c r="CK23" t="e">
        <f t="shared" si="93"/>
        <v>#VALUE!</v>
      </c>
      <c r="CL23" t="e">
        <f t="shared" si="94"/>
        <v>#VALUE!</v>
      </c>
      <c r="CM23" t="str">
        <f t="shared" si="95"/>
        <v>KIHARA Miyuu_B</v>
      </c>
      <c r="CN23" t="e">
        <f t="shared" si="96"/>
        <v>#VALUE!</v>
      </c>
      <c r="CO23" t="e">
        <f t="shared" si="97"/>
        <v>#VALUE!</v>
      </c>
      <c r="CP23" t="e">
        <f t="shared" si="98"/>
        <v>#VALUE!</v>
      </c>
      <c r="CR23" t="e">
        <f t="shared" si="123"/>
        <v>#VALUE!</v>
      </c>
      <c r="CS23" t="e">
        <f t="shared" si="99"/>
        <v>#VALUE!</v>
      </c>
      <c r="CT23" t="e">
        <f t="shared" si="100"/>
        <v>#VALUE!</v>
      </c>
      <c r="CU23" t="str">
        <f t="shared" si="101"/>
        <v>KIHARA Miyuu_ドライブ</v>
      </c>
      <c r="CV23" t="e">
        <f t="shared" si="102"/>
        <v>#VALUE!</v>
      </c>
      <c r="CW23" t="e">
        <f t="shared" si="103"/>
        <v>#VALUE!</v>
      </c>
      <c r="CX23" t="e">
        <f t="shared" si="104"/>
        <v>#VALUE!</v>
      </c>
      <c r="CZ23" t="e">
        <f t="shared" si="124"/>
        <v>#VALUE!</v>
      </c>
      <c r="DA23" t="e">
        <f t="shared" si="105"/>
        <v>#VALUE!</v>
      </c>
      <c r="DB23" t="e">
        <f t="shared" si="106"/>
        <v>#VALUE!</v>
      </c>
      <c r="DC23" t="str">
        <f t="shared" si="107"/>
        <v>KIHARA Miyuu_BM</v>
      </c>
      <c r="DD23" t="e">
        <f t="shared" si="108"/>
        <v>#VALUE!</v>
      </c>
      <c r="DE23" t="e">
        <f t="shared" si="109"/>
        <v>#VALUE!</v>
      </c>
      <c r="DF23" t="e">
        <f t="shared" si="110"/>
        <v>#VALUE!</v>
      </c>
      <c r="DH23" t="e">
        <f>IF(OR(ROW()-4&gt;INDEX($U$4:$U$11,$AC$2+1,1)-INDEX($U$4:$U$11,$AC$2,1),ROW()-4&gt;$AD$2),NA(),COUNTIF(INDEX($BL$5:$BR$50,INDEX($U$4:$U$11,1,1),$AC$2):INDEX($BL$5:$BR$50,INDEX($U$4:$U$11,1,1)+ROW()-5,$AC$2),DH$3))</f>
        <v>#N/A</v>
      </c>
      <c r="DI23" t="e">
        <f>IF(OR(ROW()-4&gt;INDEX($U$4:$U$11,$AC$2+1,1)-INDEX($U$4:$U$11,$AC$2,1),ROW()-4&gt;$AD$2),NA(),COUNTIF(INDEX($BL$5:$BR$50,INDEX($U$4:$U$11,1,1),$AC$2):INDEX($BL$5:$BR$50,INDEX($U$4:$U$11,1,1)+ROW()-5,$AC$2),DI$3))</f>
        <v>#N/A</v>
      </c>
      <c r="DJ23" t="e">
        <f>IF(OR(ROW()-4&gt;INDEX($U$4:$U$11,$AC$2+1,1)-INDEX($U$4:$U$11,$AC$2,1),ROW()-4&gt;$AD$2),NA(),COUNTIF(INDEX($BL$5:$BR$50,INDEX($U$4:$U$11,1,1),$AC$2):INDEX($BL$5:$BR$50,INDEX($U$4:$U$11,1,1)+ROW()-5,$AC$2),DJ$3))</f>
        <v>#N/A</v>
      </c>
      <c r="DL23" t="e">
        <f>IF(OR(ROW()-4&gt;INDEX($U$4:$U$11,$AC$2+1,1)-INDEX($U$4:$U$11,$AC$2,1),ROW()-4&gt;$AD$2),NA(),COUNTIF(INDEX($BL$5:$BR$50,INDEX($U$4:$U$11,1,1),$AC$2):INDEX($BL$5:$BR$50,INDEX($U$4:$U$11,1,1)+ROW()-5,$AC$2),DL$3))</f>
        <v>#N/A</v>
      </c>
      <c r="DM23" t="e">
        <f>IF(OR(ROW()-4&gt;INDEX($U$4:$U$11,$AC$2+1,1)-INDEX($U$4:$U$11,$AC$2,1),ROW()-4&gt;$AD$2),NA(),COUNTIF(INDEX($BL$5:$BR$50,INDEX($U$4:$U$11,1,1),$AC$2):INDEX($BL$5:$BR$50,INDEX($U$4:$U$11,1,1)+ROW()-5,$AC$2),DM$3))</f>
        <v>#N/A</v>
      </c>
      <c r="DN23" t="e">
        <f>IF(OR(ROW()-4&gt;INDEX($U$4:$U$11,$AC$2+1,1)-INDEX($U$4:$U$11,$AC$2,1),ROW()-4&gt;$AD$2),NA(),COUNTIF(INDEX($BL$5:$BR$50,INDEX($U$4:$U$11,1,1),$AC$2):INDEX($BL$5:$BR$50,INDEX($U$4:$U$11,1,1)+ROW()-5,$AC$2),DN$3))</f>
        <v>#N/A</v>
      </c>
      <c r="DP23" t="e">
        <f>IF(OR(ROW()-4&gt;INDEX($U$4:$U$11,$AC$2+1,1)-INDEX($U$4:$U$11,$AC$2,1),ROW()-4&gt;$AD$2),NA(),COUNTIF(INDEX($BT$5:$BZ$201,INDEX($U$4:$U$11,1,1),$AC$2):INDEX($BT$5:$BZ$201,INDEX($U$4:$U$11,1,1)+ROW()-5,$AC$2),DP$3))</f>
        <v>#N/A</v>
      </c>
      <c r="DQ23" t="e">
        <f>IF(OR(ROW()-4&gt;INDEX($U$4:$U$11,$AC$2+1,1)-INDEX($U$4:$U$11,$AC$2,1),ROW()-4&gt;$AD$2),NA(),COUNTIF(INDEX($BT$5:$BZ$201,INDEX($U$4:$U$11,1,1),$AC$2):INDEX($BT$5:$BZ$201,INDEX($U$4:$U$11,1,1)+ROW()-5,$AC$2),DQ$3))</f>
        <v>#N/A</v>
      </c>
      <c r="DS23" t="e">
        <f>IF(OR(ROW()-4&gt;INDEX($U$4:$U$11,$AC$2+1,1)-INDEX($U$4:$U$11,$AC$2,1),ROW()-4&gt;$AD$2),NA(),COUNTIF(INDEX($BT$5:$BZ$201,INDEX($U$4:$U$11,1,1),$AC$2):INDEX($BT$5:$BZ$201,INDEX($U$4:$U$11,1,1)+ROW()-5,$AC$2),DS$3))</f>
        <v>#N/A</v>
      </c>
      <c r="DT23" t="e">
        <f>IF(OR(ROW()-4&gt;INDEX($U$4:$U$11,$AC$2+1,1)-INDEX($U$4:$U$11,$AC$2,1),ROW()-4&gt;$AD$2),NA(),COUNTIF(INDEX($BT$5:$BZ$201,INDEX($U$4:$U$11,1,1),$AC$2):INDEX($BT$5:$BZ$201,INDEX($U$4:$U$11,1,1)+ROW()-5,$AC$2),DT$3))</f>
        <v>#N/A</v>
      </c>
      <c r="DV23" t="e">
        <f>IF(OR(ROW()-4&gt;INDEX($U$4:$U$11,$AC$2+1,1)-INDEX($U$4:$U$11,$AC$2,1),ROW()-4&gt;$AD$2),NA(),COUNTIF(INDEX($CB$5:$CH$201,INDEX($U$4:$U$11,1,1),$AC$2):INDEX($CB$5:$CH$201,INDEX($U$4:$U$11,1,1)+ROW()-5,$AC$2),DV$3))</f>
        <v>#N/A</v>
      </c>
      <c r="DW23" t="e">
        <f>IF(OR(ROW()-4&gt;INDEX($U$4:$U$11,$AC$2+1,1)-INDEX($U$4:$U$11,$AC$2,1),ROW()-4&gt;$AD$2),NA(),COUNTIF(INDEX($CB$5:$CH$201,INDEX($U$4:$U$11,1,1),$AC$2):INDEX($CB$5:$CH$201,INDEX($U$4:$U$11,1,1)+ROW()-5,$AC$2),DW$3))</f>
        <v>#N/A</v>
      </c>
      <c r="DX23" t="e">
        <f>IF(OR(ROW()-4&gt;INDEX($U$4:$U$11,$AC$2+1,1)-INDEX($U$4:$U$11,$AC$2,1),ROW()-4&gt;$AD$2),NA(),COUNTIF(INDEX($CB$5:$CH$201,INDEX($U$4:$U$11,1,1),$AC$2):INDEX($CB$5:$CH$201,INDEX($U$4:$U$11,1,1)+ROW()-5,$AC$2),DX$3))</f>
        <v>#N/A</v>
      </c>
      <c r="DY23" t="e">
        <f>IF(OR(ROW()-4&gt;INDEX($U$4:$U$11,$AC$2+1,1)-INDEX($U$4:$U$11,$AC$2,1),ROW()-4&gt;$AD$2),NA(),COUNTIF(INDEX($CB$5:$CH$201,INDEX($U$4:$U$11,1,1),$AC$2):INDEX($CB$5:$CH$201,INDEX($U$4:$U$11,1,1)+ROW()-5,$AC$2),DY$3))</f>
        <v>#N/A</v>
      </c>
      <c r="DZ23" t="e">
        <f>IF(OR(ROW()-4&gt;INDEX($U$4:$U$11,$AC$2+1,1)-INDEX($U$4:$U$11,$AC$2,1),ROW()-4&gt;$AD$2),NA(),COUNTIF(INDEX($CB$5:$CH$201,INDEX($U$4:$U$11,1,1),$AC$2):INDEX($CB$5:$CH$201,INDEX($U$4:$U$11,1,1)+ROW()-5,$AC$2),DZ$3))</f>
        <v>#N/A</v>
      </c>
      <c r="EA23" t="e">
        <f>IF(OR(ROW()-4&gt;INDEX($U$4:$U$11,$AC$2+1,1)-INDEX($U$4:$U$11,$AC$2,1),ROW()-4&gt;$AD$2),NA(),COUNTIF(INDEX($CB$5:$CH$201,INDEX($U$4:$U$11,1,1),$AC$2):INDEX($CB$5:$CH$201,INDEX($U$4:$U$11,1,1)+ROW()-5,$AC$2),EA$3))</f>
        <v>#N/A</v>
      </c>
      <c r="EB23" t="e">
        <f>IF(OR(ROW()-4&gt;INDEX($U$4:$U$11,$AC$2+1,1)-INDEX($U$4:$U$11,$AC$2,1),ROW()-4&gt;$AD$2),NA(),COUNTIF(INDEX($CB$5:$CH$201,INDEX($U$4:$U$11,1,1),$AC$2):INDEX($CB$5:$CH$201,INDEX($U$4:$U$11,1,1)+ROW()-5,$AC$2),EB$3))</f>
        <v>#N/A</v>
      </c>
      <c r="EC23" t="e">
        <f>IF(OR(ROW()-4&gt;INDEX($U$4:$U$11,$AC$2+1,1)-INDEX($U$4:$U$11,$AC$2,1),ROW()-4&gt;$AD$2),NA(),COUNTIF(INDEX($CB$5:$CH$201,INDEX($U$4:$U$11,1,1),$AC$2):INDEX($CB$5:$CH$201,INDEX($U$4:$U$11,1,1)+ROW()-5,$AC$2),EC$3))</f>
        <v>#N/A</v>
      </c>
      <c r="EE23" t="e">
        <f>IF(OR(ROW()-4&gt;INDEX($U$4:$U$11,$AC$2+1,1)-INDEX($U$4:$U$11,$AC$2,1),ROW()-4&gt;$AD$2),NA(),COUNTIF(INDEX($CB$5:$CH$201,INDEX($U$4:$U$11,1,1),$AC$2):INDEX($CB$5:$CH$201,INDEX($U$4:$U$11,1,1)+ROW()-5,$AC$2),EE$3))</f>
        <v>#N/A</v>
      </c>
      <c r="EF23" t="e">
        <f>IF(OR(ROW()-4&gt;INDEX($U$4:$U$11,$AC$2+1,1)-INDEX($U$4:$U$11,$AC$2,1),ROW()-4&gt;$AD$2),NA(),COUNTIF(INDEX($CB$5:$CH$201,INDEX($U$4:$U$11,1,1),$AC$2):INDEX($CB$5:$CH$201,INDEX($U$4:$U$11,1,1)+ROW()-5,$AC$2),EF$3))</f>
        <v>#N/A</v>
      </c>
      <c r="EG23" t="e">
        <f>IF(OR(ROW()-4&gt;INDEX($U$4:$U$11,$AC$2+1,1)-INDEX($U$4:$U$11,$AC$2,1),ROW()-4&gt;$AD$2),NA(),COUNTIF(INDEX($CB$5:$CH$201,INDEX($U$4:$U$11,1,1),$AC$2):INDEX($CB$5:$CH$201,INDEX($U$4:$U$11,1,1)+ROW()-5,$AC$2),EG$3))</f>
        <v>#N/A</v>
      </c>
      <c r="EH23" t="e">
        <f>IF(OR(ROW()-4&gt;INDEX($U$4:$U$11,$AC$2+1,1)-INDEX($U$4:$U$11,$AC$2,1),ROW()-4&gt;$AD$2),NA(),COUNTIF(INDEX($CB$5:$CH$201,INDEX($U$4:$U$11,1,1),$AC$2):INDEX($CB$5:$CH$201,INDEX($U$4:$U$11,1,1)+ROW()-5,$AC$2),EH$3))</f>
        <v>#N/A</v>
      </c>
      <c r="EI23" t="e">
        <f>IF(OR(ROW()-4&gt;INDEX($U$4:$U$11,$AC$2+1,1)-INDEX($U$4:$U$11,$AC$2,1),ROW()-4&gt;$AD$2),NA(),COUNTIF(INDEX($CB$5:$CH$201,INDEX($U$4:$U$11,1,1),$AC$2):INDEX($CB$5:$CH$201,INDEX($U$4:$U$11,1,1)+ROW()-5,$AC$2),EI$3))</f>
        <v>#N/A</v>
      </c>
      <c r="EJ23" t="e">
        <f>IF(OR(ROW()-4&gt;INDEX($U$4:$U$11,$AC$2+1,1)-INDEX($U$4:$U$11,$AC$2,1),ROW()-4&gt;$AD$2),NA(),COUNTIF(INDEX($CB$5:$CH$201,INDEX($U$4:$U$11,1,1),$AC$2):INDEX($CB$5:$CH$201,INDEX($U$4:$U$11,1,1)+ROW()-5,$AC$2),EJ$3))</f>
        <v>#N/A</v>
      </c>
      <c r="EK23" t="e">
        <f>IF(OR(ROW()-4&gt;INDEX($U$4:$U$11,$AC$2+1,1)-INDEX($U$4:$U$11,$AC$2,1),ROW()-4&gt;$AD$2),NA(),COUNTIF(INDEX($CB$5:$CH$201,INDEX($U$4:$U$11,1,1),$AC$2):INDEX($CB$5:$CH$201,INDEX($U$4:$U$11,1,1)+ROW()-5,$AC$2),EK$3))</f>
        <v>#N/A</v>
      </c>
      <c r="EL23" t="e">
        <f>IF(OR(ROW()-4&gt;INDEX($U$4:$U$11,$AC$2+1,1)-INDEX($U$4:$U$11,$AC$2,1),ROW()-4&gt;$AD$2),NA(),COUNTIF(INDEX($CB$5:$CH$201,INDEX($U$4:$U$11,1,1),$AC$2):INDEX($CB$5:$CH$201,INDEX($U$4:$U$11,1,1)+ROW()-5,$AC$2),EL$3))</f>
        <v>#N/A</v>
      </c>
      <c r="EN23" t="e">
        <f>IF(OR(ROW()-4&gt;INDEX($U$4:$U$11,$AC$2+1,1)-INDEX($U$4:$U$11,$AC$2,1),ROW()-4&gt;$AD$2),NA(),COUNTIF(INDEX($CJ$5:$CP$201,INDEX($U$4:$U$11,1,1),$AC$2):INDEX($CJ$5:$CP$201,INDEX($U$4:$U$11,1,1)+ROW()-5,$AC$2),EN$3))</f>
        <v>#N/A</v>
      </c>
      <c r="EO23" t="e">
        <f>IF(OR(ROW()-4&gt;INDEX($U$4:$U$11,$AC$2+1,1)-INDEX($U$4:$U$11,$AC$2,1),ROW()-4&gt;$AD$2),NA(),COUNTIF(INDEX($CJ$5:$CP$201,INDEX($U$4:$U$11,1,1),$AC$2):INDEX($CJ$5:$CP$201,INDEX($U$4:$U$11,1,1)+ROW()-5,$AC$2),EO$3))</f>
        <v>#N/A</v>
      </c>
      <c r="EQ23" t="e">
        <f>IF(OR(ROW()-4&gt;INDEX($U$4:$U$11,$AC$2+1,1)-INDEX($U$4:$U$11,$AC$2,1),ROW()-4&gt;$AD$2),NA(),COUNTIF(INDEX($CJ$5:$CP$201,INDEX($U$4:$U$11,1,1),$AC$2):INDEX($CJ$5:$CP$201,INDEX($U$4:$U$11,1,1)+ROW()-5,$AC$2),EQ$3))</f>
        <v>#N/A</v>
      </c>
      <c r="ER23" t="e">
        <f>IF(OR(ROW()-4&gt;INDEX($U$4:$U$11,$AC$2+1,1)-INDEX($U$4:$U$11,$AC$2,1),ROW()-4&gt;$AD$2),NA(),COUNTIF(INDEX($CJ$5:$CP$201,INDEX($U$4:$U$11,1,1),$AC$2):INDEX($CJ$5:$CP$201,INDEX($U$4:$U$11,1,1)+ROW()-5,$AC$2),ER$3))</f>
        <v>#N/A</v>
      </c>
      <c r="ET23" t="e">
        <f>IF(OR(ROW()-4&gt;INDEX($U$4:$U$11,$AC$2+1,1)-INDEX($U$4:$U$11,$AC$2,1),ROW()-4&gt;$AD$2),NA(),COUNTIF(INDEX($CR$5:$CX$201,INDEX($U$4:$U$11,1,1),$AC$2):INDEX($CR$5:$CX$201,INDEX($U$4:$U$11,1,1)+ROW()-5,$AC$2),ET$3))</f>
        <v>#N/A</v>
      </c>
      <c r="EU23" t="e">
        <f>IF(OR(ROW()-4&gt;INDEX($U$4:$U$11,$AC$2+1,1)-INDEX($U$4:$U$11,$AC$2,1),ROW()-4&gt;$AD$2),NA(),COUNTIF(INDEX($CR$5:$CX$201,INDEX($U$4:$U$11,1,1),$AC$2):INDEX($CR$5:$CX$201,INDEX($U$4:$U$11,1,1)+ROW()-5,$AC$2),EU$3))</f>
        <v>#N/A</v>
      </c>
      <c r="EV23" t="e">
        <f>IF(OR(ROW()-4&gt;INDEX($U$4:$U$11,$AC$2+1,1)-INDEX($U$4:$U$11,$AC$2,1),ROW()-4&gt;$AD$2),NA(),COUNTIF(INDEX($CR$5:$CX$201,INDEX($U$4:$U$11,1,1),$AC$2):INDEX($CR$5:$CX$201,INDEX($U$4:$U$11,1,1)+ROW()-5,$AC$2),EV$3))</f>
        <v>#N/A</v>
      </c>
      <c r="EW23" t="e">
        <f>IF(OR(ROW()-4&gt;INDEX($U$4:$U$11,$AC$2+1,1)-INDEX($U$4:$U$11,$AC$2,1),ROW()-4&gt;$AD$2),NA(),COUNTIF(INDEX($CR$5:$CX$201,INDEX($U$4:$U$11,1,1),$AC$2):INDEX($CR$5:$CX$201,INDEX($U$4:$U$11,1,1)+ROW()-5,$AC$2),EW$3))</f>
        <v>#N/A</v>
      </c>
      <c r="EX23" t="e">
        <f>IF(OR(ROW()-4&gt;INDEX($U$4:$U$11,$AC$2+1,1)-INDEX($U$4:$U$11,$AC$2,1),ROW()-4&gt;$AD$2),NA(),COUNTIF(INDEX($CR$5:$CX$201,INDEX($U$4:$U$11,1,1),$AC$2):INDEX($CR$5:$CX$201,INDEX($U$4:$U$11,1,1)+ROW()-5,$AC$2),EX$3))</f>
        <v>#N/A</v>
      </c>
      <c r="EY23" t="e">
        <f>IF(OR(ROW()-4&gt;INDEX($U$4:$U$11,$AC$2+1,1)-INDEX($U$4:$U$11,$AC$2,1),ROW()-4&gt;$AD$2),NA(),COUNTIF(INDEX($CR$5:$CX$201,INDEX($U$4:$U$11,1,1),$AC$2):INDEX($CR$5:$CX$201,INDEX($U$4:$U$11,1,1)+ROW()-5,$AC$2),EY$3))</f>
        <v>#N/A</v>
      </c>
      <c r="EZ23" t="e">
        <f>IF(OR(ROW()-4&gt;INDEX($U$4:$U$11,$AC$2+1,1)-INDEX($U$4:$U$11,$AC$2,1),ROW()-4&gt;$AD$2),NA(),COUNTIF(INDEX($CR$5:$CX$201,INDEX($U$4:$U$11,1,1),$AC$2):INDEX($CR$5:$CX$201,INDEX($U$4:$U$11,1,1)+ROW()-5,$AC$2),EZ$3))</f>
        <v>#N/A</v>
      </c>
      <c r="FA23" t="e">
        <f>IF(OR(ROW()-4&gt;INDEX($U$4:$U$11,$AC$2+1,1)-INDEX($U$4:$U$11,$AC$2,1),ROW()-4&gt;$AD$2),NA(),COUNTIF(INDEX($CR$5:$CX$201,INDEX($U$4:$U$11,1,1),$AC$2):INDEX($CR$5:$CX$201,INDEX($U$4:$U$11,1,1)+ROW()-5,$AC$2),FA$3))</f>
        <v>#N/A</v>
      </c>
      <c r="FC23" t="e">
        <f>IF(OR(ROW()-4&gt;INDEX($U$4:$U$11,$AC$2+1,1)-INDEX($U$4:$U$11,$AC$2,1),ROW()-4&gt;$AD$2),NA(),COUNTIF(INDEX($CR$5:$CX$201,INDEX($U$4:$U$11,1,1),$AC$2):INDEX($CR$5:$CX$201,INDEX($U$4:$U$11,1,1)+ROW()-5,$AC$2),FC$3))</f>
        <v>#N/A</v>
      </c>
      <c r="FD23" t="e">
        <f>IF(OR(ROW()-4&gt;INDEX($U$4:$U$11,$AC$2+1,1)-INDEX($U$4:$U$11,$AC$2,1),ROW()-4&gt;$AD$2),NA(),COUNTIF(INDEX($CR$5:$CX$201,INDEX($U$4:$U$11,1,1),$AC$2):INDEX($CR$5:$CX$201,INDEX($U$4:$U$11,1,1)+ROW()-5,$AC$2),FD$3))</f>
        <v>#N/A</v>
      </c>
      <c r="FE23" t="e">
        <f>IF(OR(ROW()-4&gt;INDEX($U$4:$U$11,$AC$2+1,1)-INDEX($U$4:$U$11,$AC$2,1),ROW()-4&gt;$AD$2),NA(),COUNTIF(INDEX($CR$5:$CX$201,INDEX($U$4:$U$11,1,1),$AC$2):INDEX($CR$5:$CX$201,INDEX($U$4:$U$11,1,1)+ROW()-5,$AC$2),FE$3))</f>
        <v>#N/A</v>
      </c>
      <c r="FF23" t="e">
        <f>IF(OR(ROW()-4&gt;INDEX($U$4:$U$11,$AC$2+1,1)-INDEX($U$4:$U$11,$AC$2,1),ROW()-4&gt;$AD$2),NA(),COUNTIF(INDEX($CR$5:$CX$201,INDEX($U$4:$U$11,1,1),$AC$2):INDEX($CR$5:$CX$201,INDEX($U$4:$U$11,1,1)+ROW()-5,$AC$2),FF$3))</f>
        <v>#N/A</v>
      </c>
      <c r="FG23" t="e">
        <f>IF(OR(ROW()-4&gt;INDEX($U$4:$U$11,$AC$2+1,1)-INDEX($U$4:$U$11,$AC$2,1),ROW()-4&gt;$AD$2),NA(),COUNTIF(INDEX($CR$5:$CX$201,INDEX($U$4:$U$11,1,1),$AC$2):INDEX($CR$5:$CX$201,INDEX($U$4:$U$11,1,1)+ROW()-5,$AC$2),FG$3))</f>
        <v>#N/A</v>
      </c>
      <c r="FH23" t="e">
        <f>IF(OR(ROW()-4&gt;INDEX($U$4:$U$11,$AC$2+1,1)-INDEX($U$4:$U$11,$AC$2,1),ROW()-4&gt;$AD$2),NA(),COUNTIF(INDEX($CR$5:$CX$201,INDEX($U$4:$U$11,1,1),$AC$2):INDEX($CR$5:$CX$201,INDEX($U$4:$U$11,1,1)+ROW()-5,$AC$2),FH$3))</f>
        <v>#N/A</v>
      </c>
      <c r="FI23" t="e">
        <f>IF(OR(ROW()-4&gt;INDEX($U$4:$U$11,$AC$2+1,1)-INDEX($U$4:$U$11,$AC$2,1),ROW()-4&gt;$AD$2),NA(),COUNTIF(INDEX($CR$5:$CX$201,INDEX($U$4:$U$11,1,1),$AC$2):INDEX($CR$5:$CX$201,INDEX($U$4:$U$11,1,1)+ROW()-5,$AC$2),FI$3))</f>
        <v>#N/A</v>
      </c>
      <c r="FJ23" t="e">
        <f>IF(OR(ROW()-4&gt;INDEX($U$4:$U$11,$AC$2+1,1)-INDEX($U$4:$U$11,$AC$2,1),ROW()-4&gt;$AD$2),NA(),COUNTIF(INDEX($CR$5:$CX$201,INDEX($U$4:$U$11,1,1),$AC$2):INDEX($CR$5:$CX$201,INDEX($U$4:$U$11,1,1)+ROW()-5,$AC$2),FJ$3))</f>
        <v>#N/A</v>
      </c>
      <c r="FL23" t="e">
        <f>IF(OR(ROW()-4&gt;INDEX($U$4:$U$11,$AC$2+1,1)-INDEX($U$4:$U$11,$AC$2,1),ROW()-4&gt;$AD$2),NA(),COUNTIF(INDEX($CZ$5:$DF$201,INDEX($U$4:$U$11,1,1),$AC$2):INDEX($CZ$5:$DF$201,INDEX($U$4:$U$11,1,1)+ROW()-5,$AC$2),FL$3))</f>
        <v>#N/A</v>
      </c>
      <c r="FM23" t="e">
        <f>IF(OR(ROW()-4&gt;INDEX($U$4:$U$11,$AC$2+1,1)-INDEX($U$4:$U$11,$AC$2,1),ROW()-4&gt;$AD$2),NA(),COUNTIF(INDEX($CZ$5:$DF$201,INDEX($U$4:$U$11,1,1),$AC$2):INDEX($CZ$5:$DF$201,INDEX($U$4:$U$11,1,1)+ROW()-5,$AC$2),FM$3))</f>
        <v>#N/A</v>
      </c>
      <c r="FN23" t="e">
        <f>IF(OR(ROW()-4&gt;INDEX($U$4:$U$11,$AC$2+1,1)-INDEX($U$4:$U$11,$AC$2,1),ROW()-4&gt;$AD$2),NA(),COUNTIF(INDEX($CZ$5:$DF$201,INDEX($U$4:$U$11,1,1),$AC$2):INDEX($CZ$5:$DF$201,INDEX($U$4:$U$11,1,1)+ROW()-5,$AC$2),FN$3))</f>
        <v>#N/A</v>
      </c>
      <c r="FO23" t="e">
        <f>IF(OR(ROW()-4&gt;INDEX($U$4:$U$11,$AC$2+1,1)-INDEX($U$4:$U$11,$AC$2,1),ROW()-4&gt;$AD$2),NA(),COUNTIF(INDEX($CZ$5:$DF$201,INDEX($U$4:$U$11,1,1),$AC$2):INDEX($CZ$5:$DF$201,INDEX($U$4:$U$11,1,1)+ROW()-5,$AC$2),FO$3))</f>
        <v>#N/A</v>
      </c>
      <c r="FP23" t="e">
        <f>IF(OR(ROW()-4&gt;INDEX($U$4:$U$11,$AC$2+1,1)-INDEX($U$4:$U$11,$AC$2,1),ROW()-4&gt;$AD$2),NA(),COUNTIF(INDEX($CZ$5:$DF$201,INDEX($U$4:$U$11,1,1),$AC$2):INDEX($CZ$5:$DF$201,INDEX($U$4:$U$11,1,1)+ROW()-5,$AC$2),FP$3))</f>
        <v>#N/A</v>
      </c>
      <c r="FQ23" t="e">
        <f>IF(OR(ROW()-4&gt;INDEX($U$4:$U$11,$AC$2+1,1)-INDEX($U$4:$U$11,$AC$2,1),ROW()-4&gt;$AD$2),NA(),COUNTIF(INDEX($CZ$5:$DF$201,INDEX($U$4:$U$11,1,1),$AC$2):INDEX($CZ$5:$DF$201,INDEX($U$4:$U$11,1,1)+ROW()-5,$AC$2),FQ$3))</f>
        <v>#N/A</v>
      </c>
      <c r="FR23" t="e">
        <f>IF(OR(ROW()-4&gt;INDEX($U$4:$U$11,$AC$2+1,1)-INDEX($U$4:$U$11,$AC$2,1),ROW()-4&gt;$AD$2),NA(),COUNTIF(INDEX($CZ$5:$DF$201,INDEX($U$4:$U$11,1,1),$AC$2):INDEX($CZ$5:$DF$201,INDEX($U$4:$U$11,1,1)+ROW()-5,$AC$2),FR$3))</f>
        <v>#N/A</v>
      </c>
      <c r="FS23" t="e">
        <f>IF(OR(ROW()-4&gt;INDEX($U$4:$U$11,$AC$2+1,1)-INDEX($U$4:$U$11,$AC$2,1),ROW()-4&gt;$AD$2),NA(),COUNTIF(INDEX($CZ$5:$DF$201,INDEX($U$4:$U$11,1,1),$AC$2):INDEX($CZ$5:$DF$201,INDEX($U$4:$U$11,1,1)+ROW()-5,$AC$2),FS$3))</f>
        <v>#N/A</v>
      </c>
      <c r="FT23" t="e">
        <f>IF(OR(ROW()-4&gt;INDEX($U$4:$U$11,$AC$2+1,1)-INDEX($U$4:$U$11,$AC$2,1),ROW()-4&gt;$AD$2),NA(),COUNTIF(INDEX($CZ$5:$DF$201,INDEX($U$4:$U$11,1,1),$AC$2):INDEX($CZ$5:$DF$201,INDEX($U$4:$U$11,1,1)+ROW()-5,$AC$2),FT$3))</f>
        <v>#N/A</v>
      </c>
      <c r="FU23" t="e">
        <f>IF(OR(ROW()-4&gt;INDEX($U$4:$U$11,$AC$2+1,1)-INDEX($U$4:$U$11,$AC$2,1),ROW()-4&gt;$AD$2),NA(),COUNTIF(INDEX($CZ$5:$DF$201,INDEX($U$4:$U$11,1,1),$AC$2):INDEX($CZ$5:$DF$201,INDEX($U$4:$U$11,1,1)+ROW()-5,$AC$2),FU$3))</f>
        <v>#N/A</v>
      </c>
      <c r="FW23" t="e">
        <f>IF(OR(ROW()-4&gt;INDEX($U$4:$U$11,$AC$2+1,1)-INDEX($U$4:$U$11,$AC$2,1),ROW()-4&gt;$AD$2),NA(),COUNTIF(INDEX($CZ$5:$DF$201,INDEX($U$4:$U$11,1,1),$AC$2):INDEX($CZ$5:$DF$201,INDEX($U$4:$U$11,1,1)+ROW()-5,$AC$2),FW$3))</f>
        <v>#N/A</v>
      </c>
      <c r="FX23" t="e">
        <f>IF(OR(ROW()-4&gt;INDEX($U$4:$U$11,$AC$2+1,1)-INDEX($U$4:$U$11,$AC$2,1),ROW()-4&gt;$AD$2),NA(),COUNTIF(INDEX($CZ$5:$DF$201,INDEX($U$4:$U$11,1,1),$AC$2):INDEX($CZ$5:$DF$201,INDEX($U$4:$U$11,1,1)+ROW()-5,$AC$2),FX$3))</f>
        <v>#N/A</v>
      </c>
      <c r="FY23" t="e">
        <f>IF(OR(ROW()-4&gt;INDEX($U$4:$U$11,$AC$2+1,1)-INDEX($U$4:$U$11,$AC$2,1),ROW()-4&gt;$AD$2),NA(),COUNTIF(INDEX($CZ$5:$DF$201,INDEX($U$4:$U$11,1,1),$AC$2):INDEX($CZ$5:$DF$201,INDEX($U$4:$U$11,1,1)+ROW()-5,$AC$2),FY$3))</f>
        <v>#N/A</v>
      </c>
      <c r="FZ23" t="e">
        <f>IF(OR(ROW()-4&gt;INDEX($U$4:$U$11,$AC$2+1,1)-INDEX($U$4:$U$11,$AC$2,1),ROW()-4&gt;$AD$2),NA(),COUNTIF(INDEX($CZ$5:$DF$201,INDEX($U$4:$U$11,1,1),$AC$2):INDEX($CZ$5:$DF$201,INDEX($U$4:$U$11,1,1)+ROW()-5,$AC$2),FZ$3))</f>
        <v>#N/A</v>
      </c>
      <c r="GA23" t="e">
        <f>IF(OR(ROW()-4&gt;INDEX($U$4:$U$11,$AC$2+1,1)-INDEX($U$4:$U$11,$AC$2,1),ROW()-4&gt;$AD$2),NA(),COUNTIF(INDEX($CZ$5:$DF$201,INDEX($U$4:$U$11,1,1),$AC$2):INDEX($CZ$5:$DF$201,INDEX($U$4:$U$11,1,1)+ROW()-5,$AC$2),GA$3))</f>
        <v>#N/A</v>
      </c>
      <c r="GB23" t="e">
        <f>IF(OR(ROW()-4&gt;INDEX($U$4:$U$11,$AC$2+1,1)-INDEX($U$4:$U$11,$AC$2,1),ROW()-4&gt;$AD$2),NA(),COUNTIF(INDEX($CZ$5:$DF$201,INDEX($U$4:$U$11,1,1),$AC$2):INDEX($CZ$5:$DF$201,INDEX($U$4:$U$11,1,1)+ROW()-5,$AC$2),GB$3))</f>
        <v>#N/A</v>
      </c>
      <c r="GC23" t="e">
        <f>IF(OR(ROW()-4&gt;INDEX($U$4:$U$11,$AC$2+1,1)-INDEX($U$4:$U$11,$AC$2,1),ROW()-4&gt;$AD$2),NA(),COUNTIF(INDEX($CZ$5:$DF$201,INDEX($U$4:$U$11,1,1),$AC$2):INDEX($CZ$5:$DF$201,INDEX($U$4:$U$11,1,1)+ROW()-5,$AC$2),GC$3))</f>
        <v>#N/A</v>
      </c>
      <c r="GD23" t="e">
        <f>IF(OR(ROW()-4&gt;INDEX($U$4:$U$11,$AC$2+1,1)-INDEX($U$4:$U$11,$AC$2,1),ROW()-4&gt;$AD$2),NA(),COUNTIF(INDEX($CZ$5:$DF$201,INDEX($U$4:$U$11,1,1),$AC$2):INDEX($CZ$5:$DF$201,INDEX($U$4:$U$11,1,1)+ROW()-5,$AC$2),GD$3))</f>
        <v>#N/A</v>
      </c>
      <c r="GE23" t="e">
        <f>IF(OR(ROW()-4&gt;INDEX($U$4:$U$11,$AC$2+1,1)-INDEX($U$4:$U$11,$AC$2,1),ROW()-4&gt;$AD$2),NA(),COUNTIF(INDEX($CZ$5:$DF$201,INDEX($U$4:$U$11,1,1),$AC$2):INDEX($CZ$5:$DF$201,INDEX($U$4:$U$11,1,1)+ROW()-5,$AC$2),GE$3))</f>
        <v>#N/A</v>
      </c>
      <c r="GF23" t="e">
        <f>IF(OR(ROW()-4&gt;INDEX($U$4:$U$11,$AC$2+1,1)-INDEX($U$4:$U$11,$AC$2,1),ROW()-4&gt;$AD$2),NA(),COUNTIF(INDEX($CZ$5:$DF$201,INDEX($U$4:$U$11,1,1),$AC$2):INDEX($CZ$5:$DF$201,INDEX($U$4:$U$11,1,1)+ROW()-5,$AC$2),GF$3))</f>
        <v>#N/A</v>
      </c>
      <c r="GK23" t="s">
        <v>42</v>
      </c>
      <c r="HE23" t="s">
        <v>56</v>
      </c>
      <c r="HF23">
        <f>INDEX($FE$5:$FE$40,$AD$2)</f>
        <v>1</v>
      </c>
      <c r="HG23">
        <f>INDEX($FE$4:$FE$40,$AD$2+1)-INDEX($FE$4:$FE$40,$AD$2)</f>
        <v>0</v>
      </c>
      <c r="HH23" s="59">
        <f>INDEX($FE$55:$FE$90,$AD$2)</f>
        <v>0</v>
      </c>
      <c r="HI23" s="59">
        <f t="shared" si="131"/>
        <v>1</v>
      </c>
      <c r="HM23" s="67" t="s">
        <v>66</v>
      </c>
      <c r="HN23" s="67"/>
      <c r="HO23" s="67"/>
      <c r="HP23" s="67"/>
    </row>
    <row r="24" spans="1:224" x14ac:dyDescent="0.45">
      <c r="A24" t="str">
        <f>データの貼付!A22</f>
        <v>FENG Tianwei</v>
      </c>
      <c r="B24">
        <f>データの貼付!B22</f>
        <v>5.6387268518518522E-3</v>
      </c>
      <c r="C24">
        <f>データの貼付!C22</f>
        <v>6.3333333333333332E-5</v>
      </c>
      <c r="D24">
        <f>データの貼付!D22</f>
        <v>6.9444444444444447E-4</v>
      </c>
      <c r="E24" t="str">
        <f>データの貼付!F22</f>
        <v>KIHARA Miyuu</v>
      </c>
      <c r="F24">
        <f>データの貼付!E22</f>
        <v>0</v>
      </c>
      <c r="G24" t="str">
        <f>データの貼付!G22</f>
        <v>#04</v>
      </c>
      <c r="H24" t="str">
        <f>データの貼付!H22</f>
        <v>FENG Tianwei</v>
      </c>
      <c r="I24" t="str">
        <f>データの貼付!I22</f>
        <v>Back</v>
      </c>
      <c r="J24" t="str">
        <f>データの貼付!J22</f>
        <v>B</v>
      </c>
      <c r="K24" t="str">
        <f>データの貼付!K22</f>
        <v>FS</v>
      </c>
      <c r="L24" t="str">
        <f>データの貼付!L22</f>
        <v>F</v>
      </c>
      <c r="M24" t="str">
        <f>データの貼付!M22</f>
        <v>Push</v>
      </c>
      <c r="N24" t="str">
        <f>データの貼付!N22</f>
        <v>BM</v>
      </c>
      <c r="R24">
        <f t="shared" si="59"/>
        <v>0</v>
      </c>
      <c r="S24">
        <f>SUM(R$4:R24)</f>
        <v>2</v>
      </c>
      <c r="T24" t="str">
        <f t="shared" si="60"/>
        <v/>
      </c>
      <c r="W24" t="str">
        <f t="shared" si="57"/>
        <v>KIHARA Miyuu_FENG Tianwei</v>
      </c>
      <c r="X24" t="str">
        <f t="shared" si="58"/>
        <v>KIHARA Miyuu_#04</v>
      </c>
      <c r="Y24" s="38">
        <v>4</v>
      </c>
      <c r="Z24" s="38">
        <f>COUNTIF(INDEX($E$4:$E$200,INDEX($U$4:$U$11,$Y24)):INDEX($E$4:$E$200,INDEX($U$4:$U$11,$Y24+1)-1),AC$3)</f>
        <v>11</v>
      </c>
      <c r="AA24" s="38">
        <f>COUNTIF(INDEX($E$4:$E$200,INDEX($U$4:$U$11,$Y24)):INDEX($E$4:$E$200,INDEX($U$4:$U$11,$Y24+1)-1),AD$3)</f>
        <v>8</v>
      </c>
      <c r="AC24" s="8" t="e">
        <f>IF(OR(ROW()-4&gt;INDEX($U$4:$U$11,AC$2+1)-INDEX($U$4:$U$11,AC$2),ROW()-4&gt;AD$2),NA(),COUNTIF(INDEX($W$4:$W$200,INDEX($U$4:$U$11,AC$2)):INDEX($W$4:$W$200,INDEX($U$4:$U$11,AC$2)+ROW()-5),AC$3&amp;"_"&amp;AC$3)/(COUNTIF(INDEX($W$4:$W$200,INDEX($U$4:$U$11,AC$2)):INDEX($W$4:$W$200,INDEX($U$4:$U$11,AC$2)+ROW()-5),AC$3&amp;"_"&amp;AC$3)+COUNTIF(INDEX($W$4:$W$200,INDEX($U$4:$U$11,AC$2)):INDEX($W$4:$W$200,INDEX($U$4:$U$11,AC$2)+ROW()-5),AD$3&amp;"_"&amp;AC$3)))</f>
        <v>#N/A</v>
      </c>
      <c r="AD24" s="8" t="e">
        <f>IF(OR(ROW()-4&gt;INDEX($U$4:$U$11,AC$2+1)-INDEX($U$4:$U$11,AC$2),ROW()-4&gt;AD$2),NA(),COUNTIF(INDEX($W$4:$W$200,INDEX($U$4:$U$11,AC$2)):INDEX($W$4:$W$200,INDEX($U$4:$U$11,AC$2)+ROW()-5),AD$3&amp;"_"&amp;AD$3)/(COUNTIF(INDEX($W$4:$W$200,INDEX($U$4:$U$11,AC$2)):INDEX($W$4:$W$200,INDEX($U$4:$U$11,AC$2)+ROW()-5),AD$3&amp;"_"&amp;AD$3)+COUNTIF(INDEX($W$4:$W$200,INDEX($U$4:$U$11,AC$2)):INDEX($W$4:$W$200,INDEX($U$4:$U$11,AC$2)+ROW()-5),AC$3&amp;"_"&amp;AD$3)))</f>
        <v>#N/A</v>
      </c>
      <c r="AE24" s="10" t="e">
        <f>IF(OR(ROW()-4&gt;INDEX($U$4:$U$11,AC$2+1)-INDEX($U$4:$U$11,AC$2),ROW()-4&gt;AD$2),NA(),COUNTIF(INDEX($W$4:$W$200,INDEX($U$4:$U$11,AC$2)):INDEX($W$4:$W$200,INDEX($U$4:$U$11,AC$2)+ROW()-5),AC$3&amp;"_"&amp;AD$3)/(COUNTIF(INDEX($W$4:$W$200,INDEX($U$4:$U$11,AC$2)):INDEX($W$4:$W$200,INDEX($U$4:$U$11,AC$2)+ROW()-5),AC$3&amp;"_"&amp;AD$3)+COUNTIF(INDEX($W$4:$W$200,INDEX($U$4:$U$11,AC$2)):INDEX($W$4:$W$200,INDEX($U$4:$U$11,AC$2)+ROW()-5),AD$3&amp;"_"&amp;AD$3)))</f>
        <v>#N/A</v>
      </c>
      <c r="AF24" s="10" t="e">
        <f>IF(OR(ROW()-4&gt;INDEX($U$4:$U$11,AC$2+1)-INDEX($U$4:$U$11,AC$2),ROW()-4&gt;AD$2),NA(),COUNTIF(INDEX($W$4:$W$200,INDEX($U$4:$U$11,AC$2)):INDEX($W$4:$W$200,INDEX($U$4:$U$11,AC$2)+ROW()-5),AD$3&amp;"_"&amp;AC$3)/(COUNTIF(INDEX($W$4:$W$200,INDEX($U$4:$U$11,AC$2)):INDEX($W$4:$W$200,INDEX($U$4:$U$11,AC$2)+ROW()-5),AD$3&amp;"_"&amp;AC$3)+COUNTIF(INDEX($W$4:$W$200,INDEX($U$4:$U$11,AC$2)):INDEX($W$4:$W$200,INDEX($U$4:$U$11,AC$2)+ROW()-5),AC$3&amp;"_"&amp;AC$3)))</f>
        <v>#N/A</v>
      </c>
      <c r="AG24" s="10" t="e">
        <f>IF(OR(ROW()-4&gt;INDEX($U$4:$U$11,AC$2+1)-INDEX($U$4:$U$11,AC$2),ROW()-4&gt;AD$2),NA(),COUNTIF(INDEX($X$4:$X$200,INDEX($U$4:$U$11,AC$2)):INDEX($X$4:$X$200,INDEX($U$4:$U$11,AC$2)+ROW()-5),AC$3&amp;"_#03")/(COUNTIF(INDEX($W$4:$W$200,INDEX($U$4:$U$11,AC$2)):INDEX($W$4:$W$200,INDEX($U$4:$U$11,AC$2)+ROW()-5),AC$3&amp;"_"&amp;AC$3)+COUNTIF(INDEX($W$4:$W$200,INDEX($U$4:$U$11,AC$2)):INDEX($W$4:$W$200,INDEX($U$4:$U$11,AC$2)+ROW()-5),AD$3&amp;"_"&amp;AC$3)))</f>
        <v>#N/A</v>
      </c>
      <c r="AH24" s="10" t="e">
        <f>IF(OR(ROW()-4&gt;INDEX($U$4:$U$11,AC$2+1)-INDEX($U$4:$U$11,AC$2),ROW()-4&gt;AD$2),NA(),COUNTIF(INDEX($X$4:$X$200,INDEX($U$4:$U$11,AC$2)):INDEX($X$4:$X$200,INDEX($U$4:$U$11,AC$2)+ROW()-5),AD$3&amp;"_#03")/(COUNTIF(INDEX($W$4:$W$200,INDEX($U$4:$U$11,AC$2)):INDEX($W$4:$W$200,INDEX($U$4:$U$11,AC$2)+ROW()-5),AD$3&amp;"_"&amp;AD$3)+COUNTIF(INDEX($W$4:$W$200,INDEX($U$4:$U$11,AC$2)):INDEX($W$4:$W$200,INDEX($U$4:$U$11,AC$2)+ROW()-5),AC$3&amp;"_"&amp;AD$3)))</f>
        <v>#N/A</v>
      </c>
      <c r="AI24" s="10" t="e">
        <f>IF(OR(ROW()-4&gt;INDEX($U$4:$U$11,AC$2+1)-INDEX($U$4:$U$11,AC$2),ROW()-4&gt;AD$2),NA(),(COUNTIF(INDEX($X$4:$X$200,INDEX($U$4:$U$11,AC$2)):INDEX($X$4:$X$200,INDEX($U$4:$U$11,AC$2)+ROW()-5),AC$3&amp;"_#03")-COUNTIF(INDEX($X$4:$X$200,INDEX($U$4:$U$11,AC$2)):INDEX($X$4:$X$200,INDEX($U$4:$U$11,AC$2)+ROW()-5),AD$3&amp;"_#02"))/(COUNTIF(INDEX($W$4:$W$200,INDEX($U$4:$U$11,AC$2)):INDEX($W$4:$W$200,INDEX($U$4:$U$11,AC$2)+ROW()-5),AC$3&amp;"_"&amp;AC$3)+COUNTIF(INDEX($W$4:$W$200,INDEX($U$4:$U$11,AC$2)):INDEX($W$4:$W$200,INDEX($U$4:$U$11,AC$2)+ROW()-5),AD$3&amp;"_"&amp;AC$3)))</f>
        <v>#N/A</v>
      </c>
      <c r="AJ24" s="10" t="e">
        <f>IF(OR(ROW()-4&gt;INDEX($U$4:$U$11,AC$2+1)-INDEX($U$4:$U$11,AC$2),ROW()-4&gt;AD$2),NA(),(COUNTIF(INDEX($X$4:$X$200,INDEX($U$4:$U$11,AC$2)):INDEX($X$4:$X$200,INDEX($U$4:$U$11,AC$2)+ROW()-5),AD$3&amp;"_#03")-COUNTIF(INDEX($X$4:$X$200,INDEX($U$4:$U$11,AC$2)):INDEX($X$4:$X$200,INDEX($U$4:$U$11,AC$2)+ROW()-5),AC$3&amp;"_#02"))/(COUNTIF(INDEX($W$4:$W$200,INDEX($U$4:$U$11,AC$2)):INDEX($W$4:$W$200,INDEX($U$4:$U$11,AC$2)+ROW()-5),AD$3&amp;"_"&amp;AD$3)+COUNTIF(INDEX($W$4:$W$200,INDEX($U$4:$U$11,AC$2)):INDEX($W$4:$W$200,INDEX($U$4:$U$11,AC$2)+ROW()-5),AC$3&amp;"_"&amp;AD$3)))</f>
        <v>#N/A</v>
      </c>
      <c r="AK24" s="10" t="e">
        <f>IF(OR(ROW()-4&gt;INDEX($U$4:$U$11,AC$2+1)-INDEX($U$4:$U$11,AC$2),ROW()-4&gt;AD$2),NA(),(COUNTIF(INDEX($X$4:$X$200,INDEX($U$4:$U$11,AC$2)):INDEX($X$4:$X$200,INDEX($U$4:$U$11,AC$2)+ROW()-5),AC$3&amp;"_#01")+COUNTIF(INDEX($X$4:$X$200,INDEX($U$4:$U$11,AC$2)):INDEX($X$4:$X$200,INDEX($U$4:$U$11,AC$2)+ROW()-5),AC$3&amp;"_#03"))/(COUNTIF(INDEX($W$4:$W$200,INDEX($U$4:$U$11,AC$2)):INDEX($W$4:$W$200,INDEX($U$4:$U$11,AC$2)+ROW()-5),AC$3&amp;"_"&amp;AC$3)+COUNTIF(INDEX($W$4:$W$200,INDEX($U$4:$U$11,AC$2)):INDEX($W$4:$W$200,INDEX($U$4:$U$11,AC$2)+ROW()-5),AD$3&amp;"_"&amp;AC$3)))</f>
        <v>#N/A</v>
      </c>
      <c r="AL24" s="10" t="e">
        <f>IF(OR(ROW()-4&gt;INDEX($U$4:$U$11,AC$2+1)-INDEX($U$4:$U$11,AC$2),ROW()-4&gt;AD$2),NA(),(COUNTIF(INDEX($X$4:$X$200,INDEX($U$4:$U$11,AC$2)):INDEX($X$4:$X$200,INDEX($U$4:$U$11,AC$2)+ROW()-5),AD$3&amp;"_#01")+COUNTIF(INDEX($X$4:$X$200,INDEX($U$4:$U$11,AC$2)):INDEX($X$4:$X$200,INDEX($U$4:$U$11,AC$2)+ROW()-5),AD$3&amp;"_#03"))/(COUNTIF(INDEX($W$4:$W$200,INDEX($U$4:$U$11,AC$2)):INDEX($W$4:$W$200,INDEX($U$4:$U$11,AC$2)+ROW()-5),AD$3&amp;"_"&amp;AD$3)+COUNTIF(INDEX($W$4:$W$200,INDEX($U$4:$U$11,AC$2)):INDEX($W$4:$W$200,INDEX($U$4:$U$11,AC$2)+ROW()-5),AC$3&amp;"_"&amp;AD$3)))</f>
        <v>#N/A</v>
      </c>
      <c r="AN24" t="str">
        <f t="shared" si="125"/>
        <v/>
      </c>
      <c r="AO24" t="str">
        <f t="shared" si="111"/>
        <v/>
      </c>
      <c r="AP24" t="str">
        <f t="shared" si="112"/>
        <v/>
      </c>
      <c r="AQ24" t="str">
        <f t="shared" si="113"/>
        <v/>
      </c>
      <c r="AR24" t="str">
        <f t="shared" si="114"/>
        <v/>
      </c>
      <c r="AS24" t="e">
        <f t="shared" si="115"/>
        <v>#VALUE!</v>
      </c>
      <c r="AT24" t="e">
        <f t="shared" si="116"/>
        <v>#VALUE!</v>
      </c>
      <c r="AV24" t="e">
        <f t="shared" si="117"/>
        <v>#VALUE!</v>
      </c>
      <c r="AW24" t="e">
        <f t="shared" si="63"/>
        <v>#VALUE!</v>
      </c>
      <c r="AX24" t="e">
        <f t="shared" si="64"/>
        <v>#VALUE!</v>
      </c>
      <c r="AY24" t="e">
        <f t="shared" si="65"/>
        <v>#VALUE!</v>
      </c>
      <c r="AZ24" t="e">
        <f t="shared" si="66"/>
        <v>#VALUE!</v>
      </c>
      <c r="BA24" t="e">
        <f t="shared" si="67"/>
        <v>#VALUE!</v>
      </c>
      <c r="BB24" t="e">
        <f t="shared" si="68"/>
        <v>#VALUE!</v>
      </c>
      <c r="BD24" t="e">
        <f t="shared" si="118"/>
        <v>#VALUE!</v>
      </c>
      <c r="BE24" t="e">
        <f t="shared" si="69"/>
        <v>#VALUE!</v>
      </c>
      <c r="BF24" t="e">
        <f t="shared" si="70"/>
        <v>#VALUE!</v>
      </c>
      <c r="BG24" t="e">
        <f t="shared" si="71"/>
        <v>#VALUE!</v>
      </c>
      <c r="BH24" t="e">
        <f t="shared" si="72"/>
        <v>#VALUE!</v>
      </c>
      <c r="BI24" t="e">
        <f t="shared" si="73"/>
        <v>#VALUE!</v>
      </c>
      <c r="BJ24" t="e">
        <f t="shared" si="74"/>
        <v>#VALUE!</v>
      </c>
      <c r="BL24" t="e">
        <f t="shared" si="119"/>
        <v>#VALUE!</v>
      </c>
      <c r="BM24" t="e">
        <f t="shared" si="75"/>
        <v>#VALUE!</v>
      </c>
      <c r="BN24" t="e">
        <f t="shared" si="76"/>
        <v>#VALUE!</v>
      </c>
      <c r="BO24" t="e">
        <f t="shared" si="77"/>
        <v>#VALUE!</v>
      </c>
      <c r="BP24" t="e">
        <f t="shared" si="78"/>
        <v>#VALUE!</v>
      </c>
      <c r="BQ24" t="e">
        <f t="shared" si="79"/>
        <v>#VALUE!</v>
      </c>
      <c r="BR24" t="e">
        <f t="shared" si="80"/>
        <v>#VALUE!</v>
      </c>
      <c r="BT24" t="e">
        <f t="shared" si="120"/>
        <v>#VALUE!</v>
      </c>
      <c r="BU24" t="e">
        <f t="shared" si="81"/>
        <v>#VALUE!</v>
      </c>
      <c r="BV24" t="e">
        <f t="shared" si="82"/>
        <v>#VALUE!</v>
      </c>
      <c r="BW24" t="e">
        <f t="shared" si="83"/>
        <v>#VALUE!</v>
      </c>
      <c r="BX24" t="e">
        <f t="shared" si="84"/>
        <v>#VALUE!</v>
      </c>
      <c r="BY24" t="e">
        <f t="shared" si="85"/>
        <v>#VALUE!</v>
      </c>
      <c r="BZ24" t="e">
        <f t="shared" si="86"/>
        <v>#VALUE!</v>
      </c>
      <c r="CB24" t="e">
        <f t="shared" si="121"/>
        <v>#VALUE!</v>
      </c>
      <c r="CC24" t="e">
        <f t="shared" si="87"/>
        <v>#VALUE!</v>
      </c>
      <c r="CD24" t="e">
        <f t="shared" si="88"/>
        <v>#VALUE!</v>
      </c>
      <c r="CE24" t="e">
        <f t="shared" si="89"/>
        <v>#VALUE!</v>
      </c>
      <c r="CF24" t="e">
        <f t="shared" si="90"/>
        <v>#VALUE!</v>
      </c>
      <c r="CG24" t="e">
        <f t="shared" si="91"/>
        <v>#VALUE!</v>
      </c>
      <c r="CH24" t="e">
        <f t="shared" si="92"/>
        <v>#VALUE!</v>
      </c>
      <c r="CJ24" t="e">
        <f t="shared" si="122"/>
        <v>#VALUE!</v>
      </c>
      <c r="CK24" t="e">
        <f t="shared" si="93"/>
        <v>#VALUE!</v>
      </c>
      <c r="CL24" t="e">
        <f t="shared" si="94"/>
        <v>#VALUE!</v>
      </c>
      <c r="CM24" t="e">
        <f t="shared" si="95"/>
        <v>#VALUE!</v>
      </c>
      <c r="CN24" t="e">
        <f t="shared" si="96"/>
        <v>#VALUE!</v>
      </c>
      <c r="CO24" t="e">
        <f t="shared" si="97"/>
        <v>#VALUE!</v>
      </c>
      <c r="CP24" t="e">
        <f t="shared" si="98"/>
        <v>#VALUE!</v>
      </c>
      <c r="CR24" t="e">
        <f t="shared" si="123"/>
        <v>#VALUE!</v>
      </c>
      <c r="CS24" t="e">
        <f t="shared" si="99"/>
        <v>#VALUE!</v>
      </c>
      <c r="CT24" t="e">
        <f t="shared" si="100"/>
        <v>#VALUE!</v>
      </c>
      <c r="CU24" t="e">
        <f t="shared" si="101"/>
        <v>#VALUE!</v>
      </c>
      <c r="CV24" t="e">
        <f t="shared" si="102"/>
        <v>#VALUE!</v>
      </c>
      <c r="CW24" t="e">
        <f t="shared" si="103"/>
        <v>#VALUE!</v>
      </c>
      <c r="CX24" t="e">
        <f t="shared" si="104"/>
        <v>#VALUE!</v>
      </c>
      <c r="CZ24" t="e">
        <f t="shared" si="124"/>
        <v>#VALUE!</v>
      </c>
      <c r="DA24" t="e">
        <f t="shared" si="105"/>
        <v>#VALUE!</v>
      </c>
      <c r="DB24" t="e">
        <f t="shared" si="106"/>
        <v>#VALUE!</v>
      </c>
      <c r="DC24" t="e">
        <f t="shared" si="107"/>
        <v>#VALUE!</v>
      </c>
      <c r="DD24" t="e">
        <f t="shared" si="108"/>
        <v>#VALUE!</v>
      </c>
      <c r="DE24" t="e">
        <f t="shared" si="109"/>
        <v>#VALUE!</v>
      </c>
      <c r="DF24" t="e">
        <f t="shared" si="110"/>
        <v>#VALUE!</v>
      </c>
      <c r="DH24" t="e">
        <f>IF(OR(ROW()-4&gt;INDEX($U$4:$U$11,$AC$2+1,1)-INDEX($U$4:$U$11,$AC$2,1),ROW()-4&gt;$AD$2),NA(),COUNTIF(INDEX($BL$5:$BR$50,INDEX($U$4:$U$11,1,1),$AC$2):INDEX($BL$5:$BR$50,INDEX($U$4:$U$11,1,1)+ROW()-5,$AC$2),DH$3))</f>
        <v>#N/A</v>
      </c>
      <c r="DI24" t="e">
        <f>IF(OR(ROW()-4&gt;INDEX($U$4:$U$11,$AC$2+1,1)-INDEX($U$4:$U$11,$AC$2,1),ROW()-4&gt;$AD$2),NA(),COUNTIF(INDEX($BL$5:$BR$50,INDEX($U$4:$U$11,1,1),$AC$2):INDEX($BL$5:$BR$50,INDEX($U$4:$U$11,1,1)+ROW()-5,$AC$2),DI$3))</f>
        <v>#N/A</v>
      </c>
      <c r="DJ24" t="e">
        <f>IF(OR(ROW()-4&gt;INDEX($U$4:$U$11,$AC$2+1,1)-INDEX($U$4:$U$11,$AC$2,1),ROW()-4&gt;$AD$2),NA(),COUNTIF(INDEX($BL$5:$BR$50,INDEX($U$4:$U$11,1,1),$AC$2):INDEX($BL$5:$BR$50,INDEX($U$4:$U$11,1,1)+ROW()-5,$AC$2),DJ$3))</f>
        <v>#N/A</v>
      </c>
      <c r="DL24" t="e">
        <f>IF(OR(ROW()-4&gt;INDEX($U$4:$U$11,$AC$2+1,1)-INDEX($U$4:$U$11,$AC$2,1),ROW()-4&gt;$AD$2),NA(),COUNTIF(INDEX($BL$5:$BR$50,INDEX($U$4:$U$11,1,1),$AC$2):INDEX($BL$5:$BR$50,INDEX($U$4:$U$11,1,1)+ROW()-5,$AC$2),DL$3))</f>
        <v>#N/A</v>
      </c>
      <c r="DM24" t="e">
        <f>IF(OR(ROW()-4&gt;INDEX($U$4:$U$11,$AC$2+1,1)-INDEX($U$4:$U$11,$AC$2,1),ROW()-4&gt;$AD$2),NA(),COUNTIF(INDEX($BL$5:$BR$50,INDEX($U$4:$U$11,1,1),$AC$2):INDEX($BL$5:$BR$50,INDEX($U$4:$U$11,1,1)+ROW()-5,$AC$2),DM$3))</f>
        <v>#N/A</v>
      </c>
      <c r="DN24" t="e">
        <f>IF(OR(ROW()-4&gt;INDEX($U$4:$U$11,$AC$2+1,1)-INDEX($U$4:$U$11,$AC$2,1),ROW()-4&gt;$AD$2),NA(),COUNTIF(INDEX($BL$5:$BR$50,INDEX($U$4:$U$11,1,1),$AC$2):INDEX($BL$5:$BR$50,INDEX($U$4:$U$11,1,1)+ROW()-5,$AC$2),DN$3))</f>
        <v>#N/A</v>
      </c>
      <c r="DP24" t="e">
        <f>IF(OR(ROW()-4&gt;INDEX($U$4:$U$11,$AC$2+1,1)-INDEX($U$4:$U$11,$AC$2,1),ROW()-4&gt;$AD$2),NA(),COUNTIF(INDEX($BT$5:$BZ$201,INDEX($U$4:$U$11,1,1),$AC$2):INDEX($BT$5:$BZ$201,INDEX($U$4:$U$11,1,1)+ROW()-5,$AC$2),DP$3))</f>
        <v>#N/A</v>
      </c>
      <c r="DQ24" t="e">
        <f>IF(OR(ROW()-4&gt;INDEX($U$4:$U$11,$AC$2+1,1)-INDEX($U$4:$U$11,$AC$2,1),ROW()-4&gt;$AD$2),NA(),COUNTIF(INDEX($BT$5:$BZ$201,INDEX($U$4:$U$11,1,1),$AC$2):INDEX($BT$5:$BZ$201,INDEX($U$4:$U$11,1,1)+ROW()-5,$AC$2),DQ$3))</f>
        <v>#N/A</v>
      </c>
      <c r="DS24" t="e">
        <f>IF(OR(ROW()-4&gt;INDEX($U$4:$U$11,$AC$2+1,1)-INDEX($U$4:$U$11,$AC$2,1),ROW()-4&gt;$AD$2),NA(),COUNTIF(INDEX($BT$5:$BZ$201,INDEX($U$4:$U$11,1,1),$AC$2):INDEX($BT$5:$BZ$201,INDEX($U$4:$U$11,1,1)+ROW()-5,$AC$2),DS$3))</f>
        <v>#N/A</v>
      </c>
      <c r="DT24" t="e">
        <f>IF(OR(ROW()-4&gt;INDEX($U$4:$U$11,$AC$2+1,1)-INDEX($U$4:$U$11,$AC$2,1),ROW()-4&gt;$AD$2),NA(),COUNTIF(INDEX($BT$5:$BZ$201,INDEX($U$4:$U$11,1,1),$AC$2):INDEX($BT$5:$BZ$201,INDEX($U$4:$U$11,1,1)+ROW()-5,$AC$2),DT$3))</f>
        <v>#N/A</v>
      </c>
      <c r="DV24" t="e">
        <f>IF(OR(ROW()-4&gt;INDEX($U$4:$U$11,$AC$2+1,1)-INDEX($U$4:$U$11,$AC$2,1),ROW()-4&gt;$AD$2),NA(),COUNTIF(INDEX($CB$5:$CH$201,INDEX($U$4:$U$11,1,1),$AC$2):INDEX($CB$5:$CH$201,INDEX($U$4:$U$11,1,1)+ROW()-5,$AC$2),DV$3))</f>
        <v>#N/A</v>
      </c>
      <c r="DW24" t="e">
        <f>IF(OR(ROW()-4&gt;INDEX($U$4:$U$11,$AC$2+1,1)-INDEX($U$4:$U$11,$AC$2,1),ROW()-4&gt;$AD$2),NA(),COUNTIF(INDEX($CB$5:$CH$201,INDEX($U$4:$U$11,1,1),$AC$2):INDEX($CB$5:$CH$201,INDEX($U$4:$U$11,1,1)+ROW()-5,$AC$2),DW$3))</f>
        <v>#N/A</v>
      </c>
      <c r="DX24" t="e">
        <f>IF(OR(ROW()-4&gt;INDEX($U$4:$U$11,$AC$2+1,1)-INDEX($U$4:$U$11,$AC$2,1),ROW()-4&gt;$AD$2),NA(),COUNTIF(INDEX($CB$5:$CH$201,INDEX($U$4:$U$11,1,1),$AC$2):INDEX($CB$5:$CH$201,INDEX($U$4:$U$11,1,1)+ROW()-5,$AC$2),DX$3))</f>
        <v>#N/A</v>
      </c>
      <c r="DY24" t="e">
        <f>IF(OR(ROW()-4&gt;INDEX($U$4:$U$11,$AC$2+1,1)-INDEX($U$4:$U$11,$AC$2,1),ROW()-4&gt;$AD$2),NA(),COUNTIF(INDEX($CB$5:$CH$201,INDEX($U$4:$U$11,1,1),$AC$2):INDEX($CB$5:$CH$201,INDEX($U$4:$U$11,1,1)+ROW()-5,$AC$2),DY$3))</f>
        <v>#N/A</v>
      </c>
      <c r="DZ24" t="e">
        <f>IF(OR(ROW()-4&gt;INDEX($U$4:$U$11,$AC$2+1,1)-INDEX($U$4:$U$11,$AC$2,1),ROW()-4&gt;$AD$2),NA(),COUNTIF(INDEX($CB$5:$CH$201,INDEX($U$4:$U$11,1,1),$AC$2):INDEX($CB$5:$CH$201,INDEX($U$4:$U$11,1,1)+ROW()-5,$AC$2),DZ$3))</f>
        <v>#N/A</v>
      </c>
      <c r="EA24" t="e">
        <f>IF(OR(ROW()-4&gt;INDEX($U$4:$U$11,$AC$2+1,1)-INDEX($U$4:$U$11,$AC$2,1),ROW()-4&gt;$AD$2),NA(),COUNTIF(INDEX($CB$5:$CH$201,INDEX($U$4:$U$11,1,1),$AC$2):INDEX($CB$5:$CH$201,INDEX($U$4:$U$11,1,1)+ROW()-5,$AC$2),EA$3))</f>
        <v>#N/A</v>
      </c>
      <c r="EB24" t="e">
        <f>IF(OR(ROW()-4&gt;INDEX($U$4:$U$11,$AC$2+1,1)-INDEX($U$4:$U$11,$AC$2,1),ROW()-4&gt;$AD$2),NA(),COUNTIF(INDEX($CB$5:$CH$201,INDEX($U$4:$U$11,1,1),$AC$2):INDEX($CB$5:$CH$201,INDEX($U$4:$U$11,1,1)+ROW()-5,$AC$2),EB$3))</f>
        <v>#N/A</v>
      </c>
      <c r="EC24" t="e">
        <f>IF(OR(ROW()-4&gt;INDEX($U$4:$U$11,$AC$2+1,1)-INDEX($U$4:$U$11,$AC$2,1),ROW()-4&gt;$AD$2),NA(),COUNTIF(INDEX($CB$5:$CH$201,INDEX($U$4:$U$11,1,1),$AC$2):INDEX($CB$5:$CH$201,INDEX($U$4:$U$11,1,1)+ROW()-5,$AC$2),EC$3))</f>
        <v>#N/A</v>
      </c>
      <c r="EE24" t="e">
        <f>IF(OR(ROW()-4&gt;INDEX($U$4:$U$11,$AC$2+1,1)-INDEX($U$4:$U$11,$AC$2,1),ROW()-4&gt;$AD$2),NA(),COUNTIF(INDEX($CB$5:$CH$201,INDEX($U$4:$U$11,1,1),$AC$2):INDEX($CB$5:$CH$201,INDEX($U$4:$U$11,1,1)+ROW()-5,$AC$2),EE$3))</f>
        <v>#N/A</v>
      </c>
      <c r="EF24" t="e">
        <f>IF(OR(ROW()-4&gt;INDEX($U$4:$U$11,$AC$2+1,1)-INDEX($U$4:$U$11,$AC$2,1),ROW()-4&gt;$AD$2),NA(),COUNTIF(INDEX($CB$5:$CH$201,INDEX($U$4:$U$11,1,1),$AC$2):INDEX($CB$5:$CH$201,INDEX($U$4:$U$11,1,1)+ROW()-5,$AC$2),EF$3))</f>
        <v>#N/A</v>
      </c>
      <c r="EG24" t="e">
        <f>IF(OR(ROW()-4&gt;INDEX($U$4:$U$11,$AC$2+1,1)-INDEX($U$4:$U$11,$AC$2,1),ROW()-4&gt;$AD$2),NA(),COUNTIF(INDEX($CB$5:$CH$201,INDEX($U$4:$U$11,1,1),$AC$2):INDEX($CB$5:$CH$201,INDEX($U$4:$U$11,1,1)+ROW()-5,$AC$2),EG$3))</f>
        <v>#N/A</v>
      </c>
      <c r="EH24" t="e">
        <f>IF(OR(ROW()-4&gt;INDEX($U$4:$U$11,$AC$2+1,1)-INDEX($U$4:$U$11,$AC$2,1),ROW()-4&gt;$AD$2),NA(),COUNTIF(INDEX($CB$5:$CH$201,INDEX($U$4:$U$11,1,1),$AC$2):INDEX($CB$5:$CH$201,INDEX($U$4:$U$11,1,1)+ROW()-5,$AC$2),EH$3))</f>
        <v>#N/A</v>
      </c>
      <c r="EI24" t="e">
        <f>IF(OR(ROW()-4&gt;INDEX($U$4:$U$11,$AC$2+1,1)-INDEX($U$4:$U$11,$AC$2,1),ROW()-4&gt;$AD$2),NA(),COUNTIF(INDEX($CB$5:$CH$201,INDEX($U$4:$U$11,1,1),$AC$2):INDEX($CB$5:$CH$201,INDEX($U$4:$U$11,1,1)+ROW()-5,$AC$2),EI$3))</f>
        <v>#N/A</v>
      </c>
      <c r="EJ24" t="e">
        <f>IF(OR(ROW()-4&gt;INDEX($U$4:$U$11,$AC$2+1,1)-INDEX($U$4:$U$11,$AC$2,1),ROW()-4&gt;$AD$2),NA(),COUNTIF(INDEX($CB$5:$CH$201,INDEX($U$4:$U$11,1,1),$AC$2):INDEX($CB$5:$CH$201,INDEX($U$4:$U$11,1,1)+ROW()-5,$AC$2),EJ$3))</f>
        <v>#N/A</v>
      </c>
      <c r="EK24" t="e">
        <f>IF(OR(ROW()-4&gt;INDEX($U$4:$U$11,$AC$2+1,1)-INDEX($U$4:$U$11,$AC$2,1),ROW()-4&gt;$AD$2),NA(),COUNTIF(INDEX($CB$5:$CH$201,INDEX($U$4:$U$11,1,1),$AC$2):INDEX($CB$5:$CH$201,INDEX($U$4:$U$11,1,1)+ROW()-5,$AC$2),EK$3))</f>
        <v>#N/A</v>
      </c>
      <c r="EL24" t="e">
        <f>IF(OR(ROW()-4&gt;INDEX($U$4:$U$11,$AC$2+1,1)-INDEX($U$4:$U$11,$AC$2,1),ROW()-4&gt;$AD$2),NA(),COUNTIF(INDEX($CB$5:$CH$201,INDEX($U$4:$U$11,1,1),$AC$2):INDEX($CB$5:$CH$201,INDEX($U$4:$U$11,1,1)+ROW()-5,$AC$2),EL$3))</f>
        <v>#N/A</v>
      </c>
      <c r="EN24" t="e">
        <f>IF(OR(ROW()-4&gt;INDEX($U$4:$U$11,$AC$2+1,1)-INDEX($U$4:$U$11,$AC$2,1),ROW()-4&gt;$AD$2),NA(),COUNTIF(INDEX($CJ$5:$CP$201,INDEX($U$4:$U$11,1,1),$AC$2):INDEX($CJ$5:$CP$201,INDEX($U$4:$U$11,1,1)+ROW()-5,$AC$2),EN$3))</f>
        <v>#N/A</v>
      </c>
      <c r="EO24" t="e">
        <f>IF(OR(ROW()-4&gt;INDEX($U$4:$U$11,$AC$2+1,1)-INDEX($U$4:$U$11,$AC$2,1),ROW()-4&gt;$AD$2),NA(),COUNTIF(INDEX($CJ$5:$CP$201,INDEX($U$4:$U$11,1,1),$AC$2):INDEX($CJ$5:$CP$201,INDEX($U$4:$U$11,1,1)+ROW()-5,$AC$2),EO$3))</f>
        <v>#N/A</v>
      </c>
      <c r="EQ24" t="e">
        <f>IF(OR(ROW()-4&gt;INDEX($U$4:$U$11,$AC$2+1,1)-INDEX($U$4:$U$11,$AC$2,1),ROW()-4&gt;$AD$2),NA(),COUNTIF(INDEX($CJ$5:$CP$201,INDEX($U$4:$U$11,1,1),$AC$2):INDEX($CJ$5:$CP$201,INDEX($U$4:$U$11,1,1)+ROW()-5,$AC$2),EQ$3))</f>
        <v>#N/A</v>
      </c>
      <c r="ER24" t="e">
        <f>IF(OR(ROW()-4&gt;INDEX($U$4:$U$11,$AC$2+1,1)-INDEX($U$4:$U$11,$AC$2,1),ROW()-4&gt;$AD$2),NA(),COUNTIF(INDEX($CJ$5:$CP$201,INDEX($U$4:$U$11,1,1),$AC$2):INDEX($CJ$5:$CP$201,INDEX($U$4:$U$11,1,1)+ROW()-5,$AC$2),ER$3))</f>
        <v>#N/A</v>
      </c>
      <c r="ET24" t="e">
        <f>IF(OR(ROW()-4&gt;INDEX($U$4:$U$11,$AC$2+1,1)-INDEX($U$4:$U$11,$AC$2,1),ROW()-4&gt;$AD$2),NA(),COUNTIF(INDEX($CR$5:$CX$201,INDEX($U$4:$U$11,1,1),$AC$2):INDEX($CR$5:$CX$201,INDEX($U$4:$U$11,1,1)+ROW()-5,$AC$2),ET$3))</f>
        <v>#N/A</v>
      </c>
      <c r="EU24" t="e">
        <f>IF(OR(ROW()-4&gt;INDEX($U$4:$U$11,$AC$2+1,1)-INDEX($U$4:$U$11,$AC$2,1),ROW()-4&gt;$AD$2),NA(),COUNTIF(INDEX($CR$5:$CX$201,INDEX($U$4:$U$11,1,1),$AC$2):INDEX($CR$5:$CX$201,INDEX($U$4:$U$11,1,1)+ROW()-5,$AC$2),EU$3))</f>
        <v>#N/A</v>
      </c>
      <c r="EV24" t="e">
        <f>IF(OR(ROW()-4&gt;INDEX($U$4:$U$11,$AC$2+1,1)-INDEX($U$4:$U$11,$AC$2,1),ROW()-4&gt;$AD$2),NA(),COUNTIF(INDEX($CR$5:$CX$201,INDEX($U$4:$U$11,1,1),$AC$2):INDEX($CR$5:$CX$201,INDEX($U$4:$U$11,1,1)+ROW()-5,$AC$2),EV$3))</f>
        <v>#N/A</v>
      </c>
      <c r="EW24" t="e">
        <f>IF(OR(ROW()-4&gt;INDEX($U$4:$U$11,$AC$2+1,1)-INDEX($U$4:$U$11,$AC$2,1),ROW()-4&gt;$AD$2),NA(),COUNTIF(INDEX($CR$5:$CX$201,INDEX($U$4:$U$11,1,1),$AC$2):INDEX($CR$5:$CX$201,INDEX($U$4:$U$11,1,1)+ROW()-5,$AC$2),EW$3))</f>
        <v>#N/A</v>
      </c>
      <c r="EX24" t="e">
        <f>IF(OR(ROW()-4&gt;INDEX($U$4:$U$11,$AC$2+1,1)-INDEX($U$4:$U$11,$AC$2,1),ROW()-4&gt;$AD$2),NA(),COUNTIF(INDEX($CR$5:$CX$201,INDEX($U$4:$U$11,1,1),$AC$2):INDEX($CR$5:$CX$201,INDEX($U$4:$U$11,1,1)+ROW()-5,$AC$2),EX$3))</f>
        <v>#N/A</v>
      </c>
      <c r="EY24" t="e">
        <f>IF(OR(ROW()-4&gt;INDEX($U$4:$U$11,$AC$2+1,1)-INDEX($U$4:$U$11,$AC$2,1),ROW()-4&gt;$AD$2),NA(),COUNTIF(INDEX($CR$5:$CX$201,INDEX($U$4:$U$11,1,1),$AC$2):INDEX($CR$5:$CX$201,INDEX($U$4:$U$11,1,1)+ROW()-5,$AC$2),EY$3))</f>
        <v>#N/A</v>
      </c>
      <c r="EZ24" t="e">
        <f>IF(OR(ROW()-4&gt;INDEX($U$4:$U$11,$AC$2+1,1)-INDEX($U$4:$U$11,$AC$2,1),ROW()-4&gt;$AD$2),NA(),COUNTIF(INDEX($CR$5:$CX$201,INDEX($U$4:$U$11,1,1),$AC$2):INDEX($CR$5:$CX$201,INDEX($U$4:$U$11,1,1)+ROW()-5,$AC$2),EZ$3))</f>
        <v>#N/A</v>
      </c>
      <c r="FA24" t="e">
        <f>IF(OR(ROW()-4&gt;INDEX($U$4:$U$11,$AC$2+1,1)-INDEX($U$4:$U$11,$AC$2,1),ROW()-4&gt;$AD$2),NA(),COUNTIF(INDEX($CR$5:$CX$201,INDEX($U$4:$U$11,1,1),$AC$2):INDEX($CR$5:$CX$201,INDEX($U$4:$U$11,1,1)+ROW()-5,$AC$2),FA$3))</f>
        <v>#N/A</v>
      </c>
      <c r="FC24" t="e">
        <f>IF(OR(ROW()-4&gt;INDEX($U$4:$U$11,$AC$2+1,1)-INDEX($U$4:$U$11,$AC$2,1),ROW()-4&gt;$AD$2),NA(),COUNTIF(INDEX($CR$5:$CX$201,INDEX($U$4:$U$11,1,1),$AC$2):INDEX($CR$5:$CX$201,INDEX($U$4:$U$11,1,1)+ROW()-5,$AC$2),FC$3))</f>
        <v>#N/A</v>
      </c>
      <c r="FD24" t="e">
        <f>IF(OR(ROW()-4&gt;INDEX($U$4:$U$11,$AC$2+1,1)-INDEX($U$4:$U$11,$AC$2,1),ROW()-4&gt;$AD$2),NA(),COUNTIF(INDEX($CR$5:$CX$201,INDEX($U$4:$U$11,1,1),$AC$2):INDEX($CR$5:$CX$201,INDEX($U$4:$U$11,1,1)+ROW()-5,$AC$2),FD$3))</f>
        <v>#N/A</v>
      </c>
      <c r="FE24" t="e">
        <f>IF(OR(ROW()-4&gt;INDEX($U$4:$U$11,$AC$2+1,1)-INDEX($U$4:$U$11,$AC$2,1),ROW()-4&gt;$AD$2),NA(),COUNTIF(INDEX($CR$5:$CX$201,INDEX($U$4:$U$11,1,1),$AC$2):INDEX($CR$5:$CX$201,INDEX($U$4:$U$11,1,1)+ROW()-5,$AC$2),FE$3))</f>
        <v>#N/A</v>
      </c>
      <c r="FF24" t="e">
        <f>IF(OR(ROW()-4&gt;INDEX($U$4:$U$11,$AC$2+1,1)-INDEX($U$4:$U$11,$AC$2,1),ROW()-4&gt;$AD$2),NA(),COUNTIF(INDEX($CR$5:$CX$201,INDEX($U$4:$U$11,1,1),$AC$2):INDEX($CR$5:$CX$201,INDEX($U$4:$U$11,1,1)+ROW()-5,$AC$2),FF$3))</f>
        <v>#N/A</v>
      </c>
      <c r="FG24" t="e">
        <f>IF(OR(ROW()-4&gt;INDEX($U$4:$U$11,$AC$2+1,1)-INDEX($U$4:$U$11,$AC$2,1),ROW()-4&gt;$AD$2),NA(),COUNTIF(INDEX($CR$5:$CX$201,INDEX($U$4:$U$11,1,1),$AC$2):INDEX($CR$5:$CX$201,INDEX($U$4:$U$11,1,1)+ROW()-5,$AC$2),FG$3))</f>
        <v>#N/A</v>
      </c>
      <c r="FH24" t="e">
        <f>IF(OR(ROW()-4&gt;INDEX($U$4:$U$11,$AC$2+1,1)-INDEX($U$4:$U$11,$AC$2,1),ROW()-4&gt;$AD$2),NA(),COUNTIF(INDEX($CR$5:$CX$201,INDEX($U$4:$U$11,1,1),$AC$2):INDEX($CR$5:$CX$201,INDEX($U$4:$U$11,1,1)+ROW()-5,$AC$2),FH$3))</f>
        <v>#N/A</v>
      </c>
      <c r="FI24" t="e">
        <f>IF(OR(ROW()-4&gt;INDEX($U$4:$U$11,$AC$2+1,1)-INDEX($U$4:$U$11,$AC$2,1),ROW()-4&gt;$AD$2),NA(),COUNTIF(INDEX($CR$5:$CX$201,INDEX($U$4:$U$11,1,1),$AC$2):INDEX($CR$5:$CX$201,INDEX($U$4:$U$11,1,1)+ROW()-5,$AC$2),FI$3))</f>
        <v>#N/A</v>
      </c>
      <c r="FJ24" t="e">
        <f>IF(OR(ROW()-4&gt;INDEX($U$4:$U$11,$AC$2+1,1)-INDEX($U$4:$U$11,$AC$2,1),ROW()-4&gt;$AD$2),NA(),COUNTIF(INDEX($CR$5:$CX$201,INDEX($U$4:$U$11,1,1),$AC$2):INDEX($CR$5:$CX$201,INDEX($U$4:$U$11,1,1)+ROW()-5,$AC$2),FJ$3))</f>
        <v>#N/A</v>
      </c>
      <c r="FL24" t="e">
        <f>IF(OR(ROW()-4&gt;INDEX($U$4:$U$11,$AC$2+1,1)-INDEX($U$4:$U$11,$AC$2,1),ROW()-4&gt;$AD$2),NA(),COUNTIF(INDEX($CZ$5:$DF$201,INDEX($U$4:$U$11,1,1),$AC$2):INDEX($CZ$5:$DF$201,INDEX($U$4:$U$11,1,1)+ROW()-5,$AC$2),FL$3))</f>
        <v>#N/A</v>
      </c>
      <c r="FM24" t="e">
        <f>IF(OR(ROW()-4&gt;INDEX($U$4:$U$11,$AC$2+1,1)-INDEX($U$4:$U$11,$AC$2,1),ROW()-4&gt;$AD$2),NA(),COUNTIF(INDEX($CZ$5:$DF$201,INDEX($U$4:$U$11,1,1),$AC$2):INDEX($CZ$5:$DF$201,INDEX($U$4:$U$11,1,1)+ROW()-5,$AC$2),FM$3))</f>
        <v>#N/A</v>
      </c>
      <c r="FN24" t="e">
        <f>IF(OR(ROW()-4&gt;INDEX($U$4:$U$11,$AC$2+1,1)-INDEX($U$4:$U$11,$AC$2,1),ROW()-4&gt;$AD$2),NA(),COUNTIF(INDEX($CZ$5:$DF$201,INDEX($U$4:$U$11,1,1),$AC$2):INDEX($CZ$5:$DF$201,INDEX($U$4:$U$11,1,1)+ROW()-5,$AC$2),FN$3))</f>
        <v>#N/A</v>
      </c>
      <c r="FO24" t="e">
        <f>IF(OR(ROW()-4&gt;INDEX($U$4:$U$11,$AC$2+1,1)-INDEX($U$4:$U$11,$AC$2,1),ROW()-4&gt;$AD$2),NA(),COUNTIF(INDEX($CZ$5:$DF$201,INDEX($U$4:$U$11,1,1),$AC$2):INDEX($CZ$5:$DF$201,INDEX($U$4:$U$11,1,1)+ROW()-5,$AC$2),FO$3))</f>
        <v>#N/A</v>
      </c>
      <c r="FP24" t="e">
        <f>IF(OR(ROW()-4&gt;INDEX($U$4:$U$11,$AC$2+1,1)-INDEX($U$4:$U$11,$AC$2,1),ROW()-4&gt;$AD$2),NA(),COUNTIF(INDEX($CZ$5:$DF$201,INDEX($U$4:$U$11,1,1),$AC$2):INDEX($CZ$5:$DF$201,INDEX($U$4:$U$11,1,1)+ROW()-5,$AC$2),FP$3))</f>
        <v>#N/A</v>
      </c>
      <c r="FQ24" t="e">
        <f>IF(OR(ROW()-4&gt;INDEX($U$4:$U$11,$AC$2+1,1)-INDEX($U$4:$U$11,$AC$2,1),ROW()-4&gt;$AD$2),NA(),COUNTIF(INDEX($CZ$5:$DF$201,INDEX($U$4:$U$11,1,1),$AC$2):INDEX($CZ$5:$DF$201,INDEX($U$4:$U$11,1,1)+ROW()-5,$AC$2),FQ$3))</f>
        <v>#N/A</v>
      </c>
      <c r="FR24" t="e">
        <f>IF(OR(ROW()-4&gt;INDEX($U$4:$U$11,$AC$2+1,1)-INDEX($U$4:$U$11,$AC$2,1),ROW()-4&gt;$AD$2),NA(),COUNTIF(INDEX($CZ$5:$DF$201,INDEX($U$4:$U$11,1,1),$AC$2):INDEX($CZ$5:$DF$201,INDEX($U$4:$U$11,1,1)+ROW()-5,$AC$2),FR$3))</f>
        <v>#N/A</v>
      </c>
      <c r="FS24" t="e">
        <f>IF(OR(ROW()-4&gt;INDEX($U$4:$U$11,$AC$2+1,1)-INDEX($U$4:$U$11,$AC$2,1),ROW()-4&gt;$AD$2),NA(),COUNTIF(INDEX($CZ$5:$DF$201,INDEX($U$4:$U$11,1,1),$AC$2):INDEX($CZ$5:$DF$201,INDEX($U$4:$U$11,1,1)+ROW()-5,$AC$2),FS$3))</f>
        <v>#N/A</v>
      </c>
      <c r="FT24" t="e">
        <f>IF(OR(ROW()-4&gt;INDEX($U$4:$U$11,$AC$2+1,1)-INDEX($U$4:$U$11,$AC$2,1),ROW()-4&gt;$AD$2),NA(),COUNTIF(INDEX($CZ$5:$DF$201,INDEX($U$4:$U$11,1,1),$AC$2):INDEX($CZ$5:$DF$201,INDEX($U$4:$U$11,1,1)+ROW()-5,$AC$2),FT$3))</f>
        <v>#N/A</v>
      </c>
      <c r="FU24" t="e">
        <f>IF(OR(ROW()-4&gt;INDEX($U$4:$U$11,$AC$2+1,1)-INDEX($U$4:$U$11,$AC$2,1),ROW()-4&gt;$AD$2),NA(),COUNTIF(INDEX($CZ$5:$DF$201,INDEX($U$4:$U$11,1,1),$AC$2):INDEX($CZ$5:$DF$201,INDEX($U$4:$U$11,1,1)+ROW()-5,$AC$2),FU$3))</f>
        <v>#N/A</v>
      </c>
      <c r="FW24" t="e">
        <f>IF(OR(ROW()-4&gt;INDEX($U$4:$U$11,$AC$2+1,1)-INDEX($U$4:$U$11,$AC$2,1),ROW()-4&gt;$AD$2),NA(),COUNTIF(INDEX($CZ$5:$DF$201,INDEX($U$4:$U$11,1,1),$AC$2):INDEX($CZ$5:$DF$201,INDEX($U$4:$U$11,1,1)+ROW()-5,$AC$2),FW$3))</f>
        <v>#N/A</v>
      </c>
      <c r="FX24" t="e">
        <f>IF(OR(ROW()-4&gt;INDEX($U$4:$U$11,$AC$2+1,1)-INDEX($U$4:$U$11,$AC$2,1),ROW()-4&gt;$AD$2),NA(),COUNTIF(INDEX($CZ$5:$DF$201,INDEX($U$4:$U$11,1,1),$AC$2):INDEX($CZ$5:$DF$201,INDEX($U$4:$U$11,1,1)+ROW()-5,$AC$2),FX$3))</f>
        <v>#N/A</v>
      </c>
      <c r="FY24" t="e">
        <f>IF(OR(ROW()-4&gt;INDEX($U$4:$U$11,$AC$2+1,1)-INDEX($U$4:$U$11,$AC$2,1),ROW()-4&gt;$AD$2),NA(),COUNTIF(INDEX($CZ$5:$DF$201,INDEX($U$4:$U$11,1,1),$AC$2):INDEX($CZ$5:$DF$201,INDEX($U$4:$U$11,1,1)+ROW()-5,$AC$2),FY$3))</f>
        <v>#N/A</v>
      </c>
      <c r="FZ24" t="e">
        <f>IF(OR(ROW()-4&gt;INDEX($U$4:$U$11,$AC$2+1,1)-INDEX($U$4:$U$11,$AC$2,1),ROW()-4&gt;$AD$2),NA(),COUNTIF(INDEX($CZ$5:$DF$201,INDEX($U$4:$U$11,1,1),$AC$2):INDEX($CZ$5:$DF$201,INDEX($U$4:$U$11,1,1)+ROW()-5,$AC$2),FZ$3))</f>
        <v>#N/A</v>
      </c>
      <c r="GA24" t="e">
        <f>IF(OR(ROW()-4&gt;INDEX($U$4:$U$11,$AC$2+1,1)-INDEX($U$4:$U$11,$AC$2,1),ROW()-4&gt;$AD$2),NA(),COUNTIF(INDEX($CZ$5:$DF$201,INDEX($U$4:$U$11,1,1),$AC$2):INDEX($CZ$5:$DF$201,INDEX($U$4:$U$11,1,1)+ROW()-5,$AC$2),GA$3))</f>
        <v>#N/A</v>
      </c>
      <c r="GB24" t="e">
        <f>IF(OR(ROW()-4&gt;INDEX($U$4:$U$11,$AC$2+1,1)-INDEX($U$4:$U$11,$AC$2,1),ROW()-4&gt;$AD$2),NA(),COUNTIF(INDEX($CZ$5:$DF$201,INDEX($U$4:$U$11,1,1),$AC$2):INDEX($CZ$5:$DF$201,INDEX($U$4:$U$11,1,1)+ROW()-5,$AC$2),GB$3))</f>
        <v>#N/A</v>
      </c>
      <c r="GC24" t="e">
        <f>IF(OR(ROW()-4&gt;INDEX($U$4:$U$11,$AC$2+1,1)-INDEX($U$4:$U$11,$AC$2,1),ROW()-4&gt;$AD$2),NA(),COUNTIF(INDEX($CZ$5:$DF$201,INDEX($U$4:$U$11,1,1),$AC$2):INDEX($CZ$5:$DF$201,INDEX($U$4:$U$11,1,1)+ROW()-5,$AC$2),GC$3))</f>
        <v>#N/A</v>
      </c>
      <c r="GD24" t="e">
        <f>IF(OR(ROW()-4&gt;INDEX($U$4:$U$11,$AC$2+1,1)-INDEX($U$4:$U$11,$AC$2,1),ROW()-4&gt;$AD$2),NA(),COUNTIF(INDEX($CZ$5:$DF$201,INDEX($U$4:$U$11,1,1),$AC$2):INDEX($CZ$5:$DF$201,INDEX($U$4:$U$11,1,1)+ROW()-5,$AC$2),GD$3))</f>
        <v>#N/A</v>
      </c>
      <c r="GE24" t="e">
        <f>IF(OR(ROW()-4&gt;INDEX($U$4:$U$11,$AC$2+1,1)-INDEX($U$4:$U$11,$AC$2,1),ROW()-4&gt;$AD$2),NA(),COUNTIF(INDEX($CZ$5:$DF$201,INDEX($U$4:$U$11,1,1),$AC$2):INDEX($CZ$5:$DF$201,INDEX($U$4:$U$11,1,1)+ROW()-5,$AC$2),GE$3))</f>
        <v>#N/A</v>
      </c>
      <c r="GF24" t="e">
        <f>IF(OR(ROW()-4&gt;INDEX($U$4:$U$11,$AC$2+1,1)-INDEX($U$4:$U$11,$AC$2,1),ROW()-4&gt;$AD$2),NA(),COUNTIF(INDEX($CZ$5:$DF$201,INDEX($U$4:$U$11,1,1),$AC$2):INDEX($CZ$5:$DF$201,INDEX($U$4:$U$11,1,1)+ROW()-5,$AC$2),GF$3))</f>
        <v>#N/A</v>
      </c>
      <c r="HE24" t="s">
        <v>57</v>
      </c>
      <c r="HF24">
        <f>INDEX($FF$5:$FF$40,$AD$2)</f>
        <v>2</v>
      </c>
      <c r="HG24">
        <f>INDEX($FF$4:$FF$40,$AD$2+1)-INDEX($FF$4:$FF$40,$AD$2)</f>
        <v>0</v>
      </c>
      <c r="HH24" s="59">
        <f>INDEX($FF$55:$FF$90,$AD$2)</f>
        <v>1</v>
      </c>
      <c r="HI24" s="59">
        <f t="shared" si="131"/>
        <v>1</v>
      </c>
      <c r="HM24" s="67">
        <f>INDEX($GA$4:$GA$40,$AD$2+1)-INDEX($GA$4:$GA$40,$AD$2)</f>
        <v>0</v>
      </c>
      <c r="HN24" s="67">
        <f>INDEX($GB$4:$GB$40,$AD$2+1)-INDEX($GB$4:$GB$40,$AD$2)</f>
        <v>0</v>
      </c>
      <c r="HO24" s="67">
        <f>INDEX($GC$4:$GC$40,$AD$2+1)-INDEX($GC$4:$GC$40,$AD$2)</f>
        <v>0</v>
      </c>
      <c r="HP24" s="67">
        <f>INDEX($GD$4:$GD$40,$AD$2+1)-INDEX($GD$4:$GD$40,$AD$2)</f>
        <v>0</v>
      </c>
    </row>
    <row r="25" spans="1:224" x14ac:dyDescent="0.45">
      <c r="A25" t="str">
        <f>データの貼付!A23</f>
        <v>KIHARA Miyuu</v>
      </c>
      <c r="B25">
        <f>データの貼付!B23</f>
        <v>5.8353009259259269E-3</v>
      </c>
      <c r="C25">
        <f>データの貼付!C23</f>
        <v>7.1828703703703711E-5</v>
      </c>
      <c r="D25">
        <f>データの貼付!D23</f>
        <v>6.9444444444444447E-4</v>
      </c>
      <c r="E25" t="str">
        <f>データの貼付!F23</f>
        <v>KIHARA Miyuu</v>
      </c>
      <c r="F25">
        <f>データの貼付!E23</f>
        <v>0</v>
      </c>
      <c r="G25" t="str">
        <f>データの貼付!G23</f>
        <v>#03</v>
      </c>
      <c r="H25" t="str">
        <f>データの貼付!H23</f>
        <v>KIHARA Miyuu</v>
      </c>
      <c r="I25" t="str">
        <f>データの貼付!I23</f>
        <v>(Side)</v>
      </c>
      <c r="J25" t="str">
        <f>データの貼付!J23</f>
        <v>B</v>
      </c>
      <c r="K25" t="str">
        <f>データの貼付!K23</f>
        <v>FS</v>
      </c>
      <c r="L25" t="str">
        <f>データの貼付!L23</f>
        <v>F</v>
      </c>
      <c r="M25" t="str">
        <f>データの貼付!M23</f>
        <v>Stop</v>
      </c>
      <c r="N25" t="str">
        <f>データの貼付!N23</f>
        <v>FMS</v>
      </c>
      <c r="R25">
        <f t="shared" si="59"/>
        <v>0</v>
      </c>
      <c r="S25">
        <f>SUM(R$4:R25)</f>
        <v>2</v>
      </c>
      <c r="T25" t="str">
        <f t="shared" si="60"/>
        <v/>
      </c>
      <c r="W25" t="str">
        <f t="shared" si="57"/>
        <v>KIHARA Miyuu_KIHARA Miyuu</v>
      </c>
      <c r="X25" t="str">
        <f t="shared" si="58"/>
        <v>KIHARA Miyuu_#03</v>
      </c>
      <c r="Y25" s="38">
        <v>5</v>
      </c>
      <c r="Z25" s="38">
        <f>COUNTIF(INDEX($E$4:$E$200,INDEX($U$4:$U$11,$Y25)):INDEX($E$4:$E$200,INDEX($U$4:$U$11,$Y25+1)-1),AC$3)</f>
        <v>5</v>
      </c>
      <c r="AA25" s="38">
        <f>COUNTIF(INDEX($E$4:$E$200,INDEX($U$4:$U$11,$Y25)):INDEX($E$4:$E$200,INDEX($U$4:$U$11,$Y25+1)-1),AD$3)</f>
        <v>3</v>
      </c>
      <c r="AC25" s="8" t="e">
        <f>IF(OR(ROW()-4&gt;INDEX($U$4:$U$11,AC$2+1)-INDEX($U$4:$U$11,AC$2),ROW()-4&gt;AD$2),NA(),COUNTIF(INDEX($W$4:$W$200,INDEX($U$4:$U$11,AC$2)):INDEX($W$4:$W$200,INDEX($U$4:$U$11,AC$2)+ROW()-5),AC$3&amp;"_"&amp;AC$3)/(COUNTIF(INDEX($W$4:$W$200,INDEX($U$4:$U$11,AC$2)):INDEX($W$4:$W$200,INDEX($U$4:$U$11,AC$2)+ROW()-5),AC$3&amp;"_"&amp;AC$3)+COUNTIF(INDEX($W$4:$W$200,INDEX($U$4:$U$11,AC$2)):INDEX($W$4:$W$200,INDEX($U$4:$U$11,AC$2)+ROW()-5),AD$3&amp;"_"&amp;AC$3)))</f>
        <v>#N/A</v>
      </c>
      <c r="AD25" s="8" t="e">
        <f>IF(OR(ROW()-4&gt;INDEX($U$4:$U$11,AC$2+1)-INDEX($U$4:$U$11,AC$2),ROW()-4&gt;AD$2),NA(),COUNTIF(INDEX($W$4:$W$200,INDEX($U$4:$U$11,AC$2)):INDEX($W$4:$W$200,INDEX($U$4:$U$11,AC$2)+ROW()-5),AD$3&amp;"_"&amp;AD$3)/(COUNTIF(INDEX($W$4:$W$200,INDEX($U$4:$U$11,AC$2)):INDEX($W$4:$W$200,INDEX($U$4:$U$11,AC$2)+ROW()-5),AD$3&amp;"_"&amp;AD$3)+COUNTIF(INDEX($W$4:$W$200,INDEX($U$4:$U$11,AC$2)):INDEX($W$4:$W$200,INDEX($U$4:$U$11,AC$2)+ROW()-5),AC$3&amp;"_"&amp;AD$3)))</f>
        <v>#N/A</v>
      </c>
      <c r="AE25" s="10" t="e">
        <f>IF(OR(ROW()-4&gt;INDEX($U$4:$U$11,AC$2+1)-INDEX($U$4:$U$11,AC$2),ROW()-4&gt;AD$2),NA(),COUNTIF(INDEX($W$4:$W$200,INDEX($U$4:$U$11,AC$2)):INDEX($W$4:$W$200,INDEX($U$4:$U$11,AC$2)+ROW()-5),AC$3&amp;"_"&amp;AD$3)/(COUNTIF(INDEX($W$4:$W$200,INDEX($U$4:$U$11,AC$2)):INDEX($W$4:$W$200,INDEX($U$4:$U$11,AC$2)+ROW()-5),AC$3&amp;"_"&amp;AD$3)+COUNTIF(INDEX($W$4:$W$200,INDEX($U$4:$U$11,AC$2)):INDEX($W$4:$W$200,INDEX($U$4:$U$11,AC$2)+ROW()-5),AD$3&amp;"_"&amp;AD$3)))</f>
        <v>#N/A</v>
      </c>
      <c r="AF25" s="10" t="e">
        <f>IF(OR(ROW()-4&gt;INDEX($U$4:$U$11,AC$2+1)-INDEX($U$4:$U$11,AC$2),ROW()-4&gt;AD$2),NA(),COUNTIF(INDEX($W$4:$W$200,INDEX($U$4:$U$11,AC$2)):INDEX($W$4:$W$200,INDEX($U$4:$U$11,AC$2)+ROW()-5),AD$3&amp;"_"&amp;AC$3)/(COUNTIF(INDEX($W$4:$W$200,INDEX($U$4:$U$11,AC$2)):INDEX($W$4:$W$200,INDEX($U$4:$U$11,AC$2)+ROW()-5),AD$3&amp;"_"&amp;AC$3)+COUNTIF(INDEX($W$4:$W$200,INDEX($U$4:$U$11,AC$2)):INDEX($W$4:$W$200,INDEX($U$4:$U$11,AC$2)+ROW()-5),AC$3&amp;"_"&amp;AC$3)))</f>
        <v>#N/A</v>
      </c>
      <c r="AG25" s="10" t="e">
        <f>IF(OR(ROW()-4&gt;INDEX($U$4:$U$11,AC$2+1)-INDEX($U$4:$U$11,AC$2),ROW()-4&gt;AD$2),NA(),COUNTIF(INDEX($X$4:$X$200,INDEX($U$4:$U$11,AC$2)):INDEX($X$4:$X$200,INDEX($U$4:$U$11,AC$2)+ROW()-5),AC$3&amp;"_#03")/(COUNTIF(INDEX($W$4:$W$200,INDEX($U$4:$U$11,AC$2)):INDEX($W$4:$W$200,INDEX($U$4:$U$11,AC$2)+ROW()-5),AC$3&amp;"_"&amp;AC$3)+COUNTIF(INDEX($W$4:$W$200,INDEX($U$4:$U$11,AC$2)):INDEX($W$4:$W$200,INDEX($U$4:$U$11,AC$2)+ROW()-5),AD$3&amp;"_"&amp;AC$3)))</f>
        <v>#N/A</v>
      </c>
      <c r="AH25" s="10" t="e">
        <f>IF(OR(ROW()-4&gt;INDEX($U$4:$U$11,AC$2+1)-INDEX($U$4:$U$11,AC$2),ROW()-4&gt;AD$2),NA(),COUNTIF(INDEX($X$4:$X$200,INDEX($U$4:$U$11,AC$2)):INDEX($X$4:$X$200,INDEX($U$4:$U$11,AC$2)+ROW()-5),AD$3&amp;"_#03")/(COUNTIF(INDEX($W$4:$W$200,INDEX($U$4:$U$11,AC$2)):INDEX($W$4:$W$200,INDEX($U$4:$U$11,AC$2)+ROW()-5),AD$3&amp;"_"&amp;AD$3)+COUNTIF(INDEX($W$4:$W$200,INDEX($U$4:$U$11,AC$2)):INDEX($W$4:$W$200,INDEX($U$4:$U$11,AC$2)+ROW()-5),AC$3&amp;"_"&amp;AD$3)))</f>
        <v>#N/A</v>
      </c>
      <c r="AI25" s="10" t="e">
        <f>IF(OR(ROW()-4&gt;INDEX($U$4:$U$11,AC$2+1)-INDEX($U$4:$U$11,AC$2),ROW()-4&gt;AD$2),NA(),(COUNTIF(INDEX($X$4:$X$200,INDEX($U$4:$U$11,AC$2)):INDEX($X$4:$X$200,INDEX($U$4:$U$11,AC$2)+ROW()-5),AC$3&amp;"_#03")-COUNTIF(INDEX($X$4:$X$200,INDEX($U$4:$U$11,AC$2)):INDEX($X$4:$X$200,INDEX($U$4:$U$11,AC$2)+ROW()-5),AD$3&amp;"_#02"))/(COUNTIF(INDEX($W$4:$W$200,INDEX($U$4:$U$11,AC$2)):INDEX($W$4:$W$200,INDEX($U$4:$U$11,AC$2)+ROW()-5),AC$3&amp;"_"&amp;AC$3)+COUNTIF(INDEX($W$4:$W$200,INDEX($U$4:$U$11,AC$2)):INDEX($W$4:$W$200,INDEX($U$4:$U$11,AC$2)+ROW()-5),AD$3&amp;"_"&amp;AC$3)))</f>
        <v>#N/A</v>
      </c>
      <c r="AJ25" s="10" t="e">
        <f>IF(OR(ROW()-4&gt;INDEX($U$4:$U$11,AC$2+1)-INDEX($U$4:$U$11,AC$2),ROW()-4&gt;AD$2),NA(),(COUNTIF(INDEX($X$4:$X$200,INDEX($U$4:$U$11,AC$2)):INDEX($X$4:$X$200,INDEX($U$4:$U$11,AC$2)+ROW()-5),AD$3&amp;"_#03")-COUNTIF(INDEX($X$4:$X$200,INDEX($U$4:$U$11,AC$2)):INDEX($X$4:$X$200,INDEX($U$4:$U$11,AC$2)+ROW()-5),AC$3&amp;"_#02"))/(COUNTIF(INDEX($W$4:$W$200,INDEX($U$4:$U$11,AC$2)):INDEX($W$4:$W$200,INDEX($U$4:$U$11,AC$2)+ROW()-5),AD$3&amp;"_"&amp;AD$3)+COUNTIF(INDEX($W$4:$W$200,INDEX($U$4:$U$11,AC$2)):INDEX($W$4:$W$200,INDEX($U$4:$U$11,AC$2)+ROW()-5),AC$3&amp;"_"&amp;AD$3)))</f>
        <v>#N/A</v>
      </c>
      <c r="AK25" s="10" t="e">
        <f>IF(OR(ROW()-4&gt;INDEX($U$4:$U$11,AC$2+1)-INDEX($U$4:$U$11,AC$2),ROW()-4&gt;AD$2),NA(),(COUNTIF(INDEX($X$4:$X$200,INDEX($U$4:$U$11,AC$2)):INDEX($X$4:$X$200,INDEX($U$4:$U$11,AC$2)+ROW()-5),AC$3&amp;"_#01")+COUNTIF(INDEX($X$4:$X$200,INDEX($U$4:$U$11,AC$2)):INDEX($X$4:$X$200,INDEX($U$4:$U$11,AC$2)+ROW()-5),AC$3&amp;"_#03"))/(COUNTIF(INDEX($W$4:$W$200,INDEX($U$4:$U$11,AC$2)):INDEX($W$4:$W$200,INDEX($U$4:$U$11,AC$2)+ROW()-5),AC$3&amp;"_"&amp;AC$3)+COUNTIF(INDEX($W$4:$W$200,INDEX($U$4:$U$11,AC$2)):INDEX($W$4:$W$200,INDEX($U$4:$U$11,AC$2)+ROW()-5),AD$3&amp;"_"&amp;AC$3)))</f>
        <v>#N/A</v>
      </c>
      <c r="AL25" s="10" t="e">
        <f>IF(OR(ROW()-4&gt;INDEX($U$4:$U$11,AC$2+1)-INDEX($U$4:$U$11,AC$2),ROW()-4&gt;AD$2),NA(),(COUNTIF(INDEX($X$4:$X$200,INDEX($U$4:$U$11,AC$2)):INDEX($X$4:$X$200,INDEX($U$4:$U$11,AC$2)+ROW()-5),AD$3&amp;"_#01")+COUNTIF(INDEX($X$4:$X$200,INDEX($U$4:$U$11,AC$2)):INDEX($X$4:$X$200,INDEX($U$4:$U$11,AC$2)+ROW()-5),AD$3&amp;"_#03"))/(COUNTIF(INDEX($W$4:$W$200,INDEX($U$4:$U$11,AC$2)):INDEX($W$4:$W$200,INDEX($U$4:$U$11,AC$2)+ROW()-5),AD$3&amp;"_"&amp;AD$3)+COUNTIF(INDEX($W$4:$W$200,INDEX($U$4:$U$11,AC$2)):INDEX($W$4:$W$200,INDEX($U$4:$U$11,AC$2)+ROW()-5),AC$3&amp;"_"&amp;AD$3)))</f>
        <v>#N/A</v>
      </c>
      <c r="AN25" t="str">
        <f t="shared" si="125"/>
        <v/>
      </c>
      <c r="AO25" t="str">
        <f t="shared" si="111"/>
        <v/>
      </c>
      <c r="AP25" t="str">
        <f t="shared" si="112"/>
        <v/>
      </c>
      <c r="AQ25" t="str">
        <f t="shared" si="113"/>
        <v/>
      </c>
      <c r="AR25" t="str">
        <f t="shared" si="114"/>
        <v/>
      </c>
      <c r="AS25" t="e">
        <f t="shared" si="115"/>
        <v>#VALUE!</v>
      </c>
      <c r="AT25" t="e">
        <f t="shared" si="116"/>
        <v>#VALUE!</v>
      </c>
      <c r="AV25" t="e">
        <f t="shared" si="117"/>
        <v>#VALUE!</v>
      </c>
      <c r="AW25" t="e">
        <f t="shared" si="63"/>
        <v>#VALUE!</v>
      </c>
      <c r="AX25" t="e">
        <f t="shared" si="64"/>
        <v>#VALUE!</v>
      </c>
      <c r="AY25" t="e">
        <f t="shared" si="65"/>
        <v>#VALUE!</v>
      </c>
      <c r="AZ25" t="e">
        <f t="shared" si="66"/>
        <v>#VALUE!</v>
      </c>
      <c r="BA25" t="e">
        <f t="shared" si="67"/>
        <v>#VALUE!</v>
      </c>
      <c r="BB25" t="e">
        <f t="shared" si="68"/>
        <v>#VALUE!</v>
      </c>
      <c r="BD25" t="e">
        <f t="shared" si="118"/>
        <v>#VALUE!</v>
      </c>
      <c r="BE25" t="e">
        <f t="shared" si="69"/>
        <v>#VALUE!</v>
      </c>
      <c r="BF25" t="e">
        <f t="shared" si="70"/>
        <v>#VALUE!</v>
      </c>
      <c r="BG25" t="e">
        <f t="shared" si="71"/>
        <v>#VALUE!</v>
      </c>
      <c r="BH25" t="e">
        <f t="shared" si="72"/>
        <v>#VALUE!</v>
      </c>
      <c r="BI25" t="e">
        <f t="shared" si="73"/>
        <v>#VALUE!</v>
      </c>
      <c r="BJ25" t="e">
        <f t="shared" si="74"/>
        <v>#VALUE!</v>
      </c>
      <c r="BL25" t="e">
        <f t="shared" si="119"/>
        <v>#VALUE!</v>
      </c>
      <c r="BM25" t="e">
        <f t="shared" si="75"/>
        <v>#VALUE!</v>
      </c>
      <c r="BN25" t="e">
        <f t="shared" si="76"/>
        <v>#VALUE!</v>
      </c>
      <c r="BO25" t="e">
        <f t="shared" si="77"/>
        <v>#VALUE!</v>
      </c>
      <c r="BP25" t="e">
        <f t="shared" si="78"/>
        <v>#VALUE!</v>
      </c>
      <c r="BQ25" t="e">
        <f t="shared" si="79"/>
        <v>#VALUE!</v>
      </c>
      <c r="BR25" t="e">
        <f t="shared" si="80"/>
        <v>#VALUE!</v>
      </c>
      <c r="BT25" t="e">
        <f t="shared" si="120"/>
        <v>#VALUE!</v>
      </c>
      <c r="BU25" t="e">
        <f t="shared" si="81"/>
        <v>#VALUE!</v>
      </c>
      <c r="BV25" t="e">
        <f t="shared" si="82"/>
        <v>#VALUE!</v>
      </c>
      <c r="BW25" t="e">
        <f t="shared" si="83"/>
        <v>#VALUE!</v>
      </c>
      <c r="BX25" t="e">
        <f t="shared" si="84"/>
        <v>#VALUE!</v>
      </c>
      <c r="BY25" t="e">
        <f t="shared" si="85"/>
        <v>#VALUE!</v>
      </c>
      <c r="BZ25" t="e">
        <f t="shared" si="86"/>
        <v>#VALUE!</v>
      </c>
      <c r="CB25" t="e">
        <f t="shared" si="121"/>
        <v>#VALUE!</v>
      </c>
      <c r="CC25" t="e">
        <f t="shared" si="87"/>
        <v>#VALUE!</v>
      </c>
      <c r="CD25" t="e">
        <f t="shared" si="88"/>
        <v>#VALUE!</v>
      </c>
      <c r="CE25" t="e">
        <f t="shared" si="89"/>
        <v>#VALUE!</v>
      </c>
      <c r="CF25" t="e">
        <f t="shared" si="90"/>
        <v>#VALUE!</v>
      </c>
      <c r="CG25" t="e">
        <f t="shared" si="91"/>
        <v>#VALUE!</v>
      </c>
      <c r="CH25" t="e">
        <f t="shared" si="92"/>
        <v>#VALUE!</v>
      </c>
      <c r="CJ25" t="e">
        <f t="shared" si="122"/>
        <v>#VALUE!</v>
      </c>
      <c r="CK25" t="e">
        <f t="shared" si="93"/>
        <v>#VALUE!</v>
      </c>
      <c r="CL25" t="e">
        <f t="shared" si="94"/>
        <v>#VALUE!</v>
      </c>
      <c r="CM25" t="e">
        <f t="shared" si="95"/>
        <v>#VALUE!</v>
      </c>
      <c r="CN25" t="e">
        <f t="shared" si="96"/>
        <v>#VALUE!</v>
      </c>
      <c r="CO25" t="e">
        <f t="shared" si="97"/>
        <v>#VALUE!</v>
      </c>
      <c r="CP25" t="e">
        <f t="shared" si="98"/>
        <v>#VALUE!</v>
      </c>
      <c r="CR25" t="e">
        <f t="shared" si="123"/>
        <v>#VALUE!</v>
      </c>
      <c r="CS25" t="e">
        <f t="shared" si="99"/>
        <v>#VALUE!</v>
      </c>
      <c r="CT25" t="e">
        <f t="shared" si="100"/>
        <v>#VALUE!</v>
      </c>
      <c r="CU25" t="e">
        <f t="shared" si="101"/>
        <v>#VALUE!</v>
      </c>
      <c r="CV25" t="e">
        <f t="shared" si="102"/>
        <v>#VALUE!</v>
      </c>
      <c r="CW25" t="e">
        <f t="shared" si="103"/>
        <v>#VALUE!</v>
      </c>
      <c r="CX25" t="e">
        <f t="shared" si="104"/>
        <v>#VALUE!</v>
      </c>
      <c r="CZ25" t="e">
        <f t="shared" si="124"/>
        <v>#VALUE!</v>
      </c>
      <c r="DA25" t="e">
        <f t="shared" si="105"/>
        <v>#VALUE!</v>
      </c>
      <c r="DB25" t="e">
        <f t="shared" si="106"/>
        <v>#VALUE!</v>
      </c>
      <c r="DC25" t="e">
        <f t="shared" si="107"/>
        <v>#VALUE!</v>
      </c>
      <c r="DD25" t="e">
        <f t="shared" si="108"/>
        <v>#VALUE!</v>
      </c>
      <c r="DE25" t="e">
        <f t="shared" si="109"/>
        <v>#VALUE!</v>
      </c>
      <c r="DF25" t="e">
        <f t="shared" si="110"/>
        <v>#VALUE!</v>
      </c>
      <c r="DH25" t="e">
        <f>IF(OR(ROW()-4&gt;INDEX($U$4:$U$11,$AC$2+1,1)-INDEX($U$4:$U$11,$AC$2,1),ROW()-4&gt;$AD$2),NA(),COUNTIF(INDEX($BL$5:$BR$50,INDEX($U$4:$U$11,1,1),$AC$2):INDEX($BL$5:$BR$50,INDEX($U$4:$U$11,1,1)+ROW()-5,$AC$2),DH$3))</f>
        <v>#N/A</v>
      </c>
      <c r="DI25" t="e">
        <f>IF(OR(ROW()-4&gt;INDEX($U$4:$U$11,$AC$2+1,1)-INDEX($U$4:$U$11,$AC$2,1),ROW()-4&gt;$AD$2),NA(),COUNTIF(INDEX($BL$5:$BR$50,INDEX($U$4:$U$11,1,1),$AC$2):INDEX($BL$5:$BR$50,INDEX($U$4:$U$11,1,1)+ROW()-5,$AC$2),DI$3))</f>
        <v>#N/A</v>
      </c>
      <c r="DJ25" t="e">
        <f>IF(OR(ROW()-4&gt;INDEX($U$4:$U$11,$AC$2+1,1)-INDEX($U$4:$U$11,$AC$2,1),ROW()-4&gt;$AD$2),NA(),COUNTIF(INDEX($BL$5:$BR$50,INDEX($U$4:$U$11,1,1),$AC$2):INDEX($BL$5:$BR$50,INDEX($U$4:$U$11,1,1)+ROW()-5,$AC$2),DJ$3))</f>
        <v>#N/A</v>
      </c>
      <c r="DL25" t="e">
        <f>IF(OR(ROW()-4&gt;INDEX($U$4:$U$11,$AC$2+1,1)-INDEX($U$4:$U$11,$AC$2,1),ROW()-4&gt;$AD$2),NA(),COUNTIF(INDEX($BL$5:$BR$50,INDEX($U$4:$U$11,1,1),$AC$2):INDEX($BL$5:$BR$50,INDEX($U$4:$U$11,1,1)+ROW()-5,$AC$2),DL$3))</f>
        <v>#N/A</v>
      </c>
      <c r="DM25" t="e">
        <f>IF(OR(ROW()-4&gt;INDEX($U$4:$U$11,$AC$2+1,1)-INDEX($U$4:$U$11,$AC$2,1),ROW()-4&gt;$AD$2),NA(),COUNTIF(INDEX($BL$5:$BR$50,INDEX($U$4:$U$11,1,1),$AC$2):INDEX($BL$5:$BR$50,INDEX($U$4:$U$11,1,1)+ROW()-5,$AC$2),DM$3))</f>
        <v>#N/A</v>
      </c>
      <c r="DN25" t="e">
        <f>IF(OR(ROW()-4&gt;INDEX($U$4:$U$11,$AC$2+1,1)-INDEX($U$4:$U$11,$AC$2,1),ROW()-4&gt;$AD$2),NA(),COUNTIF(INDEX($BL$5:$BR$50,INDEX($U$4:$U$11,1,1),$AC$2):INDEX($BL$5:$BR$50,INDEX($U$4:$U$11,1,1)+ROW()-5,$AC$2),DN$3))</f>
        <v>#N/A</v>
      </c>
      <c r="DP25" t="e">
        <f>IF(OR(ROW()-4&gt;INDEX($U$4:$U$11,$AC$2+1,1)-INDEX($U$4:$U$11,$AC$2,1),ROW()-4&gt;$AD$2),NA(),COUNTIF(INDEX($BT$5:$BZ$201,INDEX($U$4:$U$11,1,1),$AC$2):INDEX($BT$5:$BZ$201,INDEX($U$4:$U$11,1,1)+ROW()-5,$AC$2),DP$3))</f>
        <v>#N/A</v>
      </c>
      <c r="DQ25" t="e">
        <f>IF(OR(ROW()-4&gt;INDEX($U$4:$U$11,$AC$2+1,1)-INDEX($U$4:$U$11,$AC$2,1),ROW()-4&gt;$AD$2),NA(),COUNTIF(INDEX($BT$5:$BZ$201,INDEX($U$4:$U$11,1,1),$AC$2):INDEX($BT$5:$BZ$201,INDEX($U$4:$U$11,1,1)+ROW()-5,$AC$2),DQ$3))</f>
        <v>#N/A</v>
      </c>
      <c r="DS25" t="e">
        <f>IF(OR(ROW()-4&gt;INDEX($U$4:$U$11,$AC$2+1,1)-INDEX($U$4:$U$11,$AC$2,1),ROW()-4&gt;$AD$2),NA(),COUNTIF(INDEX($BT$5:$BZ$201,INDEX($U$4:$U$11,1,1),$AC$2):INDEX($BT$5:$BZ$201,INDEX($U$4:$U$11,1,1)+ROW()-5,$AC$2),DS$3))</f>
        <v>#N/A</v>
      </c>
      <c r="DT25" t="e">
        <f>IF(OR(ROW()-4&gt;INDEX($U$4:$U$11,$AC$2+1,1)-INDEX($U$4:$U$11,$AC$2,1),ROW()-4&gt;$AD$2),NA(),COUNTIF(INDEX($BT$5:$BZ$201,INDEX($U$4:$U$11,1,1),$AC$2):INDEX($BT$5:$BZ$201,INDEX($U$4:$U$11,1,1)+ROW()-5,$AC$2),DT$3))</f>
        <v>#N/A</v>
      </c>
      <c r="DV25" t="e">
        <f>IF(OR(ROW()-4&gt;INDEX($U$4:$U$11,$AC$2+1,1)-INDEX($U$4:$U$11,$AC$2,1),ROW()-4&gt;$AD$2),NA(),COUNTIF(INDEX($CB$5:$CH$201,INDEX($U$4:$U$11,1,1),$AC$2):INDEX($CB$5:$CH$201,INDEX($U$4:$U$11,1,1)+ROW()-5,$AC$2),DV$3))</f>
        <v>#N/A</v>
      </c>
      <c r="DW25" t="e">
        <f>IF(OR(ROW()-4&gt;INDEX($U$4:$U$11,$AC$2+1,1)-INDEX($U$4:$U$11,$AC$2,1),ROW()-4&gt;$AD$2),NA(),COUNTIF(INDEX($CB$5:$CH$201,INDEX($U$4:$U$11,1,1),$AC$2):INDEX($CB$5:$CH$201,INDEX($U$4:$U$11,1,1)+ROW()-5,$AC$2),DW$3))</f>
        <v>#N/A</v>
      </c>
      <c r="DX25" t="e">
        <f>IF(OR(ROW()-4&gt;INDEX($U$4:$U$11,$AC$2+1,1)-INDEX($U$4:$U$11,$AC$2,1),ROW()-4&gt;$AD$2),NA(),COUNTIF(INDEX($CB$5:$CH$201,INDEX($U$4:$U$11,1,1),$AC$2):INDEX($CB$5:$CH$201,INDEX($U$4:$U$11,1,1)+ROW()-5,$AC$2),DX$3))</f>
        <v>#N/A</v>
      </c>
      <c r="DY25" t="e">
        <f>IF(OR(ROW()-4&gt;INDEX($U$4:$U$11,$AC$2+1,1)-INDEX($U$4:$U$11,$AC$2,1),ROW()-4&gt;$AD$2),NA(),COUNTIF(INDEX($CB$5:$CH$201,INDEX($U$4:$U$11,1,1),$AC$2):INDEX($CB$5:$CH$201,INDEX($U$4:$U$11,1,1)+ROW()-5,$AC$2),DY$3))</f>
        <v>#N/A</v>
      </c>
      <c r="DZ25" t="e">
        <f>IF(OR(ROW()-4&gt;INDEX($U$4:$U$11,$AC$2+1,1)-INDEX($U$4:$U$11,$AC$2,1),ROW()-4&gt;$AD$2),NA(),COUNTIF(INDEX($CB$5:$CH$201,INDEX($U$4:$U$11,1,1),$AC$2):INDEX($CB$5:$CH$201,INDEX($U$4:$U$11,1,1)+ROW()-5,$AC$2),DZ$3))</f>
        <v>#N/A</v>
      </c>
      <c r="EA25" t="e">
        <f>IF(OR(ROW()-4&gt;INDEX($U$4:$U$11,$AC$2+1,1)-INDEX($U$4:$U$11,$AC$2,1),ROW()-4&gt;$AD$2),NA(),COUNTIF(INDEX($CB$5:$CH$201,INDEX($U$4:$U$11,1,1),$AC$2):INDEX($CB$5:$CH$201,INDEX($U$4:$U$11,1,1)+ROW()-5,$AC$2),EA$3))</f>
        <v>#N/A</v>
      </c>
      <c r="EB25" t="e">
        <f>IF(OR(ROW()-4&gt;INDEX($U$4:$U$11,$AC$2+1,1)-INDEX($U$4:$U$11,$AC$2,1),ROW()-4&gt;$AD$2),NA(),COUNTIF(INDEX($CB$5:$CH$201,INDEX($U$4:$U$11,1,1),$AC$2):INDEX($CB$5:$CH$201,INDEX($U$4:$U$11,1,1)+ROW()-5,$AC$2),EB$3))</f>
        <v>#N/A</v>
      </c>
      <c r="EC25" t="e">
        <f>IF(OR(ROW()-4&gt;INDEX($U$4:$U$11,$AC$2+1,1)-INDEX($U$4:$U$11,$AC$2,1),ROW()-4&gt;$AD$2),NA(),COUNTIF(INDEX($CB$5:$CH$201,INDEX($U$4:$U$11,1,1),$AC$2):INDEX($CB$5:$CH$201,INDEX($U$4:$U$11,1,1)+ROW()-5,$AC$2),EC$3))</f>
        <v>#N/A</v>
      </c>
      <c r="EE25" t="e">
        <f>IF(OR(ROW()-4&gt;INDEX($U$4:$U$11,$AC$2+1,1)-INDEX($U$4:$U$11,$AC$2,1),ROW()-4&gt;$AD$2),NA(),COUNTIF(INDEX($CB$5:$CH$201,INDEX($U$4:$U$11,1,1),$AC$2):INDEX($CB$5:$CH$201,INDEX($U$4:$U$11,1,1)+ROW()-5,$AC$2),EE$3))</f>
        <v>#N/A</v>
      </c>
      <c r="EF25" t="e">
        <f>IF(OR(ROW()-4&gt;INDEX($U$4:$U$11,$AC$2+1,1)-INDEX($U$4:$U$11,$AC$2,1),ROW()-4&gt;$AD$2),NA(),COUNTIF(INDEX($CB$5:$CH$201,INDEX($U$4:$U$11,1,1),$AC$2):INDEX($CB$5:$CH$201,INDEX($U$4:$U$11,1,1)+ROW()-5,$AC$2),EF$3))</f>
        <v>#N/A</v>
      </c>
      <c r="EG25" t="e">
        <f>IF(OR(ROW()-4&gt;INDEX($U$4:$U$11,$AC$2+1,1)-INDEX($U$4:$U$11,$AC$2,1),ROW()-4&gt;$AD$2),NA(),COUNTIF(INDEX($CB$5:$CH$201,INDEX($U$4:$U$11,1,1),$AC$2):INDEX($CB$5:$CH$201,INDEX($U$4:$U$11,1,1)+ROW()-5,$AC$2),EG$3))</f>
        <v>#N/A</v>
      </c>
      <c r="EH25" t="e">
        <f>IF(OR(ROW()-4&gt;INDEX($U$4:$U$11,$AC$2+1,1)-INDEX($U$4:$U$11,$AC$2,1),ROW()-4&gt;$AD$2),NA(),COUNTIF(INDEX($CB$5:$CH$201,INDEX($U$4:$U$11,1,1),$AC$2):INDEX($CB$5:$CH$201,INDEX($U$4:$U$11,1,1)+ROW()-5,$AC$2),EH$3))</f>
        <v>#N/A</v>
      </c>
      <c r="EI25" t="e">
        <f>IF(OR(ROW()-4&gt;INDEX($U$4:$U$11,$AC$2+1,1)-INDEX($U$4:$U$11,$AC$2,1),ROW()-4&gt;$AD$2),NA(),COUNTIF(INDEX($CB$5:$CH$201,INDEX($U$4:$U$11,1,1),$AC$2):INDEX($CB$5:$CH$201,INDEX($U$4:$U$11,1,1)+ROW()-5,$AC$2),EI$3))</f>
        <v>#N/A</v>
      </c>
      <c r="EJ25" t="e">
        <f>IF(OR(ROW()-4&gt;INDEX($U$4:$U$11,$AC$2+1,1)-INDEX($U$4:$U$11,$AC$2,1),ROW()-4&gt;$AD$2),NA(),COUNTIF(INDEX($CB$5:$CH$201,INDEX($U$4:$U$11,1,1),$AC$2):INDEX($CB$5:$CH$201,INDEX($U$4:$U$11,1,1)+ROW()-5,$AC$2),EJ$3))</f>
        <v>#N/A</v>
      </c>
      <c r="EK25" t="e">
        <f>IF(OR(ROW()-4&gt;INDEX($U$4:$U$11,$AC$2+1,1)-INDEX($U$4:$U$11,$AC$2,1),ROW()-4&gt;$AD$2),NA(),COUNTIF(INDEX($CB$5:$CH$201,INDEX($U$4:$U$11,1,1),$AC$2):INDEX($CB$5:$CH$201,INDEX($U$4:$U$11,1,1)+ROW()-5,$AC$2),EK$3))</f>
        <v>#N/A</v>
      </c>
      <c r="EL25" t="e">
        <f>IF(OR(ROW()-4&gt;INDEX($U$4:$U$11,$AC$2+1,1)-INDEX($U$4:$U$11,$AC$2,1),ROW()-4&gt;$AD$2),NA(),COUNTIF(INDEX($CB$5:$CH$201,INDEX($U$4:$U$11,1,1),$AC$2):INDEX($CB$5:$CH$201,INDEX($U$4:$U$11,1,1)+ROW()-5,$AC$2),EL$3))</f>
        <v>#N/A</v>
      </c>
      <c r="EN25" t="e">
        <f>IF(OR(ROW()-4&gt;INDEX($U$4:$U$11,$AC$2+1,1)-INDEX($U$4:$U$11,$AC$2,1),ROW()-4&gt;$AD$2),NA(),COUNTIF(INDEX($CJ$5:$CP$201,INDEX($U$4:$U$11,1,1),$AC$2):INDEX($CJ$5:$CP$201,INDEX($U$4:$U$11,1,1)+ROW()-5,$AC$2),EN$3))</f>
        <v>#N/A</v>
      </c>
      <c r="EO25" t="e">
        <f>IF(OR(ROW()-4&gt;INDEX($U$4:$U$11,$AC$2+1,1)-INDEX($U$4:$U$11,$AC$2,1),ROW()-4&gt;$AD$2),NA(),COUNTIF(INDEX($CJ$5:$CP$201,INDEX($U$4:$U$11,1,1),$AC$2):INDEX($CJ$5:$CP$201,INDEX($U$4:$U$11,1,1)+ROW()-5,$AC$2),EO$3))</f>
        <v>#N/A</v>
      </c>
      <c r="EQ25" t="e">
        <f>IF(OR(ROW()-4&gt;INDEX($U$4:$U$11,$AC$2+1,1)-INDEX($U$4:$U$11,$AC$2,1),ROW()-4&gt;$AD$2),NA(),COUNTIF(INDEX($CJ$5:$CP$201,INDEX($U$4:$U$11,1,1),$AC$2):INDEX($CJ$5:$CP$201,INDEX($U$4:$U$11,1,1)+ROW()-5,$AC$2),EQ$3))</f>
        <v>#N/A</v>
      </c>
      <c r="ER25" t="e">
        <f>IF(OR(ROW()-4&gt;INDEX($U$4:$U$11,$AC$2+1,1)-INDEX($U$4:$U$11,$AC$2,1),ROW()-4&gt;$AD$2),NA(),COUNTIF(INDEX($CJ$5:$CP$201,INDEX($U$4:$U$11,1,1),$AC$2):INDEX($CJ$5:$CP$201,INDEX($U$4:$U$11,1,1)+ROW()-5,$AC$2),ER$3))</f>
        <v>#N/A</v>
      </c>
      <c r="ET25" t="e">
        <f>IF(OR(ROW()-4&gt;INDEX($U$4:$U$11,$AC$2+1,1)-INDEX($U$4:$U$11,$AC$2,1),ROW()-4&gt;$AD$2),NA(),COUNTIF(INDEX($CR$5:$CX$201,INDEX($U$4:$U$11,1,1),$AC$2):INDEX($CR$5:$CX$201,INDEX($U$4:$U$11,1,1)+ROW()-5,$AC$2),ET$3))</f>
        <v>#N/A</v>
      </c>
      <c r="EU25" t="e">
        <f>IF(OR(ROW()-4&gt;INDEX($U$4:$U$11,$AC$2+1,1)-INDEX($U$4:$U$11,$AC$2,1),ROW()-4&gt;$AD$2),NA(),COUNTIF(INDEX($CR$5:$CX$201,INDEX($U$4:$U$11,1,1),$AC$2):INDEX($CR$5:$CX$201,INDEX($U$4:$U$11,1,1)+ROW()-5,$AC$2),EU$3))</f>
        <v>#N/A</v>
      </c>
      <c r="EV25" t="e">
        <f>IF(OR(ROW()-4&gt;INDEX($U$4:$U$11,$AC$2+1,1)-INDEX($U$4:$U$11,$AC$2,1),ROW()-4&gt;$AD$2),NA(),COUNTIF(INDEX($CR$5:$CX$201,INDEX($U$4:$U$11,1,1),$AC$2):INDEX($CR$5:$CX$201,INDEX($U$4:$U$11,1,1)+ROW()-5,$AC$2),EV$3))</f>
        <v>#N/A</v>
      </c>
      <c r="EW25" t="e">
        <f>IF(OR(ROW()-4&gt;INDEX($U$4:$U$11,$AC$2+1,1)-INDEX($U$4:$U$11,$AC$2,1),ROW()-4&gt;$AD$2),NA(),COUNTIF(INDEX($CR$5:$CX$201,INDEX($U$4:$U$11,1,1),$AC$2):INDEX($CR$5:$CX$201,INDEX($U$4:$U$11,1,1)+ROW()-5,$AC$2),EW$3))</f>
        <v>#N/A</v>
      </c>
      <c r="EX25" t="e">
        <f>IF(OR(ROW()-4&gt;INDEX($U$4:$U$11,$AC$2+1,1)-INDEX($U$4:$U$11,$AC$2,1),ROW()-4&gt;$AD$2),NA(),COUNTIF(INDEX($CR$5:$CX$201,INDEX($U$4:$U$11,1,1),$AC$2):INDEX($CR$5:$CX$201,INDEX($U$4:$U$11,1,1)+ROW()-5,$AC$2),EX$3))</f>
        <v>#N/A</v>
      </c>
      <c r="EY25" t="e">
        <f>IF(OR(ROW()-4&gt;INDEX($U$4:$U$11,$AC$2+1,1)-INDEX($U$4:$U$11,$AC$2,1),ROW()-4&gt;$AD$2),NA(),COUNTIF(INDEX($CR$5:$CX$201,INDEX($U$4:$U$11,1,1),$AC$2):INDEX($CR$5:$CX$201,INDEX($U$4:$U$11,1,1)+ROW()-5,$AC$2),EY$3))</f>
        <v>#N/A</v>
      </c>
      <c r="EZ25" t="e">
        <f>IF(OR(ROW()-4&gt;INDEX($U$4:$U$11,$AC$2+1,1)-INDEX($U$4:$U$11,$AC$2,1),ROW()-4&gt;$AD$2),NA(),COUNTIF(INDEX($CR$5:$CX$201,INDEX($U$4:$U$11,1,1),$AC$2):INDEX($CR$5:$CX$201,INDEX($U$4:$U$11,1,1)+ROW()-5,$AC$2),EZ$3))</f>
        <v>#N/A</v>
      </c>
      <c r="FA25" t="e">
        <f>IF(OR(ROW()-4&gt;INDEX($U$4:$U$11,$AC$2+1,1)-INDEX($U$4:$U$11,$AC$2,1),ROW()-4&gt;$AD$2),NA(),COUNTIF(INDEX($CR$5:$CX$201,INDEX($U$4:$U$11,1,1),$AC$2):INDEX($CR$5:$CX$201,INDEX($U$4:$U$11,1,1)+ROW()-5,$AC$2),FA$3))</f>
        <v>#N/A</v>
      </c>
      <c r="FC25" t="e">
        <f>IF(OR(ROW()-4&gt;INDEX($U$4:$U$11,$AC$2+1,1)-INDEX($U$4:$U$11,$AC$2,1),ROW()-4&gt;$AD$2),NA(),COUNTIF(INDEX($CR$5:$CX$201,INDEX($U$4:$U$11,1,1),$AC$2):INDEX($CR$5:$CX$201,INDEX($U$4:$U$11,1,1)+ROW()-5,$AC$2),FC$3))</f>
        <v>#N/A</v>
      </c>
      <c r="FD25" t="e">
        <f>IF(OR(ROW()-4&gt;INDEX($U$4:$U$11,$AC$2+1,1)-INDEX($U$4:$U$11,$AC$2,1),ROW()-4&gt;$AD$2),NA(),COUNTIF(INDEX($CR$5:$CX$201,INDEX($U$4:$U$11,1,1),$AC$2):INDEX($CR$5:$CX$201,INDEX($U$4:$U$11,1,1)+ROW()-5,$AC$2),FD$3))</f>
        <v>#N/A</v>
      </c>
      <c r="FE25" t="e">
        <f>IF(OR(ROW()-4&gt;INDEX($U$4:$U$11,$AC$2+1,1)-INDEX($U$4:$U$11,$AC$2,1),ROW()-4&gt;$AD$2),NA(),COUNTIF(INDEX($CR$5:$CX$201,INDEX($U$4:$U$11,1,1),$AC$2):INDEX($CR$5:$CX$201,INDEX($U$4:$U$11,1,1)+ROW()-5,$AC$2),FE$3))</f>
        <v>#N/A</v>
      </c>
      <c r="FF25" t="e">
        <f>IF(OR(ROW()-4&gt;INDEX($U$4:$U$11,$AC$2+1,1)-INDEX($U$4:$U$11,$AC$2,1),ROW()-4&gt;$AD$2),NA(),COUNTIF(INDEX($CR$5:$CX$201,INDEX($U$4:$U$11,1,1),$AC$2):INDEX($CR$5:$CX$201,INDEX($U$4:$U$11,1,1)+ROW()-5,$AC$2),FF$3))</f>
        <v>#N/A</v>
      </c>
      <c r="FG25" t="e">
        <f>IF(OR(ROW()-4&gt;INDEX($U$4:$U$11,$AC$2+1,1)-INDEX($U$4:$U$11,$AC$2,1),ROW()-4&gt;$AD$2),NA(),COUNTIF(INDEX($CR$5:$CX$201,INDEX($U$4:$U$11,1,1),$AC$2):INDEX($CR$5:$CX$201,INDEX($U$4:$U$11,1,1)+ROW()-5,$AC$2),FG$3))</f>
        <v>#N/A</v>
      </c>
      <c r="FH25" t="e">
        <f>IF(OR(ROW()-4&gt;INDEX($U$4:$U$11,$AC$2+1,1)-INDEX($U$4:$U$11,$AC$2,1),ROW()-4&gt;$AD$2),NA(),COUNTIF(INDEX($CR$5:$CX$201,INDEX($U$4:$U$11,1,1),$AC$2):INDEX($CR$5:$CX$201,INDEX($U$4:$U$11,1,1)+ROW()-5,$AC$2),FH$3))</f>
        <v>#N/A</v>
      </c>
      <c r="FI25" t="e">
        <f>IF(OR(ROW()-4&gt;INDEX($U$4:$U$11,$AC$2+1,1)-INDEX($U$4:$U$11,$AC$2,1),ROW()-4&gt;$AD$2),NA(),COUNTIF(INDEX($CR$5:$CX$201,INDEX($U$4:$U$11,1,1),$AC$2):INDEX($CR$5:$CX$201,INDEX($U$4:$U$11,1,1)+ROW()-5,$AC$2),FI$3))</f>
        <v>#N/A</v>
      </c>
      <c r="FJ25" t="e">
        <f>IF(OR(ROW()-4&gt;INDEX($U$4:$U$11,$AC$2+1,1)-INDEX($U$4:$U$11,$AC$2,1),ROW()-4&gt;$AD$2),NA(),COUNTIF(INDEX($CR$5:$CX$201,INDEX($U$4:$U$11,1,1),$AC$2):INDEX($CR$5:$CX$201,INDEX($U$4:$U$11,1,1)+ROW()-5,$AC$2),FJ$3))</f>
        <v>#N/A</v>
      </c>
      <c r="FL25" t="e">
        <f>IF(OR(ROW()-4&gt;INDEX($U$4:$U$11,$AC$2+1,1)-INDEX($U$4:$U$11,$AC$2,1),ROW()-4&gt;$AD$2),NA(),COUNTIF(INDEX($CZ$5:$DF$201,INDEX($U$4:$U$11,1,1),$AC$2):INDEX($CZ$5:$DF$201,INDEX($U$4:$U$11,1,1)+ROW()-5,$AC$2),FL$3))</f>
        <v>#N/A</v>
      </c>
      <c r="FM25" t="e">
        <f>IF(OR(ROW()-4&gt;INDEX($U$4:$U$11,$AC$2+1,1)-INDEX($U$4:$U$11,$AC$2,1),ROW()-4&gt;$AD$2),NA(),COUNTIF(INDEX($CZ$5:$DF$201,INDEX($U$4:$U$11,1,1),$AC$2):INDEX($CZ$5:$DF$201,INDEX($U$4:$U$11,1,1)+ROW()-5,$AC$2),FM$3))</f>
        <v>#N/A</v>
      </c>
      <c r="FN25" t="e">
        <f>IF(OR(ROW()-4&gt;INDEX($U$4:$U$11,$AC$2+1,1)-INDEX($U$4:$U$11,$AC$2,1),ROW()-4&gt;$AD$2),NA(),COUNTIF(INDEX($CZ$5:$DF$201,INDEX($U$4:$U$11,1,1),$AC$2):INDEX($CZ$5:$DF$201,INDEX($U$4:$U$11,1,1)+ROW()-5,$AC$2),FN$3))</f>
        <v>#N/A</v>
      </c>
      <c r="FO25" t="e">
        <f>IF(OR(ROW()-4&gt;INDEX($U$4:$U$11,$AC$2+1,1)-INDEX($U$4:$U$11,$AC$2,1),ROW()-4&gt;$AD$2),NA(),COUNTIF(INDEX($CZ$5:$DF$201,INDEX($U$4:$U$11,1,1),$AC$2):INDEX($CZ$5:$DF$201,INDEX($U$4:$U$11,1,1)+ROW()-5,$AC$2),FO$3))</f>
        <v>#N/A</v>
      </c>
      <c r="FP25" t="e">
        <f>IF(OR(ROW()-4&gt;INDEX($U$4:$U$11,$AC$2+1,1)-INDEX($U$4:$U$11,$AC$2,1),ROW()-4&gt;$AD$2),NA(),COUNTIF(INDEX($CZ$5:$DF$201,INDEX($U$4:$U$11,1,1),$AC$2):INDEX($CZ$5:$DF$201,INDEX($U$4:$U$11,1,1)+ROW()-5,$AC$2),FP$3))</f>
        <v>#N/A</v>
      </c>
      <c r="FQ25" t="e">
        <f>IF(OR(ROW()-4&gt;INDEX($U$4:$U$11,$AC$2+1,1)-INDEX($U$4:$U$11,$AC$2,1),ROW()-4&gt;$AD$2),NA(),COUNTIF(INDEX($CZ$5:$DF$201,INDEX($U$4:$U$11,1,1),$AC$2):INDEX($CZ$5:$DF$201,INDEX($U$4:$U$11,1,1)+ROW()-5,$AC$2),FQ$3))</f>
        <v>#N/A</v>
      </c>
      <c r="FR25" t="e">
        <f>IF(OR(ROW()-4&gt;INDEX($U$4:$U$11,$AC$2+1,1)-INDEX($U$4:$U$11,$AC$2,1),ROW()-4&gt;$AD$2),NA(),COUNTIF(INDEX($CZ$5:$DF$201,INDEX($U$4:$U$11,1,1),$AC$2):INDEX($CZ$5:$DF$201,INDEX($U$4:$U$11,1,1)+ROW()-5,$AC$2),FR$3))</f>
        <v>#N/A</v>
      </c>
      <c r="FS25" t="e">
        <f>IF(OR(ROW()-4&gt;INDEX($U$4:$U$11,$AC$2+1,1)-INDEX($U$4:$U$11,$AC$2,1),ROW()-4&gt;$AD$2),NA(),COUNTIF(INDEX($CZ$5:$DF$201,INDEX($U$4:$U$11,1,1),$AC$2):INDEX($CZ$5:$DF$201,INDEX($U$4:$U$11,1,1)+ROW()-5,$AC$2),FS$3))</f>
        <v>#N/A</v>
      </c>
      <c r="FT25" t="e">
        <f>IF(OR(ROW()-4&gt;INDEX($U$4:$U$11,$AC$2+1,1)-INDEX($U$4:$U$11,$AC$2,1),ROW()-4&gt;$AD$2),NA(),COUNTIF(INDEX($CZ$5:$DF$201,INDEX($U$4:$U$11,1,1),$AC$2):INDEX($CZ$5:$DF$201,INDEX($U$4:$U$11,1,1)+ROW()-5,$AC$2),FT$3))</f>
        <v>#N/A</v>
      </c>
      <c r="FU25" t="e">
        <f>IF(OR(ROW()-4&gt;INDEX($U$4:$U$11,$AC$2+1,1)-INDEX($U$4:$U$11,$AC$2,1),ROW()-4&gt;$AD$2),NA(),COUNTIF(INDEX($CZ$5:$DF$201,INDEX($U$4:$U$11,1,1),$AC$2):INDEX($CZ$5:$DF$201,INDEX($U$4:$U$11,1,1)+ROW()-5,$AC$2),FU$3))</f>
        <v>#N/A</v>
      </c>
      <c r="FW25" t="e">
        <f>IF(OR(ROW()-4&gt;INDEX($U$4:$U$11,$AC$2+1,1)-INDEX($U$4:$U$11,$AC$2,1),ROW()-4&gt;$AD$2),NA(),COUNTIF(INDEX($CZ$5:$DF$201,INDEX($U$4:$U$11,1,1),$AC$2):INDEX($CZ$5:$DF$201,INDEX($U$4:$U$11,1,1)+ROW()-5,$AC$2),FW$3))</f>
        <v>#N/A</v>
      </c>
      <c r="FX25" t="e">
        <f>IF(OR(ROW()-4&gt;INDEX($U$4:$U$11,$AC$2+1,1)-INDEX($U$4:$U$11,$AC$2,1),ROW()-4&gt;$AD$2),NA(),COUNTIF(INDEX($CZ$5:$DF$201,INDEX($U$4:$U$11,1,1),$AC$2):INDEX($CZ$5:$DF$201,INDEX($U$4:$U$11,1,1)+ROW()-5,$AC$2),FX$3))</f>
        <v>#N/A</v>
      </c>
      <c r="FY25" t="e">
        <f>IF(OR(ROW()-4&gt;INDEX($U$4:$U$11,$AC$2+1,1)-INDEX($U$4:$U$11,$AC$2,1),ROW()-4&gt;$AD$2),NA(),COUNTIF(INDEX($CZ$5:$DF$201,INDEX($U$4:$U$11,1,1),$AC$2):INDEX($CZ$5:$DF$201,INDEX($U$4:$U$11,1,1)+ROW()-5,$AC$2),FY$3))</f>
        <v>#N/A</v>
      </c>
      <c r="FZ25" t="e">
        <f>IF(OR(ROW()-4&gt;INDEX($U$4:$U$11,$AC$2+1,1)-INDEX($U$4:$U$11,$AC$2,1),ROW()-4&gt;$AD$2),NA(),COUNTIF(INDEX($CZ$5:$DF$201,INDEX($U$4:$U$11,1,1),$AC$2):INDEX($CZ$5:$DF$201,INDEX($U$4:$U$11,1,1)+ROW()-5,$AC$2),FZ$3))</f>
        <v>#N/A</v>
      </c>
      <c r="GA25" t="e">
        <f>IF(OR(ROW()-4&gt;INDEX($U$4:$U$11,$AC$2+1,1)-INDEX($U$4:$U$11,$AC$2,1),ROW()-4&gt;$AD$2),NA(),COUNTIF(INDEX($CZ$5:$DF$201,INDEX($U$4:$U$11,1,1),$AC$2):INDEX($CZ$5:$DF$201,INDEX($U$4:$U$11,1,1)+ROW()-5,$AC$2),GA$3))</f>
        <v>#N/A</v>
      </c>
      <c r="GB25" t="e">
        <f>IF(OR(ROW()-4&gt;INDEX($U$4:$U$11,$AC$2+1,1)-INDEX($U$4:$U$11,$AC$2,1),ROW()-4&gt;$AD$2),NA(),COUNTIF(INDEX($CZ$5:$DF$201,INDEX($U$4:$U$11,1,1),$AC$2):INDEX($CZ$5:$DF$201,INDEX($U$4:$U$11,1,1)+ROW()-5,$AC$2),GB$3))</f>
        <v>#N/A</v>
      </c>
      <c r="GC25" t="e">
        <f>IF(OR(ROW()-4&gt;INDEX($U$4:$U$11,$AC$2+1,1)-INDEX($U$4:$U$11,$AC$2,1),ROW()-4&gt;$AD$2),NA(),COUNTIF(INDEX($CZ$5:$DF$201,INDEX($U$4:$U$11,1,1),$AC$2):INDEX($CZ$5:$DF$201,INDEX($U$4:$U$11,1,1)+ROW()-5,$AC$2),GC$3))</f>
        <v>#N/A</v>
      </c>
      <c r="GD25" t="e">
        <f>IF(OR(ROW()-4&gt;INDEX($U$4:$U$11,$AC$2+1,1)-INDEX($U$4:$U$11,$AC$2,1),ROW()-4&gt;$AD$2),NA(),COUNTIF(INDEX($CZ$5:$DF$201,INDEX($U$4:$U$11,1,1),$AC$2):INDEX($CZ$5:$DF$201,INDEX($U$4:$U$11,1,1)+ROW()-5,$AC$2),GD$3))</f>
        <v>#N/A</v>
      </c>
      <c r="GE25" t="e">
        <f>IF(OR(ROW()-4&gt;INDEX($U$4:$U$11,$AC$2+1,1)-INDEX($U$4:$U$11,$AC$2,1),ROW()-4&gt;$AD$2),NA(),COUNTIF(INDEX($CZ$5:$DF$201,INDEX($U$4:$U$11,1,1),$AC$2):INDEX($CZ$5:$DF$201,INDEX($U$4:$U$11,1,1)+ROW()-5,$AC$2),GE$3))</f>
        <v>#N/A</v>
      </c>
      <c r="GF25" t="e">
        <f>IF(OR(ROW()-4&gt;INDEX($U$4:$U$11,$AC$2+1,1)-INDEX($U$4:$U$11,$AC$2,1),ROW()-4&gt;$AD$2),NA(),COUNTIF(INDEX($CZ$5:$DF$201,INDEX($U$4:$U$11,1,1),$AC$2):INDEX($CZ$5:$DF$201,INDEX($U$4:$U$11,1,1)+ROW()-5,$AC$2),GF$3))</f>
        <v>#N/A</v>
      </c>
      <c r="GK25" t="s">
        <v>35</v>
      </c>
      <c r="HE25" t="s">
        <v>58</v>
      </c>
      <c r="HF25">
        <f>INDEX($FG$5:$FG$40,$AD$2)</f>
        <v>0</v>
      </c>
      <c r="HG25">
        <f>INDEX($FG$5:$FG$40,$AD$2)-INDEX($FG$4:$FG$40,$AD$2)</f>
        <v>0</v>
      </c>
      <c r="HH25" s="59">
        <f>INDEX($FG$55:$FG$90,$AD$2)</f>
        <v>0</v>
      </c>
      <c r="HI25" s="59">
        <f t="shared" si="131"/>
        <v>0</v>
      </c>
      <c r="HM25" s="67">
        <f>INDEX($FW$4:$FW$40,$AD$2+1)-INDEX($FW$4:$FW$40,$AD$2)</f>
        <v>0</v>
      </c>
      <c r="HN25" s="67">
        <f>INDEX($FX$4:$FX$40,$AD$2+1)-INDEX($FX$4:$FX$40,$AD$2)</f>
        <v>0</v>
      </c>
      <c r="HO25" s="67">
        <f>INDEX($FY$4:$FY$40,$AD$2+1)-INDEX($FY$4:$FY$40,$AD$2)</f>
        <v>0</v>
      </c>
      <c r="HP25" s="67">
        <f>INDEX($FZ$4:$FZ$40,$AD$2+1)-INDEX($FZ$4:$FZ$40,$AD$2)</f>
        <v>0</v>
      </c>
    </row>
    <row r="26" spans="1:224" x14ac:dyDescent="0.45">
      <c r="A26" t="str">
        <f>データの貼付!A24</f>
        <v>KIHARA Miyuu</v>
      </c>
      <c r="B26">
        <f>データの貼付!B24</f>
        <v>6.0314814814814814E-3</v>
      </c>
      <c r="C26">
        <f>データの貼付!C24</f>
        <v>6.4097222222222225E-5</v>
      </c>
      <c r="D26">
        <f>データの貼付!D24</f>
        <v>6.9444444444444447E-4</v>
      </c>
      <c r="E26" t="str">
        <f>データの貼付!F24</f>
        <v>KIHARA Miyuu</v>
      </c>
      <c r="F26">
        <f>データの貼付!E24</f>
        <v>0</v>
      </c>
      <c r="G26" t="str">
        <f>データの貼付!G24</f>
        <v>#03</v>
      </c>
      <c r="H26" t="str">
        <f>データの貼付!H24</f>
        <v>KIHARA Miyuu</v>
      </c>
      <c r="I26" t="str">
        <f>データの貼付!I24</f>
        <v>(Side)</v>
      </c>
      <c r="J26" t="str">
        <f>データの貼付!J24</f>
        <v>B</v>
      </c>
      <c r="K26" t="str">
        <f>データの貼付!K24</f>
        <v>FMS</v>
      </c>
      <c r="L26" t="str">
        <f>データの貼付!L24</f>
        <v>F</v>
      </c>
      <c r="M26" t="str">
        <f>データの貼付!M24</f>
        <v>Stop</v>
      </c>
      <c r="N26" t="str">
        <f>データの貼付!N24</f>
        <v>FMS</v>
      </c>
      <c r="R26">
        <f t="shared" si="59"/>
        <v>0</v>
      </c>
      <c r="S26">
        <f>SUM(R$4:R26)</f>
        <v>2</v>
      </c>
      <c r="T26" t="str">
        <f t="shared" si="60"/>
        <v/>
      </c>
      <c r="W26" t="str">
        <f t="shared" si="57"/>
        <v>KIHARA Miyuu_KIHARA Miyuu</v>
      </c>
      <c r="X26" t="str">
        <f t="shared" si="58"/>
        <v>KIHARA Miyuu_#03</v>
      </c>
      <c r="Y26" s="38">
        <v>6</v>
      </c>
      <c r="Z26" s="38" t="e">
        <f>COUNTIF(INDEX($E$4:$E$200,INDEX($U$4:$U$11,$Y26)):INDEX($E$4:$E$200,INDEX($U$4:$U$11,$Y26+1)-1),AC$3)</f>
        <v>#VALUE!</v>
      </c>
      <c r="AA26" s="38" t="e">
        <f>COUNTIF(INDEX($E$4:$E$200,INDEX($U$4:$U$11,$Y26)):INDEX($E$4:$E$200,INDEX($U$4:$U$11,$Y26+1)-1),AD$3)</f>
        <v>#VALUE!</v>
      </c>
      <c r="AC26" s="8" t="e">
        <f>IF(OR(ROW()-4&gt;INDEX($U$4:$U$11,AC$2+1)-INDEX($U$4:$U$11,AC$2),ROW()-4&gt;AD$2),NA(),COUNTIF(INDEX($W$4:$W$200,INDEX($U$4:$U$11,AC$2)):INDEX($W$4:$W$200,INDEX($U$4:$U$11,AC$2)+ROW()-5),AC$3&amp;"_"&amp;AC$3)/(COUNTIF(INDEX($W$4:$W$200,INDEX($U$4:$U$11,AC$2)):INDEX($W$4:$W$200,INDEX($U$4:$U$11,AC$2)+ROW()-5),AC$3&amp;"_"&amp;AC$3)+COUNTIF(INDEX($W$4:$W$200,INDEX($U$4:$U$11,AC$2)):INDEX($W$4:$W$200,INDEX($U$4:$U$11,AC$2)+ROW()-5),AD$3&amp;"_"&amp;AC$3)))</f>
        <v>#N/A</v>
      </c>
      <c r="AD26" s="8" t="e">
        <f>IF(OR(ROW()-4&gt;INDEX($U$4:$U$11,AC$2+1)-INDEX($U$4:$U$11,AC$2),ROW()-4&gt;AD$2),NA(),COUNTIF(INDEX($W$4:$W$200,INDEX($U$4:$U$11,AC$2)):INDEX($W$4:$W$200,INDEX($U$4:$U$11,AC$2)+ROW()-5),AD$3&amp;"_"&amp;AD$3)/(COUNTIF(INDEX($W$4:$W$200,INDEX($U$4:$U$11,AC$2)):INDEX($W$4:$W$200,INDEX($U$4:$U$11,AC$2)+ROW()-5),AD$3&amp;"_"&amp;AD$3)+COUNTIF(INDEX($W$4:$W$200,INDEX($U$4:$U$11,AC$2)):INDEX($W$4:$W$200,INDEX($U$4:$U$11,AC$2)+ROW()-5),AC$3&amp;"_"&amp;AD$3)))</f>
        <v>#N/A</v>
      </c>
      <c r="AE26" s="10" t="e">
        <f>IF(OR(ROW()-4&gt;INDEX($U$4:$U$11,AC$2+1)-INDEX($U$4:$U$11,AC$2),ROW()-4&gt;AD$2),NA(),COUNTIF(INDEX($W$4:$W$200,INDEX($U$4:$U$11,AC$2)):INDEX($W$4:$W$200,INDEX($U$4:$U$11,AC$2)+ROW()-5),AC$3&amp;"_"&amp;AD$3)/(COUNTIF(INDEX($W$4:$W$200,INDEX($U$4:$U$11,AC$2)):INDEX($W$4:$W$200,INDEX($U$4:$U$11,AC$2)+ROW()-5),AC$3&amp;"_"&amp;AD$3)+COUNTIF(INDEX($W$4:$W$200,INDEX($U$4:$U$11,AC$2)):INDEX($W$4:$W$200,INDEX($U$4:$U$11,AC$2)+ROW()-5),AD$3&amp;"_"&amp;AD$3)))</f>
        <v>#N/A</v>
      </c>
      <c r="AF26" s="10" t="e">
        <f>IF(OR(ROW()-4&gt;INDEX($U$4:$U$11,AC$2+1)-INDEX($U$4:$U$11,AC$2),ROW()-4&gt;AD$2),NA(),COUNTIF(INDEX($W$4:$W$200,INDEX($U$4:$U$11,AC$2)):INDEX($W$4:$W$200,INDEX($U$4:$U$11,AC$2)+ROW()-5),AD$3&amp;"_"&amp;AC$3)/(COUNTIF(INDEX($W$4:$W$200,INDEX($U$4:$U$11,AC$2)):INDEX($W$4:$W$200,INDEX($U$4:$U$11,AC$2)+ROW()-5),AD$3&amp;"_"&amp;AC$3)+COUNTIF(INDEX($W$4:$W$200,INDEX($U$4:$U$11,AC$2)):INDEX($W$4:$W$200,INDEX($U$4:$U$11,AC$2)+ROW()-5),AC$3&amp;"_"&amp;AC$3)))</f>
        <v>#N/A</v>
      </c>
      <c r="AG26" s="10" t="e">
        <f>IF(OR(ROW()-4&gt;INDEX($U$4:$U$11,AC$2+1)-INDEX($U$4:$U$11,AC$2),ROW()-4&gt;AD$2),NA(),COUNTIF(INDEX($X$4:$X$200,INDEX($U$4:$U$11,AC$2)):INDEX($X$4:$X$200,INDEX($U$4:$U$11,AC$2)+ROW()-5),AC$3&amp;"_#03")/(COUNTIF(INDEX($W$4:$W$200,INDEX($U$4:$U$11,AC$2)):INDEX($W$4:$W$200,INDEX($U$4:$U$11,AC$2)+ROW()-5),AC$3&amp;"_"&amp;AC$3)+COUNTIF(INDEX($W$4:$W$200,INDEX($U$4:$U$11,AC$2)):INDEX($W$4:$W$200,INDEX($U$4:$U$11,AC$2)+ROW()-5),AD$3&amp;"_"&amp;AC$3)))</f>
        <v>#N/A</v>
      </c>
      <c r="AH26" s="10" t="e">
        <f>IF(OR(ROW()-4&gt;INDEX($U$4:$U$11,AC$2+1)-INDEX($U$4:$U$11,AC$2),ROW()-4&gt;AD$2),NA(),COUNTIF(INDEX($X$4:$X$200,INDEX($U$4:$U$11,AC$2)):INDEX($X$4:$X$200,INDEX($U$4:$U$11,AC$2)+ROW()-5),AD$3&amp;"_#03")/(COUNTIF(INDEX($W$4:$W$200,INDEX($U$4:$U$11,AC$2)):INDEX($W$4:$W$200,INDEX($U$4:$U$11,AC$2)+ROW()-5),AD$3&amp;"_"&amp;AD$3)+COUNTIF(INDEX($W$4:$W$200,INDEX($U$4:$U$11,AC$2)):INDEX($W$4:$W$200,INDEX($U$4:$U$11,AC$2)+ROW()-5),AC$3&amp;"_"&amp;AD$3)))</f>
        <v>#N/A</v>
      </c>
      <c r="AI26" s="10" t="e">
        <f>IF(OR(ROW()-4&gt;INDEX($U$4:$U$11,AC$2+1)-INDEX($U$4:$U$11,AC$2),ROW()-4&gt;AD$2),NA(),(COUNTIF(INDEX($X$4:$X$200,INDEX($U$4:$U$11,AC$2)):INDEX($X$4:$X$200,INDEX($U$4:$U$11,AC$2)+ROW()-5),AC$3&amp;"_#03")-COUNTIF(INDEX($X$4:$X$200,INDEX($U$4:$U$11,AC$2)):INDEX($X$4:$X$200,INDEX($U$4:$U$11,AC$2)+ROW()-5),AD$3&amp;"_#02"))/(COUNTIF(INDEX($W$4:$W$200,INDEX($U$4:$U$11,AC$2)):INDEX($W$4:$W$200,INDEX($U$4:$U$11,AC$2)+ROW()-5),AC$3&amp;"_"&amp;AC$3)+COUNTIF(INDEX($W$4:$W$200,INDEX($U$4:$U$11,AC$2)):INDEX($W$4:$W$200,INDEX($U$4:$U$11,AC$2)+ROW()-5),AD$3&amp;"_"&amp;AC$3)))</f>
        <v>#N/A</v>
      </c>
      <c r="AJ26" s="10" t="e">
        <f>IF(OR(ROW()-4&gt;INDEX($U$4:$U$11,AC$2+1)-INDEX($U$4:$U$11,AC$2),ROW()-4&gt;AD$2),NA(),(COUNTIF(INDEX($X$4:$X$200,INDEX($U$4:$U$11,AC$2)):INDEX($X$4:$X$200,INDEX($U$4:$U$11,AC$2)+ROW()-5),AD$3&amp;"_#03")-COUNTIF(INDEX($X$4:$X$200,INDEX($U$4:$U$11,AC$2)):INDEX($X$4:$X$200,INDEX($U$4:$U$11,AC$2)+ROW()-5),AC$3&amp;"_#02"))/(COUNTIF(INDEX($W$4:$W$200,INDEX($U$4:$U$11,AC$2)):INDEX($W$4:$W$200,INDEX($U$4:$U$11,AC$2)+ROW()-5),AD$3&amp;"_"&amp;AD$3)+COUNTIF(INDEX($W$4:$W$200,INDEX($U$4:$U$11,AC$2)):INDEX($W$4:$W$200,INDEX($U$4:$U$11,AC$2)+ROW()-5),AC$3&amp;"_"&amp;AD$3)))</f>
        <v>#N/A</v>
      </c>
      <c r="AK26" s="10" t="e">
        <f>IF(OR(ROW()-4&gt;INDEX($U$4:$U$11,AC$2+1)-INDEX($U$4:$U$11,AC$2),ROW()-4&gt;AD$2),NA(),(COUNTIF(INDEX($X$4:$X$200,INDEX($U$4:$U$11,AC$2)):INDEX($X$4:$X$200,INDEX($U$4:$U$11,AC$2)+ROW()-5),AC$3&amp;"_#01")+COUNTIF(INDEX($X$4:$X$200,INDEX($U$4:$U$11,AC$2)):INDEX($X$4:$X$200,INDEX($U$4:$U$11,AC$2)+ROW()-5),AC$3&amp;"_#03"))/(COUNTIF(INDEX($W$4:$W$200,INDEX($U$4:$U$11,AC$2)):INDEX($W$4:$W$200,INDEX($U$4:$U$11,AC$2)+ROW()-5),AC$3&amp;"_"&amp;AC$3)+COUNTIF(INDEX($W$4:$W$200,INDEX($U$4:$U$11,AC$2)):INDEX($W$4:$W$200,INDEX($U$4:$U$11,AC$2)+ROW()-5),AD$3&amp;"_"&amp;AC$3)))</f>
        <v>#N/A</v>
      </c>
      <c r="AL26" s="10" t="e">
        <f>IF(OR(ROW()-4&gt;INDEX($U$4:$U$11,AC$2+1)-INDEX($U$4:$U$11,AC$2),ROW()-4&gt;AD$2),NA(),(COUNTIF(INDEX($X$4:$X$200,INDEX($U$4:$U$11,AC$2)):INDEX($X$4:$X$200,INDEX($U$4:$U$11,AC$2)+ROW()-5),AD$3&amp;"_#01")+COUNTIF(INDEX($X$4:$X$200,INDEX($U$4:$U$11,AC$2)):INDEX($X$4:$X$200,INDEX($U$4:$U$11,AC$2)+ROW()-5),AD$3&amp;"_#03"))/(COUNTIF(INDEX($W$4:$W$200,INDEX($U$4:$U$11,AC$2)):INDEX($W$4:$W$200,INDEX($U$4:$U$11,AC$2)+ROW()-5),AD$3&amp;"_"&amp;AD$3)+COUNTIF(INDEX($W$4:$W$200,INDEX($U$4:$U$11,AC$2)):INDEX($W$4:$W$200,INDEX($U$4:$U$11,AC$2)+ROW()-5),AC$3&amp;"_"&amp;AD$3)))</f>
        <v>#N/A</v>
      </c>
      <c r="AN26" t="str">
        <f t="shared" si="125"/>
        <v/>
      </c>
      <c r="AO26" t="str">
        <f t="shared" si="111"/>
        <v/>
      </c>
      <c r="AP26" t="str">
        <f t="shared" si="112"/>
        <v/>
      </c>
      <c r="AQ26" t="str">
        <f t="shared" si="113"/>
        <v/>
      </c>
      <c r="AR26" t="str">
        <f t="shared" si="114"/>
        <v/>
      </c>
      <c r="AS26" t="e">
        <f t="shared" si="115"/>
        <v>#VALUE!</v>
      </c>
      <c r="AT26" t="e">
        <f t="shared" si="116"/>
        <v>#VALUE!</v>
      </c>
      <c r="AV26" t="e">
        <f t="shared" si="117"/>
        <v>#VALUE!</v>
      </c>
      <c r="AW26" t="e">
        <f t="shared" si="63"/>
        <v>#VALUE!</v>
      </c>
      <c r="AX26" t="e">
        <f t="shared" si="64"/>
        <v>#VALUE!</v>
      </c>
      <c r="AY26" t="e">
        <f t="shared" si="65"/>
        <v>#VALUE!</v>
      </c>
      <c r="AZ26" t="e">
        <f t="shared" si="66"/>
        <v>#VALUE!</v>
      </c>
      <c r="BA26" t="e">
        <f t="shared" si="67"/>
        <v>#VALUE!</v>
      </c>
      <c r="BB26" t="e">
        <f t="shared" si="68"/>
        <v>#VALUE!</v>
      </c>
      <c r="BD26" t="e">
        <f t="shared" si="118"/>
        <v>#VALUE!</v>
      </c>
      <c r="BE26" t="e">
        <f t="shared" si="69"/>
        <v>#VALUE!</v>
      </c>
      <c r="BF26" t="e">
        <f t="shared" si="70"/>
        <v>#VALUE!</v>
      </c>
      <c r="BG26" t="e">
        <f t="shared" si="71"/>
        <v>#VALUE!</v>
      </c>
      <c r="BH26" t="e">
        <f t="shared" si="72"/>
        <v>#VALUE!</v>
      </c>
      <c r="BI26" t="e">
        <f t="shared" si="73"/>
        <v>#VALUE!</v>
      </c>
      <c r="BJ26" t="e">
        <f t="shared" si="74"/>
        <v>#VALUE!</v>
      </c>
      <c r="BL26" t="e">
        <f t="shared" si="119"/>
        <v>#VALUE!</v>
      </c>
      <c r="BM26" t="e">
        <f t="shared" si="75"/>
        <v>#VALUE!</v>
      </c>
      <c r="BN26" t="e">
        <f t="shared" si="76"/>
        <v>#VALUE!</v>
      </c>
      <c r="BO26" t="e">
        <f t="shared" si="77"/>
        <v>#VALUE!</v>
      </c>
      <c r="BP26" t="e">
        <f t="shared" si="78"/>
        <v>#VALUE!</v>
      </c>
      <c r="BQ26" t="e">
        <f t="shared" si="79"/>
        <v>#VALUE!</v>
      </c>
      <c r="BR26" t="e">
        <f t="shared" si="80"/>
        <v>#VALUE!</v>
      </c>
      <c r="BT26" t="e">
        <f t="shared" si="120"/>
        <v>#VALUE!</v>
      </c>
      <c r="BU26" t="e">
        <f t="shared" si="81"/>
        <v>#VALUE!</v>
      </c>
      <c r="BV26" t="e">
        <f t="shared" si="82"/>
        <v>#VALUE!</v>
      </c>
      <c r="BW26" t="e">
        <f t="shared" si="83"/>
        <v>#VALUE!</v>
      </c>
      <c r="BX26" t="e">
        <f t="shared" si="84"/>
        <v>#VALUE!</v>
      </c>
      <c r="BY26" t="e">
        <f t="shared" si="85"/>
        <v>#VALUE!</v>
      </c>
      <c r="BZ26" t="e">
        <f t="shared" si="86"/>
        <v>#VALUE!</v>
      </c>
      <c r="CB26" t="e">
        <f t="shared" si="121"/>
        <v>#VALUE!</v>
      </c>
      <c r="CC26" t="e">
        <f t="shared" si="87"/>
        <v>#VALUE!</v>
      </c>
      <c r="CD26" t="e">
        <f t="shared" si="88"/>
        <v>#VALUE!</v>
      </c>
      <c r="CE26" t="e">
        <f t="shared" si="89"/>
        <v>#VALUE!</v>
      </c>
      <c r="CF26" t="e">
        <f t="shared" si="90"/>
        <v>#VALUE!</v>
      </c>
      <c r="CG26" t="e">
        <f t="shared" si="91"/>
        <v>#VALUE!</v>
      </c>
      <c r="CH26" t="e">
        <f t="shared" si="92"/>
        <v>#VALUE!</v>
      </c>
      <c r="CJ26" t="e">
        <f t="shared" si="122"/>
        <v>#VALUE!</v>
      </c>
      <c r="CK26" t="e">
        <f t="shared" si="93"/>
        <v>#VALUE!</v>
      </c>
      <c r="CL26" t="e">
        <f t="shared" si="94"/>
        <v>#VALUE!</v>
      </c>
      <c r="CM26" t="e">
        <f t="shared" si="95"/>
        <v>#VALUE!</v>
      </c>
      <c r="CN26" t="e">
        <f t="shared" si="96"/>
        <v>#VALUE!</v>
      </c>
      <c r="CO26" t="e">
        <f t="shared" si="97"/>
        <v>#VALUE!</v>
      </c>
      <c r="CP26" t="e">
        <f t="shared" si="98"/>
        <v>#VALUE!</v>
      </c>
      <c r="CR26" t="e">
        <f t="shared" si="123"/>
        <v>#VALUE!</v>
      </c>
      <c r="CS26" t="e">
        <f t="shared" si="99"/>
        <v>#VALUE!</v>
      </c>
      <c r="CT26" t="e">
        <f t="shared" si="100"/>
        <v>#VALUE!</v>
      </c>
      <c r="CU26" t="e">
        <f t="shared" si="101"/>
        <v>#VALUE!</v>
      </c>
      <c r="CV26" t="e">
        <f t="shared" si="102"/>
        <v>#VALUE!</v>
      </c>
      <c r="CW26" t="e">
        <f t="shared" si="103"/>
        <v>#VALUE!</v>
      </c>
      <c r="CX26" t="e">
        <f t="shared" si="104"/>
        <v>#VALUE!</v>
      </c>
      <c r="CZ26" t="e">
        <f t="shared" si="124"/>
        <v>#VALUE!</v>
      </c>
      <c r="DA26" t="e">
        <f t="shared" si="105"/>
        <v>#VALUE!</v>
      </c>
      <c r="DB26" t="e">
        <f t="shared" si="106"/>
        <v>#VALUE!</v>
      </c>
      <c r="DC26" t="e">
        <f t="shared" si="107"/>
        <v>#VALUE!</v>
      </c>
      <c r="DD26" t="e">
        <f t="shared" si="108"/>
        <v>#VALUE!</v>
      </c>
      <c r="DE26" t="e">
        <f t="shared" si="109"/>
        <v>#VALUE!</v>
      </c>
      <c r="DF26" t="e">
        <f t="shared" si="110"/>
        <v>#VALUE!</v>
      </c>
      <c r="DH26" t="e">
        <f>IF(OR(ROW()-4&gt;INDEX($U$4:$U$11,$AC$2+1,1)-INDEX($U$4:$U$11,$AC$2,1),ROW()-4&gt;$AD$2),NA(),COUNTIF(INDEX($BL$5:$BR$50,INDEX($U$4:$U$11,1,1),$AC$2):INDEX($BL$5:$BR$50,INDEX($U$4:$U$11,1,1)+ROW()-5,$AC$2),DH$3))</f>
        <v>#N/A</v>
      </c>
      <c r="DI26" t="e">
        <f>IF(OR(ROW()-4&gt;INDEX($U$4:$U$11,$AC$2+1,1)-INDEX($U$4:$U$11,$AC$2,1),ROW()-4&gt;$AD$2),NA(),COUNTIF(INDEX($BL$5:$BR$50,INDEX($U$4:$U$11,1,1),$AC$2):INDEX($BL$5:$BR$50,INDEX($U$4:$U$11,1,1)+ROW()-5,$AC$2),DI$3))</f>
        <v>#N/A</v>
      </c>
      <c r="DJ26" t="e">
        <f>IF(OR(ROW()-4&gt;INDEX($U$4:$U$11,$AC$2+1,1)-INDEX($U$4:$U$11,$AC$2,1),ROW()-4&gt;$AD$2),NA(),COUNTIF(INDEX($BL$5:$BR$50,INDEX($U$4:$U$11,1,1),$AC$2):INDEX($BL$5:$BR$50,INDEX($U$4:$U$11,1,1)+ROW()-5,$AC$2),DJ$3))</f>
        <v>#N/A</v>
      </c>
      <c r="DL26" t="e">
        <f>IF(OR(ROW()-4&gt;INDEX($U$4:$U$11,$AC$2+1,1)-INDEX($U$4:$U$11,$AC$2,1),ROW()-4&gt;$AD$2),NA(),COUNTIF(INDEX($BL$5:$BR$50,INDEX($U$4:$U$11,1,1),$AC$2):INDEX($BL$5:$BR$50,INDEX($U$4:$U$11,1,1)+ROW()-5,$AC$2),DL$3))</f>
        <v>#N/A</v>
      </c>
      <c r="DM26" t="e">
        <f>IF(OR(ROW()-4&gt;INDEX($U$4:$U$11,$AC$2+1,1)-INDEX($U$4:$U$11,$AC$2,1),ROW()-4&gt;$AD$2),NA(),COUNTIF(INDEX($BL$5:$BR$50,INDEX($U$4:$U$11,1,1),$AC$2):INDEX($BL$5:$BR$50,INDEX($U$4:$U$11,1,1)+ROW()-5,$AC$2),DM$3))</f>
        <v>#N/A</v>
      </c>
      <c r="DN26" t="e">
        <f>IF(OR(ROW()-4&gt;INDEX($U$4:$U$11,$AC$2+1,1)-INDEX($U$4:$U$11,$AC$2,1),ROW()-4&gt;$AD$2),NA(),COUNTIF(INDEX($BL$5:$BR$50,INDEX($U$4:$U$11,1,1),$AC$2):INDEX($BL$5:$BR$50,INDEX($U$4:$U$11,1,1)+ROW()-5,$AC$2),DN$3))</f>
        <v>#N/A</v>
      </c>
      <c r="DP26" t="e">
        <f>IF(OR(ROW()-4&gt;INDEX($U$4:$U$11,$AC$2+1,1)-INDEX($U$4:$U$11,$AC$2,1),ROW()-4&gt;$AD$2),NA(),COUNTIF(INDEX($BT$5:$BZ$201,INDEX($U$4:$U$11,1,1),$AC$2):INDEX($BT$5:$BZ$201,INDEX($U$4:$U$11,1,1)+ROW()-5,$AC$2),DP$3))</f>
        <v>#N/A</v>
      </c>
      <c r="DQ26" t="e">
        <f>IF(OR(ROW()-4&gt;INDEX($U$4:$U$11,$AC$2+1,1)-INDEX($U$4:$U$11,$AC$2,1),ROW()-4&gt;$AD$2),NA(),COUNTIF(INDEX($BT$5:$BZ$201,INDEX($U$4:$U$11,1,1),$AC$2):INDEX($BT$5:$BZ$201,INDEX($U$4:$U$11,1,1)+ROW()-5,$AC$2),DQ$3))</f>
        <v>#N/A</v>
      </c>
      <c r="DS26" t="e">
        <f>IF(OR(ROW()-4&gt;INDEX($U$4:$U$11,$AC$2+1,1)-INDEX($U$4:$U$11,$AC$2,1),ROW()-4&gt;$AD$2),NA(),COUNTIF(INDEX($BT$5:$BZ$201,INDEX($U$4:$U$11,1,1),$AC$2):INDEX($BT$5:$BZ$201,INDEX($U$4:$U$11,1,1)+ROW()-5,$AC$2),DS$3))</f>
        <v>#N/A</v>
      </c>
      <c r="DT26" t="e">
        <f>IF(OR(ROW()-4&gt;INDEX($U$4:$U$11,$AC$2+1,1)-INDEX($U$4:$U$11,$AC$2,1),ROW()-4&gt;$AD$2),NA(),COUNTIF(INDEX($BT$5:$BZ$201,INDEX($U$4:$U$11,1,1),$AC$2):INDEX($BT$5:$BZ$201,INDEX($U$4:$U$11,1,1)+ROW()-5,$AC$2),DT$3))</f>
        <v>#N/A</v>
      </c>
      <c r="DV26" t="e">
        <f>IF(OR(ROW()-4&gt;INDEX($U$4:$U$11,$AC$2+1,1)-INDEX($U$4:$U$11,$AC$2,1),ROW()-4&gt;$AD$2),NA(),COUNTIF(INDEX($CB$5:$CH$201,INDEX($U$4:$U$11,1,1),$AC$2):INDEX($CB$5:$CH$201,INDEX($U$4:$U$11,1,1)+ROW()-5,$AC$2),DV$3))</f>
        <v>#N/A</v>
      </c>
      <c r="DW26" t="e">
        <f>IF(OR(ROW()-4&gt;INDEX($U$4:$U$11,$AC$2+1,1)-INDEX($U$4:$U$11,$AC$2,1),ROW()-4&gt;$AD$2),NA(),COUNTIF(INDEX($CB$5:$CH$201,INDEX($U$4:$U$11,1,1),$AC$2):INDEX($CB$5:$CH$201,INDEX($U$4:$U$11,1,1)+ROW()-5,$AC$2),DW$3))</f>
        <v>#N/A</v>
      </c>
      <c r="DX26" t="e">
        <f>IF(OR(ROW()-4&gt;INDEX($U$4:$U$11,$AC$2+1,1)-INDEX($U$4:$U$11,$AC$2,1),ROW()-4&gt;$AD$2),NA(),COUNTIF(INDEX($CB$5:$CH$201,INDEX($U$4:$U$11,1,1),$AC$2):INDEX($CB$5:$CH$201,INDEX($U$4:$U$11,1,1)+ROW()-5,$AC$2),DX$3))</f>
        <v>#N/A</v>
      </c>
      <c r="DY26" t="e">
        <f>IF(OR(ROW()-4&gt;INDEX($U$4:$U$11,$AC$2+1,1)-INDEX($U$4:$U$11,$AC$2,1),ROW()-4&gt;$AD$2),NA(),COUNTIF(INDEX($CB$5:$CH$201,INDEX($U$4:$U$11,1,1),$AC$2):INDEX($CB$5:$CH$201,INDEX($U$4:$U$11,1,1)+ROW()-5,$AC$2),DY$3))</f>
        <v>#N/A</v>
      </c>
      <c r="DZ26" t="e">
        <f>IF(OR(ROW()-4&gt;INDEX($U$4:$U$11,$AC$2+1,1)-INDEX($U$4:$U$11,$AC$2,1),ROW()-4&gt;$AD$2),NA(),COUNTIF(INDEX($CB$5:$CH$201,INDEX($U$4:$U$11,1,1),$AC$2):INDEX($CB$5:$CH$201,INDEX($U$4:$U$11,1,1)+ROW()-5,$AC$2),DZ$3))</f>
        <v>#N/A</v>
      </c>
      <c r="EA26" t="e">
        <f>IF(OR(ROW()-4&gt;INDEX($U$4:$U$11,$AC$2+1,1)-INDEX($U$4:$U$11,$AC$2,1),ROW()-4&gt;$AD$2),NA(),COUNTIF(INDEX($CB$5:$CH$201,INDEX($U$4:$U$11,1,1),$AC$2):INDEX($CB$5:$CH$201,INDEX($U$4:$U$11,1,1)+ROW()-5,$AC$2),EA$3))</f>
        <v>#N/A</v>
      </c>
      <c r="EB26" t="e">
        <f>IF(OR(ROW()-4&gt;INDEX($U$4:$U$11,$AC$2+1,1)-INDEX($U$4:$U$11,$AC$2,1),ROW()-4&gt;$AD$2),NA(),COUNTIF(INDEX($CB$5:$CH$201,INDEX($U$4:$U$11,1,1),$AC$2):INDEX($CB$5:$CH$201,INDEX($U$4:$U$11,1,1)+ROW()-5,$AC$2),EB$3))</f>
        <v>#N/A</v>
      </c>
      <c r="EC26" t="e">
        <f>IF(OR(ROW()-4&gt;INDEX($U$4:$U$11,$AC$2+1,1)-INDEX($U$4:$U$11,$AC$2,1),ROW()-4&gt;$AD$2),NA(),COUNTIF(INDEX($CB$5:$CH$201,INDEX($U$4:$U$11,1,1),$AC$2):INDEX($CB$5:$CH$201,INDEX($U$4:$U$11,1,1)+ROW()-5,$AC$2),EC$3))</f>
        <v>#N/A</v>
      </c>
      <c r="EE26" t="e">
        <f>IF(OR(ROW()-4&gt;INDEX($U$4:$U$11,$AC$2+1,1)-INDEX($U$4:$U$11,$AC$2,1),ROW()-4&gt;$AD$2),NA(),COUNTIF(INDEX($CB$5:$CH$201,INDEX($U$4:$U$11,1,1),$AC$2):INDEX($CB$5:$CH$201,INDEX($U$4:$U$11,1,1)+ROW()-5,$AC$2),EE$3))</f>
        <v>#N/A</v>
      </c>
      <c r="EF26" t="e">
        <f>IF(OR(ROW()-4&gt;INDEX($U$4:$U$11,$AC$2+1,1)-INDEX($U$4:$U$11,$AC$2,1),ROW()-4&gt;$AD$2),NA(),COUNTIF(INDEX($CB$5:$CH$201,INDEX($U$4:$U$11,1,1),$AC$2):INDEX($CB$5:$CH$201,INDEX($U$4:$U$11,1,1)+ROW()-5,$AC$2),EF$3))</f>
        <v>#N/A</v>
      </c>
      <c r="EG26" t="e">
        <f>IF(OR(ROW()-4&gt;INDEX($U$4:$U$11,$AC$2+1,1)-INDEX($U$4:$U$11,$AC$2,1),ROW()-4&gt;$AD$2),NA(),COUNTIF(INDEX($CB$5:$CH$201,INDEX($U$4:$U$11,1,1),$AC$2):INDEX($CB$5:$CH$201,INDEX($U$4:$U$11,1,1)+ROW()-5,$AC$2),EG$3))</f>
        <v>#N/A</v>
      </c>
      <c r="EH26" t="e">
        <f>IF(OR(ROW()-4&gt;INDEX($U$4:$U$11,$AC$2+1,1)-INDEX($U$4:$U$11,$AC$2,1),ROW()-4&gt;$AD$2),NA(),COUNTIF(INDEX($CB$5:$CH$201,INDEX($U$4:$U$11,1,1),$AC$2):INDEX($CB$5:$CH$201,INDEX($U$4:$U$11,1,1)+ROW()-5,$AC$2),EH$3))</f>
        <v>#N/A</v>
      </c>
      <c r="EI26" t="e">
        <f>IF(OR(ROW()-4&gt;INDEX($U$4:$U$11,$AC$2+1,1)-INDEX($U$4:$U$11,$AC$2,1),ROW()-4&gt;$AD$2),NA(),COUNTIF(INDEX($CB$5:$CH$201,INDEX($U$4:$U$11,1,1),$AC$2):INDEX($CB$5:$CH$201,INDEX($U$4:$U$11,1,1)+ROW()-5,$AC$2),EI$3))</f>
        <v>#N/A</v>
      </c>
      <c r="EJ26" t="e">
        <f>IF(OR(ROW()-4&gt;INDEX($U$4:$U$11,$AC$2+1,1)-INDEX($U$4:$U$11,$AC$2,1),ROW()-4&gt;$AD$2),NA(),COUNTIF(INDEX($CB$5:$CH$201,INDEX($U$4:$U$11,1,1),$AC$2):INDEX($CB$5:$CH$201,INDEX($U$4:$U$11,1,1)+ROW()-5,$AC$2),EJ$3))</f>
        <v>#N/A</v>
      </c>
      <c r="EK26" t="e">
        <f>IF(OR(ROW()-4&gt;INDEX($U$4:$U$11,$AC$2+1,1)-INDEX($U$4:$U$11,$AC$2,1),ROW()-4&gt;$AD$2),NA(),COUNTIF(INDEX($CB$5:$CH$201,INDEX($U$4:$U$11,1,1),$AC$2):INDEX($CB$5:$CH$201,INDEX($U$4:$U$11,1,1)+ROW()-5,$AC$2),EK$3))</f>
        <v>#N/A</v>
      </c>
      <c r="EL26" t="e">
        <f>IF(OR(ROW()-4&gt;INDEX($U$4:$U$11,$AC$2+1,1)-INDEX($U$4:$U$11,$AC$2,1),ROW()-4&gt;$AD$2),NA(),COUNTIF(INDEX($CB$5:$CH$201,INDEX($U$4:$U$11,1,1),$AC$2):INDEX($CB$5:$CH$201,INDEX($U$4:$U$11,1,1)+ROW()-5,$AC$2),EL$3))</f>
        <v>#N/A</v>
      </c>
      <c r="EN26" t="e">
        <f>IF(OR(ROW()-4&gt;INDEX($U$4:$U$11,$AC$2+1,1)-INDEX($U$4:$U$11,$AC$2,1),ROW()-4&gt;$AD$2),NA(),COUNTIF(INDEX($CJ$5:$CP$201,INDEX($U$4:$U$11,1,1),$AC$2):INDEX($CJ$5:$CP$201,INDEX($U$4:$U$11,1,1)+ROW()-5,$AC$2),EN$3))</f>
        <v>#N/A</v>
      </c>
      <c r="EO26" t="e">
        <f>IF(OR(ROW()-4&gt;INDEX($U$4:$U$11,$AC$2+1,1)-INDEX($U$4:$U$11,$AC$2,1),ROW()-4&gt;$AD$2),NA(),COUNTIF(INDEX($CJ$5:$CP$201,INDEX($U$4:$U$11,1,1),$AC$2):INDEX($CJ$5:$CP$201,INDEX($U$4:$U$11,1,1)+ROW()-5,$AC$2),EO$3))</f>
        <v>#N/A</v>
      </c>
      <c r="EQ26" t="e">
        <f>IF(OR(ROW()-4&gt;INDEX($U$4:$U$11,$AC$2+1,1)-INDEX($U$4:$U$11,$AC$2,1),ROW()-4&gt;$AD$2),NA(),COUNTIF(INDEX($CJ$5:$CP$201,INDEX($U$4:$U$11,1,1),$AC$2):INDEX($CJ$5:$CP$201,INDEX($U$4:$U$11,1,1)+ROW()-5,$AC$2),EQ$3))</f>
        <v>#N/A</v>
      </c>
      <c r="ER26" t="e">
        <f>IF(OR(ROW()-4&gt;INDEX($U$4:$U$11,$AC$2+1,1)-INDEX($U$4:$U$11,$AC$2,1),ROW()-4&gt;$AD$2),NA(),COUNTIF(INDEX($CJ$5:$CP$201,INDEX($U$4:$U$11,1,1),$AC$2):INDEX($CJ$5:$CP$201,INDEX($U$4:$U$11,1,1)+ROW()-5,$AC$2),ER$3))</f>
        <v>#N/A</v>
      </c>
      <c r="ET26" t="e">
        <f>IF(OR(ROW()-4&gt;INDEX($U$4:$U$11,$AC$2+1,1)-INDEX($U$4:$U$11,$AC$2,1),ROW()-4&gt;$AD$2),NA(),COUNTIF(INDEX($CR$5:$CX$201,INDEX($U$4:$U$11,1,1),$AC$2):INDEX($CR$5:$CX$201,INDEX($U$4:$U$11,1,1)+ROW()-5,$AC$2),ET$3))</f>
        <v>#N/A</v>
      </c>
      <c r="EU26" t="e">
        <f>IF(OR(ROW()-4&gt;INDEX($U$4:$U$11,$AC$2+1,1)-INDEX($U$4:$U$11,$AC$2,1),ROW()-4&gt;$AD$2),NA(),COUNTIF(INDEX($CR$5:$CX$201,INDEX($U$4:$U$11,1,1),$AC$2):INDEX($CR$5:$CX$201,INDEX($U$4:$U$11,1,1)+ROW()-5,$AC$2),EU$3))</f>
        <v>#N/A</v>
      </c>
      <c r="EV26" t="e">
        <f>IF(OR(ROW()-4&gt;INDEX($U$4:$U$11,$AC$2+1,1)-INDEX($U$4:$U$11,$AC$2,1),ROW()-4&gt;$AD$2),NA(),COUNTIF(INDEX($CR$5:$CX$201,INDEX($U$4:$U$11,1,1),$AC$2):INDEX($CR$5:$CX$201,INDEX($U$4:$U$11,1,1)+ROW()-5,$AC$2),EV$3))</f>
        <v>#N/A</v>
      </c>
      <c r="EW26" t="e">
        <f>IF(OR(ROW()-4&gt;INDEX($U$4:$U$11,$AC$2+1,1)-INDEX($U$4:$U$11,$AC$2,1),ROW()-4&gt;$AD$2),NA(),COUNTIF(INDEX($CR$5:$CX$201,INDEX($U$4:$U$11,1,1),$AC$2):INDEX($CR$5:$CX$201,INDEX($U$4:$U$11,1,1)+ROW()-5,$AC$2),EW$3))</f>
        <v>#N/A</v>
      </c>
      <c r="EX26" t="e">
        <f>IF(OR(ROW()-4&gt;INDEX($U$4:$U$11,$AC$2+1,1)-INDEX($U$4:$U$11,$AC$2,1),ROW()-4&gt;$AD$2),NA(),COUNTIF(INDEX($CR$5:$CX$201,INDEX($U$4:$U$11,1,1),$AC$2):INDEX($CR$5:$CX$201,INDEX($U$4:$U$11,1,1)+ROW()-5,$AC$2),EX$3))</f>
        <v>#N/A</v>
      </c>
      <c r="EY26" t="e">
        <f>IF(OR(ROW()-4&gt;INDEX($U$4:$U$11,$AC$2+1,1)-INDEX($U$4:$U$11,$AC$2,1),ROW()-4&gt;$AD$2),NA(),COUNTIF(INDEX($CR$5:$CX$201,INDEX($U$4:$U$11,1,1),$AC$2):INDEX($CR$5:$CX$201,INDEX($U$4:$U$11,1,1)+ROW()-5,$AC$2),EY$3))</f>
        <v>#N/A</v>
      </c>
      <c r="EZ26" t="e">
        <f>IF(OR(ROW()-4&gt;INDEX($U$4:$U$11,$AC$2+1,1)-INDEX($U$4:$U$11,$AC$2,1),ROW()-4&gt;$AD$2),NA(),COUNTIF(INDEX($CR$5:$CX$201,INDEX($U$4:$U$11,1,1),$AC$2):INDEX($CR$5:$CX$201,INDEX($U$4:$U$11,1,1)+ROW()-5,$AC$2),EZ$3))</f>
        <v>#N/A</v>
      </c>
      <c r="FA26" t="e">
        <f>IF(OR(ROW()-4&gt;INDEX($U$4:$U$11,$AC$2+1,1)-INDEX($U$4:$U$11,$AC$2,1),ROW()-4&gt;$AD$2),NA(),COUNTIF(INDEX($CR$5:$CX$201,INDEX($U$4:$U$11,1,1),$AC$2):INDEX($CR$5:$CX$201,INDEX($U$4:$U$11,1,1)+ROW()-5,$AC$2),FA$3))</f>
        <v>#N/A</v>
      </c>
      <c r="FC26" t="e">
        <f>IF(OR(ROW()-4&gt;INDEX($U$4:$U$11,$AC$2+1,1)-INDEX($U$4:$U$11,$AC$2,1),ROW()-4&gt;$AD$2),NA(),COUNTIF(INDEX($CR$5:$CX$201,INDEX($U$4:$U$11,1,1),$AC$2):INDEX($CR$5:$CX$201,INDEX($U$4:$U$11,1,1)+ROW()-5,$AC$2),FC$3))</f>
        <v>#N/A</v>
      </c>
      <c r="FD26" t="e">
        <f>IF(OR(ROW()-4&gt;INDEX($U$4:$U$11,$AC$2+1,1)-INDEX($U$4:$U$11,$AC$2,1),ROW()-4&gt;$AD$2),NA(),COUNTIF(INDEX($CR$5:$CX$201,INDEX($U$4:$U$11,1,1),$AC$2):INDEX($CR$5:$CX$201,INDEX($U$4:$U$11,1,1)+ROW()-5,$AC$2),FD$3))</f>
        <v>#N/A</v>
      </c>
      <c r="FE26" t="e">
        <f>IF(OR(ROW()-4&gt;INDEX($U$4:$U$11,$AC$2+1,1)-INDEX($U$4:$U$11,$AC$2,1),ROW()-4&gt;$AD$2),NA(),COUNTIF(INDEX($CR$5:$CX$201,INDEX($U$4:$U$11,1,1),$AC$2):INDEX($CR$5:$CX$201,INDEX($U$4:$U$11,1,1)+ROW()-5,$AC$2),FE$3))</f>
        <v>#N/A</v>
      </c>
      <c r="FF26" t="e">
        <f>IF(OR(ROW()-4&gt;INDEX($U$4:$U$11,$AC$2+1,1)-INDEX($U$4:$U$11,$AC$2,1),ROW()-4&gt;$AD$2),NA(),COUNTIF(INDEX($CR$5:$CX$201,INDEX($U$4:$U$11,1,1),$AC$2):INDEX($CR$5:$CX$201,INDEX($U$4:$U$11,1,1)+ROW()-5,$AC$2),FF$3))</f>
        <v>#N/A</v>
      </c>
      <c r="FG26" t="e">
        <f>IF(OR(ROW()-4&gt;INDEX($U$4:$U$11,$AC$2+1,1)-INDEX($U$4:$U$11,$AC$2,1),ROW()-4&gt;$AD$2),NA(),COUNTIF(INDEX($CR$5:$CX$201,INDEX($U$4:$U$11,1,1),$AC$2):INDEX($CR$5:$CX$201,INDEX($U$4:$U$11,1,1)+ROW()-5,$AC$2),FG$3))</f>
        <v>#N/A</v>
      </c>
      <c r="FH26" t="e">
        <f>IF(OR(ROW()-4&gt;INDEX($U$4:$U$11,$AC$2+1,1)-INDEX($U$4:$U$11,$AC$2,1),ROW()-4&gt;$AD$2),NA(),COUNTIF(INDEX($CR$5:$CX$201,INDEX($U$4:$U$11,1,1),$AC$2):INDEX($CR$5:$CX$201,INDEX($U$4:$U$11,1,1)+ROW()-5,$AC$2),FH$3))</f>
        <v>#N/A</v>
      </c>
      <c r="FI26" t="e">
        <f>IF(OR(ROW()-4&gt;INDEX($U$4:$U$11,$AC$2+1,1)-INDEX($U$4:$U$11,$AC$2,1),ROW()-4&gt;$AD$2),NA(),COUNTIF(INDEX($CR$5:$CX$201,INDEX($U$4:$U$11,1,1),$AC$2):INDEX($CR$5:$CX$201,INDEX($U$4:$U$11,1,1)+ROW()-5,$AC$2),FI$3))</f>
        <v>#N/A</v>
      </c>
      <c r="FJ26" t="e">
        <f>IF(OR(ROW()-4&gt;INDEX($U$4:$U$11,$AC$2+1,1)-INDEX($U$4:$U$11,$AC$2,1),ROW()-4&gt;$AD$2),NA(),COUNTIF(INDEX($CR$5:$CX$201,INDEX($U$4:$U$11,1,1),$AC$2):INDEX($CR$5:$CX$201,INDEX($U$4:$U$11,1,1)+ROW()-5,$AC$2),FJ$3))</f>
        <v>#N/A</v>
      </c>
      <c r="FL26" t="e">
        <f>IF(OR(ROW()-4&gt;INDEX($U$4:$U$11,$AC$2+1,1)-INDEX($U$4:$U$11,$AC$2,1),ROW()-4&gt;$AD$2),NA(),COUNTIF(INDEX($CZ$5:$DF$201,INDEX($U$4:$U$11,1,1),$AC$2):INDEX($CZ$5:$DF$201,INDEX($U$4:$U$11,1,1)+ROW()-5,$AC$2),FL$3))</f>
        <v>#N/A</v>
      </c>
      <c r="FM26" t="e">
        <f>IF(OR(ROW()-4&gt;INDEX($U$4:$U$11,$AC$2+1,1)-INDEX($U$4:$U$11,$AC$2,1),ROW()-4&gt;$AD$2),NA(),COUNTIF(INDEX($CZ$5:$DF$201,INDEX($U$4:$U$11,1,1),$AC$2):INDEX($CZ$5:$DF$201,INDEX($U$4:$U$11,1,1)+ROW()-5,$AC$2),FM$3))</f>
        <v>#N/A</v>
      </c>
      <c r="FN26" t="e">
        <f>IF(OR(ROW()-4&gt;INDEX($U$4:$U$11,$AC$2+1,1)-INDEX($U$4:$U$11,$AC$2,1),ROW()-4&gt;$AD$2),NA(),COUNTIF(INDEX($CZ$5:$DF$201,INDEX($U$4:$U$11,1,1),$AC$2):INDEX($CZ$5:$DF$201,INDEX($U$4:$U$11,1,1)+ROW()-5,$AC$2),FN$3))</f>
        <v>#N/A</v>
      </c>
      <c r="FO26" t="e">
        <f>IF(OR(ROW()-4&gt;INDEX($U$4:$U$11,$AC$2+1,1)-INDEX($U$4:$U$11,$AC$2,1),ROW()-4&gt;$AD$2),NA(),COUNTIF(INDEX($CZ$5:$DF$201,INDEX($U$4:$U$11,1,1),$AC$2):INDEX($CZ$5:$DF$201,INDEX($U$4:$U$11,1,1)+ROW()-5,$AC$2),FO$3))</f>
        <v>#N/A</v>
      </c>
      <c r="FP26" t="e">
        <f>IF(OR(ROW()-4&gt;INDEX($U$4:$U$11,$AC$2+1,1)-INDEX($U$4:$U$11,$AC$2,1),ROW()-4&gt;$AD$2),NA(),COUNTIF(INDEX($CZ$5:$DF$201,INDEX($U$4:$U$11,1,1),$AC$2):INDEX($CZ$5:$DF$201,INDEX($U$4:$U$11,1,1)+ROW()-5,$AC$2),FP$3))</f>
        <v>#N/A</v>
      </c>
      <c r="FQ26" t="e">
        <f>IF(OR(ROW()-4&gt;INDEX($U$4:$U$11,$AC$2+1,1)-INDEX($U$4:$U$11,$AC$2,1),ROW()-4&gt;$AD$2),NA(),COUNTIF(INDEX($CZ$5:$DF$201,INDEX($U$4:$U$11,1,1),$AC$2):INDEX($CZ$5:$DF$201,INDEX($U$4:$U$11,1,1)+ROW()-5,$AC$2),FQ$3))</f>
        <v>#N/A</v>
      </c>
      <c r="FR26" t="e">
        <f>IF(OR(ROW()-4&gt;INDEX($U$4:$U$11,$AC$2+1,1)-INDEX($U$4:$U$11,$AC$2,1),ROW()-4&gt;$AD$2),NA(),COUNTIF(INDEX($CZ$5:$DF$201,INDEX($U$4:$U$11,1,1),$AC$2):INDEX($CZ$5:$DF$201,INDEX($U$4:$U$11,1,1)+ROW()-5,$AC$2),FR$3))</f>
        <v>#N/A</v>
      </c>
      <c r="FS26" t="e">
        <f>IF(OR(ROW()-4&gt;INDEX($U$4:$U$11,$AC$2+1,1)-INDEX($U$4:$U$11,$AC$2,1),ROW()-4&gt;$AD$2),NA(),COUNTIF(INDEX($CZ$5:$DF$201,INDEX($U$4:$U$11,1,1),$AC$2):INDEX($CZ$5:$DF$201,INDEX($U$4:$U$11,1,1)+ROW()-5,$AC$2),FS$3))</f>
        <v>#N/A</v>
      </c>
      <c r="FT26" t="e">
        <f>IF(OR(ROW()-4&gt;INDEX($U$4:$U$11,$AC$2+1,1)-INDEX($U$4:$U$11,$AC$2,1),ROW()-4&gt;$AD$2),NA(),COUNTIF(INDEX($CZ$5:$DF$201,INDEX($U$4:$U$11,1,1),$AC$2):INDEX($CZ$5:$DF$201,INDEX($U$4:$U$11,1,1)+ROW()-5,$AC$2),FT$3))</f>
        <v>#N/A</v>
      </c>
      <c r="FU26" t="e">
        <f>IF(OR(ROW()-4&gt;INDEX($U$4:$U$11,$AC$2+1,1)-INDEX($U$4:$U$11,$AC$2,1),ROW()-4&gt;$AD$2),NA(),COUNTIF(INDEX($CZ$5:$DF$201,INDEX($U$4:$U$11,1,1),$AC$2):INDEX($CZ$5:$DF$201,INDEX($U$4:$U$11,1,1)+ROW()-5,$AC$2),FU$3))</f>
        <v>#N/A</v>
      </c>
      <c r="FW26" t="e">
        <f>IF(OR(ROW()-4&gt;INDEX($U$4:$U$11,$AC$2+1,1)-INDEX($U$4:$U$11,$AC$2,1),ROW()-4&gt;$AD$2),NA(),COUNTIF(INDEX($CZ$5:$DF$201,INDEX($U$4:$U$11,1,1),$AC$2):INDEX($CZ$5:$DF$201,INDEX($U$4:$U$11,1,1)+ROW()-5,$AC$2),FW$3))</f>
        <v>#N/A</v>
      </c>
      <c r="FX26" t="e">
        <f>IF(OR(ROW()-4&gt;INDEX($U$4:$U$11,$AC$2+1,1)-INDEX($U$4:$U$11,$AC$2,1),ROW()-4&gt;$AD$2),NA(),COUNTIF(INDEX($CZ$5:$DF$201,INDEX($U$4:$U$11,1,1),$AC$2):INDEX($CZ$5:$DF$201,INDEX($U$4:$U$11,1,1)+ROW()-5,$AC$2),FX$3))</f>
        <v>#N/A</v>
      </c>
      <c r="FY26" t="e">
        <f>IF(OR(ROW()-4&gt;INDEX($U$4:$U$11,$AC$2+1,1)-INDEX($U$4:$U$11,$AC$2,1),ROW()-4&gt;$AD$2),NA(),COUNTIF(INDEX($CZ$5:$DF$201,INDEX($U$4:$U$11,1,1),$AC$2):INDEX($CZ$5:$DF$201,INDEX($U$4:$U$11,1,1)+ROW()-5,$AC$2),FY$3))</f>
        <v>#N/A</v>
      </c>
      <c r="FZ26" t="e">
        <f>IF(OR(ROW()-4&gt;INDEX($U$4:$U$11,$AC$2+1,1)-INDEX($U$4:$U$11,$AC$2,1),ROW()-4&gt;$AD$2),NA(),COUNTIF(INDEX($CZ$5:$DF$201,INDEX($U$4:$U$11,1,1),$AC$2):INDEX($CZ$5:$DF$201,INDEX($U$4:$U$11,1,1)+ROW()-5,$AC$2),FZ$3))</f>
        <v>#N/A</v>
      </c>
      <c r="GA26" t="e">
        <f>IF(OR(ROW()-4&gt;INDEX($U$4:$U$11,$AC$2+1,1)-INDEX($U$4:$U$11,$AC$2,1),ROW()-4&gt;$AD$2),NA(),COUNTIF(INDEX($CZ$5:$DF$201,INDEX($U$4:$U$11,1,1),$AC$2):INDEX($CZ$5:$DF$201,INDEX($U$4:$U$11,1,1)+ROW()-5,$AC$2),GA$3))</f>
        <v>#N/A</v>
      </c>
      <c r="GB26" t="e">
        <f>IF(OR(ROW()-4&gt;INDEX($U$4:$U$11,$AC$2+1,1)-INDEX($U$4:$U$11,$AC$2,1),ROW()-4&gt;$AD$2),NA(),COUNTIF(INDEX($CZ$5:$DF$201,INDEX($U$4:$U$11,1,1),$AC$2):INDEX($CZ$5:$DF$201,INDEX($U$4:$U$11,1,1)+ROW()-5,$AC$2),GB$3))</f>
        <v>#N/A</v>
      </c>
      <c r="GC26" t="e">
        <f>IF(OR(ROW()-4&gt;INDEX($U$4:$U$11,$AC$2+1,1)-INDEX($U$4:$U$11,$AC$2,1),ROW()-4&gt;$AD$2),NA(),COUNTIF(INDEX($CZ$5:$DF$201,INDEX($U$4:$U$11,1,1),$AC$2):INDEX($CZ$5:$DF$201,INDEX($U$4:$U$11,1,1)+ROW()-5,$AC$2),GC$3))</f>
        <v>#N/A</v>
      </c>
      <c r="GD26" t="e">
        <f>IF(OR(ROW()-4&gt;INDEX($U$4:$U$11,$AC$2+1,1)-INDEX($U$4:$U$11,$AC$2,1),ROW()-4&gt;$AD$2),NA(),COUNTIF(INDEX($CZ$5:$DF$201,INDEX($U$4:$U$11,1,1),$AC$2):INDEX($CZ$5:$DF$201,INDEX($U$4:$U$11,1,1)+ROW()-5,$AC$2),GD$3))</f>
        <v>#N/A</v>
      </c>
      <c r="GE26" t="e">
        <f>IF(OR(ROW()-4&gt;INDEX($U$4:$U$11,$AC$2+1,1)-INDEX($U$4:$U$11,$AC$2,1),ROW()-4&gt;$AD$2),NA(),COUNTIF(INDEX($CZ$5:$DF$201,INDEX($U$4:$U$11,1,1),$AC$2):INDEX($CZ$5:$DF$201,INDEX($U$4:$U$11,1,1)+ROW()-5,$AC$2),GE$3))</f>
        <v>#N/A</v>
      </c>
      <c r="GF26" t="e">
        <f>IF(OR(ROW()-4&gt;INDEX($U$4:$U$11,$AC$2+1,1)-INDEX($U$4:$U$11,$AC$2,1),ROW()-4&gt;$AD$2),NA(),COUNTIF(INDEX($CZ$5:$DF$201,INDEX($U$4:$U$11,1,1),$AC$2):INDEX($CZ$5:$DF$201,INDEX($U$4:$U$11,1,1)+ROW()-5,$AC$2),GF$3))</f>
        <v>#N/A</v>
      </c>
      <c r="GK26" t="s">
        <v>43</v>
      </c>
      <c r="HE26" t="s">
        <v>59</v>
      </c>
      <c r="HF26">
        <f>INDEX($FH$5:$FH$40,$AD$2)</f>
        <v>5</v>
      </c>
      <c r="HG26">
        <f>INDEX($FH$4:$FH$40,$AD$2+1)-INDEX($FH$4:$FH$40,$AD$2)</f>
        <v>0</v>
      </c>
      <c r="HH26" s="59">
        <f>INDEX($FH$55:$FH$90,$AD$2)</f>
        <v>1</v>
      </c>
      <c r="HI26" s="59">
        <f t="shared" si="131"/>
        <v>4</v>
      </c>
    </row>
    <row r="27" spans="1:224" x14ac:dyDescent="0.45">
      <c r="A27" t="str">
        <f>データの貼付!A25</f>
        <v>FENG Tianwei</v>
      </c>
      <c r="B27">
        <f>データの貼付!B25</f>
        <v>6.396817129629629E-3</v>
      </c>
      <c r="C27">
        <f>データの貼付!C25</f>
        <v>6.4097222222222225E-5</v>
      </c>
      <c r="D27">
        <f>データの貼付!D25</f>
        <v>6.9444444444444447E-4</v>
      </c>
      <c r="E27" t="str">
        <f>データの貼付!F25</f>
        <v>KIHARA Miyuu</v>
      </c>
      <c r="F27">
        <f>データの貼付!E25</f>
        <v>0</v>
      </c>
      <c r="G27" t="str">
        <f>データの貼付!G25</f>
        <v>#02</v>
      </c>
      <c r="H27" t="str">
        <f>データの貼付!H25</f>
        <v>FENG Tianwei</v>
      </c>
      <c r="I27" t="str">
        <f>データの貼付!I25</f>
        <v>(Side)</v>
      </c>
      <c r="J27" t="str">
        <f>データの貼付!J25</f>
        <v>B</v>
      </c>
      <c r="K27" t="str">
        <f>データの貼付!K25</f>
        <v>FS</v>
      </c>
      <c r="L27" t="str">
        <f>データの貼付!L25</f>
        <v>F</v>
      </c>
      <c r="M27" t="str">
        <f>データの貼付!M25</f>
        <v>Stop</v>
      </c>
      <c r="N27" t="str">
        <f>データの貼付!N25</f>
        <v>FMS</v>
      </c>
      <c r="R27">
        <f t="shared" si="59"/>
        <v>0</v>
      </c>
      <c r="S27">
        <f>SUM(R$4:R27)</f>
        <v>2</v>
      </c>
      <c r="T27" t="str">
        <f t="shared" si="60"/>
        <v/>
      </c>
      <c r="W27" t="str">
        <f t="shared" si="57"/>
        <v>KIHARA Miyuu_FENG Tianwei</v>
      </c>
      <c r="X27" t="str">
        <f t="shared" si="58"/>
        <v>KIHARA Miyuu_#02</v>
      </c>
      <c r="Y27" s="38">
        <v>7</v>
      </c>
      <c r="Z27" s="38" t="e">
        <f>COUNTIF(INDEX($E$4:$E$200,INDEX($U$4:$U$11,$Y27)):INDEX($E$4:$E$200,INDEX($U$4:$U$11,$Y27+1)-1),AC$3)</f>
        <v>#VALUE!</v>
      </c>
      <c r="AA27" s="38" t="e">
        <f>COUNTIF(INDEX($E$4:$E$200,INDEX($U$4:$U$11,$Y27)):INDEX($E$4:$E$200,INDEX($U$4:$U$11,$Y27+1)-1),AD$3)</f>
        <v>#VALUE!</v>
      </c>
      <c r="AC27" s="8" t="e">
        <f>IF(OR(ROW()-4&gt;INDEX($U$4:$U$11,AC$2+1)-INDEX($U$4:$U$11,AC$2),ROW()-4&gt;AD$2),NA(),COUNTIF(INDEX($W$4:$W$200,INDEX($U$4:$U$11,AC$2)):INDEX($W$4:$W$200,INDEX($U$4:$U$11,AC$2)+ROW()-5),AC$3&amp;"_"&amp;AC$3)/(COUNTIF(INDEX($W$4:$W$200,INDEX($U$4:$U$11,AC$2)):INDEX($W$4:$W$200,INDEX($U$4:$U$11,AC$2)+ROW()-5),AC$3&amp;"_"&amp;AC$3)+COUNTIF(INDEX($W$4:$W$200,INDEX($U$4:$U$11,AC$2)):INDEX($W$4:$W$200,INDEX($U$4:$U$11,AC$2)+ROW()-5),AD$3&amp;"_"&amp;AC$3)))</f>
        <v>#N/A</v>
      </c>
      <c r="AD27" s="8" t="e">
        <f>IF(OR(ROW()-4&gt;INDEX($U$4:$U$11,AC$2+1)-INDEX($U$4:$U$11,AC$2),ROW()-4&gt;AD$2),NA(),COUNTIF(INDEX($W$4:$W$200,INDEX($U$4:$U$11,AC$2)):INDEX($W$4:$W$200,INDEX($U$4:$U$11,AC$2)+ROW()-5),AD$3&amp;"_"&amp;AD$3)/(COUNTIF(INDEX($W$4:$W$200,INDEX($U$4:$U$11,AC$2)):INDEX($W$4:$W$200,INDEX($U$4:$U$11,AC$2)+ROW()-5),AD$3&amp;"_"&amp;AD$3)+COUNTIF(INDEX($W$4:$W$200,INDEX($U$4:$U$11,AC$2)):INDEX($W$4:$W$200,INDEX($U$4:$U$11,AC$2)+ROW()-5),AC$3&amp;"_"&amp;AD$3)))</f>
        <v>#N/A</v>
      </c>
      <c r="AE27" s="10" t="e">
        <f>IF(OR(ROW()-4&gt;INDEX($U$4:$U$11,AC$2+1)-INDEX($U$4:$U$11,AC$2),ROW()-4&gt;AD$2),NA(),COUNTIF(INDEX($W$4:$W$200,INDEX($U$4:$U$11,AC$2)):INDEX($W$4:$W$200,INDEX($U$4:$U$11,AC$2)+ROW()-5),AC$3&amp;"_"&amp;AD$3)/(COUNTIF(INDEX($W$4:$W$200,INDEX($U$4:$U$11,AC$2)):INDEX($W$4:$W$200,INDEX($U$4:$U$11,AC$2)+ROW()-5),AC$3&amp;"_"&amp;AD$3)+COUNTIF(INDEX($W$4:$W$200,INDEX($U$4:$U$11,AC$2)):INDEX($W$4:$W$200,INDEX($U$4:$U$11,AC$2)+ROW()-5),AD$3&amp;"_"&amp;AD$3)))</f>
        <v>#N/A</v>
      </c>
      <c r="AF27" s="10" t="e">
        <f>IF(OR(ROW()-4&gt;INDEX($U$4:$U$11,AC$2+1)-INDEX($U$4:$U$11,AC$2),ROW()-4&gt;AD$2),NA(),COUNTIF(INDEX($W$4:$W$200,INDEX($U$4:$U$11,AC$2)):INDEX($W$4:$W$200,INDEX($U$4:$U$11,AC$2)+ROW()-5),AD$3&amp;"_"&amp;AC$3)/(COUNTIF(INDEX($W$4:$W$200,INDEX($U$4:$U$11,AC$2)):INDEX($W$4:$W$200,INDEX($U$4:$U$11,AC$2)+ROW()-5),AD$3&amp;"_"&amp;AC$3)+COUNTIF(INDEX($W$4:$W$200,INDEX($U$4:$U$11,AC$2)):INDEX($W$4:$W$200,INDEX($U$4:$U$11,AC$2)+ROW()-5),AC$3&amp;"_"&amp;AC$3)))</f>
        <v>#N/A</v>
      </c>
      <c r="AG27" s="10" t="e">
        <f>IF(OR(ROW()-4&gt;INDEX($U$4:$U$11,AC$2+1)-INDEX($U$4:$U$11,AC$2),ROW()-4&gt;AD$2),NA(),COUNTIF(INDEX($X$4:$X$200,INDEX($U$4:$U$11,AC$2)):INDEX($X$4:$X$200,INDEX($U$4:$U$11,AC$2)+ROW()-5),AC$3&amp;"_#03")/(COUNTIF(INDEX($W$4:$W$200,INDEX($U$4:$U$11,AC$2)):INDEX($W$4:$W$200,INDEX($U$4:$U$11,AC$2)+ROW()-5),AC$3&amp;"_"&amp;AC$3)+COUNTIF(INDEX($W$4:$W$200,INDEX($U$4:$U$11,AC$2)):INDEX($W$4:$W$200,INDEX($U$4:$U$11,AC$2)+ROW()-5),AD$3&amp;"_"&amp;AC$3)))</f>
        <v>#N/A</v>
      </c>
      <c r="AH27" s="10" t="e">
        <f>IF(OR(ROW()-4&gt;INDEX($U$4:$U$11,AC$2+1)-INDEX($U$4:$U$11,AC$2),ROW()-4&gt;AD$2),NA(),COUNTIF(INDEX($X$4:$X$200,INDEX($U$4:$U$11,AC$2)):INDEX($X$4:$X$200,INDEX($U$4:$U$11,AC$2)+ROW()-5),AD$3&amp;"_#03")/(COUNTIF(INDEX($W$4:$W$200,INDEX($U$4:$U$11,AC$2)):INDEX($W$4:$W$200,INDEX($U$4:$U$11,AC$2)+ROW()-5),AD$3&amp;"_"&amp;AD$3)+COUNTIF(INDEX($W$4:$W$200,INDEX($U$4:$U$11,AC$2)):INDEX($W$4:$W$200,INDEX($U$4:$U$11,AC$2)+ROW()-5),AC$3&amp;"_"&amp;AD$3)))</f>
        <v>#N/A</v>
      </c>
      <c r="AI27" s="10" t="e">
        <f>IF(OR(ROW()-4&gt;INDEX($U$4:$U$11,AC$2+1)-INDEX($U$4:$U$11,AC$2),ROW()-4&gt;AD$2),NA(),(COUNTIF(INDEX($X$4:$X$200,INDEX($U$4:$U$11,AC$2)):INDEX($X$4:$X$200,INDEX($U$4:$U$11,AC$2)+ROW()-5),AC$3&amp;"_#03")-COUNTIF(INDEX($X$4:$X$200,INDEX($U$4:$U$11,AC$2)):INDEX($X$4:$X$200,INDEX($U$4:$U$11,AC$2)+ROW()-5),AD$3&amp;"_#02"))/(COUNTIF(INDEX($W$4:$W$200,INDEX($U$4:$U$11,AC$2)):INDEX($W$4:$W$200,INDEX($U$4:$U$11,AC$2)+ROW()-5),AC$3&amp;"_"&amp;AC$3)+COUNTIF(INDEX($W$4:$W$200,INDEX($U$4:$U$11,AC$2)):INDEX($W$4:$W$200,INDEX($U$4:$U$11,AC$2)+ROW()-5),AD$3&amp;"_"&amp;AC$3)))</f>
        <v>#N/A</v>
      </c>
      <c r="AJ27" s="10" t="e">
        <f>IF(OR(ROW()-4&gt;INDEX($U$4:$U$11,AC$2+1)-INDEX($U$4:$U$11,AC$2),ROW()-4&gt;AD$2),NA(),(COUNTIF(INDEX($X$4:$X$200,INDEX($U$4:$U$11,AC$2)):INDEX($X$4:$X$200,INDEX($U$4:$U$11,AC$2)+ROW()-5),AD$3&amp;"_#03")-COUNTIF(INDEX($X$4:$X$200,INDEX($U$4:$U$11,AC$2)):INDEX($X$4:$X$200,INDEX($U$4:$U$11,AC$2)+ROW()-5),AC$3&amp;"_#02"))/(COUNTIF(INDEX($W$4:$W$200,INDEX($U$4:$U$11,AC$2)):INDEX($W$4:$W$200,INDEX($U$4:$U$11,AC$2)+ROW()-5),AD$3&amp;"_"&amp;AD$3)+COUNTIF(INDEX($W$4:$W$200,INDEX($U$4:$U$11,AC$2)):INDEX($W$4:$W$200,INDEX($U$4:$U$11,AC$2)+ROW()-5),AC$3&amp;"_"&amp;AD$3)))</f>
        <v>#N/A</v>
      </c>
      <c r="AK27" s="10" t="e">
        <f>IF(OR(ROW()-4&gt;INDEX($U$4:$U$11,AC$2+1)-INDEX($U$4:$U$11,AC$2),ROW()-4&gt;AD$2),NA(),(COUNTIF(INDEX($X$4:$X$200,INDEX($U$4:$U$11,AC$2)):INDEX($X$4:$X$200,INDEX($U$4:$U$11,AC$2)+ROW()-5),AC$3&amp;"_#01")+COUNTIF(INDEX($X$4:$X$200,INDEX($U$4:$U$11,AC$2)):INDEX($X$4:$X$200,INDEX($U$4:$U$11,AC$2)+ROW()-5),AC$3&amp;"_#03"))/(COUNTIF(INDEX($W$4:$W$200,INDEX($U$4:$U$11,AC$2)):INDEX($W$4:$W$200,INDEX($U$4:$U$11,AC$2)+ROW()-5),AC$3&amp;"_"&amp;AC$3)+COUNTIF(INDEX($W$4:$W$200,INDEX($U$4:$U$11,AC$2)):INDEX($W$4:$W$200,INDEX($U$4:$U$11,AC$2)+ROW()-5),AD$3&amp;"_"&amp;AC$3)))</f>
        <v>#N/A</v>
      </c>
      <c r="AL27" s="10" t="e">
        <f>IF(OR(ROW()-4&gt;INDEX($U$4:$U$11,AC$2+1)-INDEX($U$4:$U$11,AC$2),ROW()-4&gt;AD$2),NA(),(COUNTIF(INDEX($X$4:$X$200,INDEX($U$4:$U$11,AC$2)):INDEX($X$4:$X$200,INDEX($U$4:$U$11,AC$2)+ROW()-5),AD$3&amp;"_#01")+COUNTIF(INDEX($X$4:$X$200,INDEX($U$4:$U$11,AC$2)):INDEX($X$4:$X$200,INDEX($U$4:$U$11,AC$2)+ROW()-5),AD$3&amp;"_#03"))/(COUNTIF(INDEX($W$4:$W$200,INDEX($U$4:$U$11,AC$2)):INDEX($W$4:$W$200,INDEX($U$4:$U$11,AC$2)+ROW()-5),AD$3&amp;"_"&amp;AD$3)+COUNTIF(INDEX($W$4:$W$200,INDEX($U$4:$U$11,AC$2)):INDEX($W$4:$W$200,INDEX($U$4:$U$11,AC$2)+ROW()-5),AC$3&amp;"_"&amp;AD$3)))</f>
        <v>#N/A</v>
      </c>
      <c r="AN27" t="str">
        <f t="shared" si="125"/>
        <v/>
      </c>
      <c r="AO27" t="str">
        <f t="shared" si="111"/>
        <v/>
      </c>
      <c r="AP27" t="str">
        <f t="shared" si="112"/>
        <v/>
      </c>
      <c r="AQ27" t="str">
        <f t="shared" si="113"/>
        <v/>
      </c>
      <c r="AR27" t="str">
        <f t="shared" si="114"/>
        <v/>
      </c>
      <c r="AS27" t="e">
        <f t="shared" si="115"/>
        <v>#VALUE!</v>
      </c>
      <c r="AT27" t="e">
        <f t="shared" si="116"/>
        <v>#VALUE!</v>
      </c>
      <c r="AV27" t="e">
        <f t="shared" si="117"/>
        <v>#VALUE!</v>
      </c>
      <c r="AW27" t="e">
        <f t="shared" si="63"/>
        <v>#VALUE!</v>
      </c>
      <c r="AX27" t="e">
        <f t="shared" si="64"/>
        <v>#VALUE!</v>
      </c>
      <c r="AY27" t="e">
        <f t="shared" si="65"/>
        <v>#VALUE!</v>
      </c>
      <c r="AZ27" t="e">
        <f t="shared" si="66"/>
        <v>#VALUE!</v>
      </c>
      <c r="BA27" t="e">
        <f t="shared" si="67"/>
        <v>#VALUE!</v>
      </c>
      <c r="BB27" t="e">
        <f t="shared" si="68"/>
        <v>#VALUE!</v>
      </c>
      <c r="BD27" t="e">
        <f t="shared" si="118"/>
        <v>#VALUE!</v>
      </c>
      <c r="BE27" t="e">
        <f t="shared" si="69"/>
        <v>#VALUE!</v>
      </c>
      <c r="BF27" t="e">
        <f t="shared" si="70"/>
        <v>#VALUE!</v>
      </c>
      <c r="BG27" t="e">
        <f t="shared" si="71"/>
        <v>#VALUE!</v>
      </c>
      <c r="BH27" t="e">
        <f t="shared" si="72"/>
        <v>#VALUE!</v>
      </c>
      <c r="BI27" t="e">
        <f t="shared" si="73"/>
        <v>#VALUE!</v>
      </c>
      <c r="BJ27" t="e">
        <f t="shared" si="74"/>
        <v>#VALUE!</v>
      </c>
      <c r="BL27" t="e">
        <f t="shared" si="119"/>
        <v>#VALUE!</v>
      </c>
      <c r="BM27" t="e">
        <f t="shared" si="75"/>
        <v>#VALUE!</v>
      </c>
      <c r="BN27" t="e">
        <f t="shared" si="76"/>
        <v>#VALUE!</v>
      </c>
      <c r="BO27" t="e">
        <f t="shared" si="77"/>
        <v>#VALUE!</v>
      </c>
      <c r="BP27" t="e">
        <f t="shared" si="78"/>
        <v>#VALUE!</v>
      </c>
      <c r="BQ27" t="e">
        <f t="shared" si="79"/>
        <v>#VALUE!</v>
      </c>
      <c r="BR27" t="e">
        <f t="shared" si="80"/>
        <v>#VALUE!</v>
      </c>
      <c r="BT27" t="e">
        <f t="shared" si="120"/>
        <v>#VALUE!</v>
      </c>
      <c r="BU27" t="e">
        <f t="shared" si="81"/>
        <v>#VALUE!</v>
      </c>
      <c r="BV27" t="e">
        <f t="shared" si="82"/>
        <v>#VALUE!</v>
      </c>
      <c r="BW27" t="e">
        <f t="shared" si="83"/>
        <v>#VALUE!</v>
      </c>
      <c r="BX27" t="e">
        <f t="shared" si="84"/>
        <v>#VALUE!</v>
      </c>
      <c r="BY27" t="e">
        <f t="shared" si="85"/>
        <v>#VALUE!</v>
      </c>
      <c r="BZ27" t="e">
        <f t="shared" si="86"/>
        <v>#VALUE!</v>
      </c>
      <c r="CB27" t="e">
        <f t="shared" si="121"/>
        <v>#VALUE!</v>
      </c>
      <c r="CC27" t="e">
        <f t="shared" si="87"/>
        <v>#VALUE!</v>
      </c>
      <c r="CD27" t="e">
        <f t="shared" si="88"/>
        <v>#VALUE!</v>
      </c>
      <c r="CE27" t="e">
        <f t="shared" si="89"/>
        <v>#VALUE!</v>
      </c>
      <c r="CF27" t="e">
        <f t="shared" si="90"/>
        <v>#VALUE!</v>
      </c>
      <c r="CG27" t="e">
        <f t="shared" si="91"/>
        <v>#VALUE!</v>
      </c>
      <c r="CH27" t="e">
        <f t="shared" si="92"/>
        <v>#VALUE!</v>
      </c>
      <c r="CJ27" t="e">
        <f t="shared" si="122"/>
        <v>#VALUE!</v>
      </c>
      <c r="CK27" t="e">
        <f t="shared" si="93"/>
        <v>#VALUE!</v>
      </c>
      <c r="CL27" t="e">
        <f t="shared" si="94"/>
        <v>#VALUE!</v>
      </c>
      <c r="CM27" t="e">
        <f t="shared" si="95"/>
        <v>#VALUE!</v>
      </c>
      <c r="CN27" t="e">
        <f t="shared" si="96"/>
        <v>#VALUE!</v>
      </c>
      <c r="CO27" t="e">
        <f t="shared" si="97"/>
        <v>#VALUE!</v>
      </c>
      <c r="CP27" t="e">
        <f t="shared" si="98"/>
        <v>#VALUE!</v>
      </c>
      <c r="CR27" t="e">
        <f t="shared" si="123"/>
        <v>#VALUE!</v>
      </c>
      <c r="CS27" t="e">
        <f t="shared" si="99"/>
        <v>#VALUE!</v>
      </c>
      <c r="CT27" t="e">
        <f t="shared" si="100"/>
        <v>#VALUE!</v>
      </c>
      <c r="CU27" t="e">
        <f t="shared" si="101"/>
        <v>#VALUE!</v>
      </c>
      <c r="CV27" t="e">
        <f t="shared" si="102"/>
        <v>#VALUE!</v>
      </c>
      <c r="CW27" t="e">
        <f t="shared" si="103"/>
        <v>#VALUE!</v>
      </c>
      <c r="CX27" t="e">
        <f t="shared" si="104"/>
        <v>#VALUE!</v>
      </c>
      <c r="CZ27" t="e">
        <f t="shared" si="124"/>
        <v>#VALUE!</v>
      </c>
      <c r="DA27" t="e">
        <f t="shared" si="105"/>
        <v>#VALUE!</v>
      </c>
      <c r="DB27" t="e">
        <f t="shared" si="106"/>
        <v>#VALUE!</v>
      </c>
      <c r="DC27" t="e">
        <f t="shared" si="107"/>
        <v>#VALUE!</v>
      </c>
      <c r="DD27" t="e">
        <f t="shared" si="108"/>
        <v>#VALUE!</v>
      </c>
      <c r="DE27" t="e">
        <f t="shared" si="109"/>
        <v>#VALUE!</v>
      </c>
      <c r="DF27" t="e">
        <f t="shared" si="110"/>
        <v>#VALUE!</v>
      </c>
      <c r="DH27" t="e">
        <f>IF(OR(ROW()-4&gt;INDEX($U$4:$U$11,$AC$2+1,1)-INDEX($U$4:$U$11,$AC$2,1),ROW()-4&gt;$AD$2),NA(),COUNTIF(INDEX($BL$5:$BR$50,INDEX($U$4:$U$11,1,1),$AC$2):INDEX($BL$5:$BR$50,INDEX($U$4:$U$11,1,1)+ROW()-5,$AC$2),DH$3))</f>
        <v>#N/A</v>
      </c>
      <c r="DI27" t="e">
        <f>IF(OR(ROW()-4&gt;INDEX($U$4:$U$11,$AC$2+1,1)-INDEX($U$4:$U$11,$AC$2,1),ROW()-4&gt;$AD$2),NA(),COUNTIF(INDEX($BL$5:$BR$50,INDEX($U$4:$U$11,1,1),$AC$2):INDEX($BL$5:$BR$50,INDEX($U$4:$U$11,1,1)+ROW()-5,$AC$2),DI$3))</f>
        <v>#N/A</v>
      </c>
      <c r="DJ27" t="e">
        <f>IF(OR(ROW()-4&gt;INDEX($U$4:$U$11,$AC$2+1,1)-INDEX($U$4:$U$11,$AC$2,1),ROW()-4&gt;$AD$2),NA(),COUNTIF(INDEX($BL$5:$BR$50,INDEX($U$4:$U$11,1,1),$AC$2):INDEX($BL$5:$BR$50,INDEX($U$4:$U$11,1,1)+ROW()-5,$AC$2),DJ$3))</f>
        <v>#N/A</v>
      </c>
      <c r="DL27" t="e">
        <f>IF(OR(ROW()-4&gt;INDEX($U$4:$U$11,$AC$2+1,1)-INDEX($U$4:$U$11,$AC$2,1),ROW()-4&gt;$AD$2),NA(),COUNTIF(INDEX($BL$5:$BR$50,INDEX($U$4:$U$11,1,1),$AC$2):INDEX($BL$5:$BR$50,INDEX($U$4:$U$11,1,1)+ROW()-5,$AC$2),DL$3))</f>
        <v>#N/A</v>
      </c>
      <c r="DM27" t="e">
        <f>IF(OR(ROW()-4&gt;INDEX($U$4:$U$11,$AC$2+1,1)-INDEX($U$4:$U$11,$AC$2,1),ROW()-4&gt;$AD$2),NA(),COUNTIF(INDEX($BL$5:$BR$50,INDEX($U$4:$U$11,1,1),$AC$2):INDEX($BL$5:$BR$50,INDEX($U$4:$U$11,1,1)+ROW()-5,$AC$2),DM$3))</f>
        <v>#N/A</v>
      </c>
      <c r="DN27" t="e">
        <f>IF(OR(ROW()-4&gt;INDEX($U$4:$U$11,$AC$2+1,1)-INDEX($U$4:$U$11,$AC$2,1),ROW()-4&gt;$AD$2),NA(),COUNTIF(INDEX($BL$5:$BR$50,INDEX($U$4:$U$11,1,1),$AC$2):INDEX($BL$5:$BR$50,INDEX($U$4:$U$11,1,1)+ROW()-5,$AC$2),DN$3))</f>
        <v>#N/A</v>
      </c>
      <c r="DP27" t="e">
        <f>IF(OR(ROW()-4&gt;INDEX($U$4:$U$11,$AC$2+1,1)-INDEX($U$4:$U$11,$AC$2,1),ROW()-4&gt;$AD$2),NA(),COUNTIF(INDEX($BT$5:$BZ$201,INDEX($U$4:$U$11,1,1),$AC$2):INDEX($BT$5:$BZ$201,INDEX($U$4:$U$11,1,1)+ROW()-5,$AC$2),DP$3))</f>
        <v>#N/A</v>
      </c>
      <c r="DQ27" t="e">
        <f>IF(OR(ROW()-4&gt;INDEX($U$4:$U$11,$AC$2+1,1)-INDEX($U$4:$U$11,$AC$2,1),ROW()-4&gt;$AD$2),NA(),COUNTIF(INDEX($BT$5:$BZ$201,INDEX($U$4:$U$11,1,1),$AC$2):INDEX($BT$5:$BZ$201,INDEX($U$4:$U$11,1,1)+ROW()-5,$AC$2),DQ$3))</f>
        <v>#N/A</v>
      </c>
      <c r="DS27" t="e">
        <f>IF(OR(ROW()-4&gt;INDEX($U$4:$U$11,$AC$2+1,1)-INDEX($U$4:$U$11,$AC$2,1),ROW()-4&gt;$AD$2),NA(),COUNTIF(INDEX($BT$5:$BZ$201,INDEX($U$4:$U$11,1,1),$AC$2):INDEX($BT$5:$BZ$201,INDEX($U$4:$U$11,1,1)+ROW()-5,$AC$2),DS$3))</f>
        <v>#N/A</v>
      </c>
      <c r="DT27" t="e">
        <f>IF(OR(ROW()-4&gt;INDEX($U$4:$U$11,$AC$2+1,1)-INDEX($U$4:$U$11,$AC$2,1),ROW()-4&gt;$AD$2),NA(),COUNTIF(INDEX($BT$5:$BZ$201,INDEX($U$4:$U$11,1,1),$AC$2):INDEX($BT$5:$BZ$201,INDEX($U$4:$U$11,1,1)+ROW()-5,$AC$2),DT$3))</f>
        <v>#N/A</v>
      </c>
      <c r="DV27" t="e">
        <f>IF(OR(ROW()-4&gt;INDEX($U$4:$U$11,$AC$2+1,1)-INDEX($U$4:$U$11,$AC$2,1),ROW()-4&gt;$AD$2),NA(),COUNTIF(INDEX($CB$5:$CH$201,INDEX($U$4:$U$11,1,1),$AC$2):INDEX($CB$5:$CH$201,INDEX($U$4:$U$11,1,1)+ROW()-5,$AC$2),DV$3))</f>
        <v>#N/A</v>
      </c>
      <c r="DW27" t="e">
        <f>IF(OR(ROW()-4&gt;INDEX($U$4:$U$11,$AC$2+1,1)-INDEX($U$4:$U$11,$AC$2,1),ROW()-4&gt;$AD$2),NA(),COUNTIF(INDEX($CB$5:$CH$201,INDEX($U$4:$U$11,1,1),$AC$2):INDEX($CB$5:$CH$201,INDEX($U$4:$U$11,1,1)+ROW()-5,$AC$2),DW$3))</f>
        <v>#N/A</v>
      </c>
      <c r="DX27" t="e">
        <f>IF(OR(ROW()-4&gt;INDEX($U$4:$U$11,$AC$2+1,1)-INDEX($U$4:$U$11,$AC$2,1),ROW()-4&gt;$AD$2),NA(),COUNTIF(INDEX($CB$5:$CH$201,INDEX($U$4:$U$11,1,1),$AC$2):INDEX($CB$5:$CH$201,INDEX($U$4:$U$11,1,1)+ROW()-5,$AC$2),DX$3))</f>
        <v>#N/A</v>
      </c>
      <c r="DY27" t="e">
        <f>IF(OR(ROW()-4&gt;INDEX($U$4:$U$11,$AC$2+1,1)-INDEX($U$4:$U$11,$AC$2,1),ROW()-4&gt;$AD$2),NA(),COUNTIF(INDEX($CB$5:$CH$201,INDEX($U$4:$U$11,1,1),$AC$2):INDEX($CB$5:$CH$201,INDEX($U$4:$U$11,1,1)+ROW()-5,$AC$2),DY$3))</f>
        <v>#N/A</v>
      </c>
      <c r="DZ27" t="e">
        <f>IF(OR(ROW()-4&gt;INDEX($U$4:$U$11,$AC$2+1,1)-INDEX($U$4:$U$11,$AC$2,1),ROW()-4&gt;$AD$2),NA(),COUNTIF(INDEX($CB$5:$CH$201,INDEX($U$4:$U$11,1,1),$AC$2):INDEX($CB$5:$CH$201,INDEX($U$4:$U$11,1,1)+ROW()-5,$AC$2),DZ$3))</f>
        <v>#N/A</v>
      </c>
      <c r="EA27" t="e">
        <f>IF(OR(ROW()-4&gt;INDEX($U$4:$U$11,$AC$2+1,1)-INDEX($U$4:$U$11,$AC$2,1),ROW()-4&gt;$AD$2),NA(),COUNTIF(INDEX($CB$5:$CH$201,INDEX($U$4:$U$11,1,1),$AC$2):INDEX($CB$5:$CH$201,INDEX($U$4:$U$11,1,1)+ROW()-5,$AC$2),EA$3))</f>
        <v>#N/A</v>
      </c>
      <c r="EB27" t="e">
        <f>IF(OR(ROW()-4&gt;INDEX($U$4:$U$11,$AC$2+1,1)-INDEX($U$4:$U$11,$AC$2,1),ROW()-4&gt;$AD$2),NA(),COUNTIF(INDEX($CB$5:$CH$201,INDEX($U$4:$U$11,1,1),$AC$2):INDEX($CB$5:$CH$201,INDEX($U$4:$U$11,1,1)+ROW()-5,$AC$2),EB$3))</f>
        <v>#N/A</v>
      </c>
      <c r="EC27" t="e">
        <f>IF(OR(ROW()-4&gt;INDEX($U$4:$U$11,$AC$2+1,1)-INDEX($U$4:$U$11,$AC$2,1),ROW()-4&gt;$AD$2),NA(),COUNTIF(INDEX($CB$5:$CH$201,INDEX($U$4:$U$11,1,1),$AC$2):INDEX($CB$5:$CH$201,INDEX($U$4:$U$11,1,1)+ROW()-5,$AC$2),EC$3))</f>
        <v>#N/A</v>
      </c>
      <c r="EE27" t="e">
        <f>IF(OR(ROW()-4&gt;INDEX($U$4:$U$11,$AC$2+1,1)-INDEX($U$4:$U$11,$AC$2,1),ROW()-4&gt;$AD$2),NA(),COUNTIF(INDEX($CB$5:$CH$201,INDEX($U$4:$U$11,1,1),$AC$2):INDEX($CB$5:$CH$201,INDEX($U$4:$U$11,1,1)+ROW()-5,$AC$2),EE$3))</f>
        <v>#N/A</v>
      </c>
      <c r="EF27" t="e">
        <f>IF(OR(ROW()-4&gt;INDEX($U$4:$U$11,$AC$2+1,1)-INDEX($U$4:$U$11,$AC$2,1),ROW()-4&gt;$AD$2),NA(),COUNTIF(INDEX($CB$5:$CH$201,INDEX($U$4:$U$11,1,1),$AC$2):INDEX($CB$5:$CH$201,INDEX($U$4:$U$11,1,1)+ROW()-5,$AC$2),EF$3))</f>
        <v>#N/A</v>
      </c>
      <c r="EG27" t="e">
        <f>IF(OR(ROW()-4&gt;INDEX($U$4:$U$11,$AC$2+1,1)-INDEX($U$4:$U$11,$AC$2,1),ROW()-4&gt;$AD$2),NA(),COUNTIF(INDEX($CB$5:$CH$201,INDEX($U$4:$U$11,1,1),$AC$2):INDEX($CB$5:$CH$201,INDEX($U$4:$U$11,1,1)+ROW()-5,$AC$2),EG$3))</f>
        <v>#N/A</v>
      </c>
      <c r="EH27" t="e">
        <f>IF(OR(ROW()-4&gt;INDEX($U$4:$U$11,$AC$2+1,1)-INDEX($U$4:$U$11,$AC$2,1),ROW()-4&gt;$AD$2),NA(),COUNTIF(INDEX($CB$5:$CH$201,INDEX($U$4:$U$11,1,1),$AC$2):INDEX($CB$5:$CH$201,INDEX($U$4:$U$11,1,1)+ROW()-5,$AC$2),EH$3))</f>
        <v>#N/A</v>
      </c>
      <c r="EI27" t="e">
        <f>IF(OR(ROW()-4&gt;INDEX($U$4:$U$11,$AC$2+1,1)-INDEX($U$4:$U$11,$AC$2,1),ROW()-4&gt;$AD$2),NA(),COUNTIF(INDEX($CB$5:$CH$201,INDEX($U$4:$U$11,1,1),$AC$2):INDEX($CB$5:$CH$201,INDEX($U$4:$U$11,1,1)+ROW()-5,$AC$2),EI$3))</f>
        <v>#N/A</v>
      </c>
      <c r="EJ27" t="e">
        <f>IF(OR(ROW()-4&gt;INDEX($U$4:$U$11,$AC$2+1,1)-INDEX($U$4:$U$11,$AC$2,1),ROW()-4&gt;$AD$2),NA(),COUNTIF(INDEX($CB$5:$CH$201,INDEX($U$4:$U$11,1,1),$AC$2):INDEX($CB$5:$CH$201,INDEX($U$4:$U$11,1,1)+ROW()-5,$AC$2),EJ$3))</f>
        <v>#N/A</v>
      </c>
      <c r="EK27" t="e">
        <f>IF(OR(ROW()-4&gt;INDEX($U$4:$U$11,$AC$2+1,1)-INDEX($U$4:$U$11,$AC$2,1),ROW()-4&gt;$AD$2),NA(),COUNTIF(INDEX($CB$5:$CH$201,INDEX($U$4:$U$11,1,1),$AC$2):INDEX($CB$5:$CH$201,INDEX($U$4:$U$11,1,1)+ROW()-5,$AC$2),EK$3))</f>
        <v>#N/A</v>
      </c>
      <c r="EL27" t="e">
        <f>IF(OR(ROW()-4&gt;INDEX($U$4:$U$11,$AC$2+1,1)-INDEX($U$4:$U$11,$AC$2,1),ROW()-4&gt;$AD$2),NA(),COUNTIF(INDEX($CB$5:$CH$201,INDEX($U$4:$U$11,1,1),$AC$2):INDEX($CB$5:$CH$201,INDEX($U$4:$U$11,1,1)+ROW()-5,$AC$2),EL$3))</f>
        <v>#N/A</v>
      </c>
      <c r="EN27" t="e">
        <f>IF(OR(ROW()-4&gt;INDEX($U$4:$U$11,$AC$2+1,1)-INDEX($U$4:$U$11,$AC$2,1),ROW()-4&gt;$AD$2),NA(),COUNTIF(INDEX($CJ$5:$CP$201,INDEX($U$4:$U$11,1,1),$AC$2):INDEX($CJ$5:$CP$201,INDEX($U$4:$U$11,1,1)+ROW()-5,$AC$2),EN$3))</f>
        <v>#N/A</v>
      </c>
      <c r="EO27" t="e">
        <f>IF(OR(ROW()-4&gt;INDEX($U$4:$U$11,$AC$2+1,1)-INDEX($U$4:$U$11,$AC$2,1),ROW()-4&gt;$AD$2),NA(),COUNTIF(INDEX($CJ$5:$CP$201,INDEX($U$4:$U$11,1,1),$AC$2):INDEX($CJ$5:$CP$201,INDEX($U$4:$U$11,1,1)+ROW()-5,$AC$2),EO$3))</f>
        <v>#N/A</v>
      </c>
      <c r="EQ27" t="e">
        <f>IF(OR(ROW()-4&gt;INDEX($U$4:$U$11,$AC$2+1,1)-INDEX($U$4:$U$11,$AC$2,1),ROW()-4&gt;$AD$2),NA(),COUNTIF(INDEX($CJ$5:$CP$201,INDEX($U$4:$U$11,1,1),$AC$2):INDEX($CJ$5:$CP$201,INDEX($U$4:$U$11,1,1)+ROW()-5,$AC$2),EQ$3))</f>
        <v>#N/A</v>
      </c>
      <c r="ER27" t="e">
        <f>IF(OR(ROW()-4&gt;INDEX($U$4:$U$11,$AC$2+1,1)-INDEX($U$4:$U$11,$AC$2,1),ROW()-4&gt;$AD$2),NA(),COUNTIF(INDEX($CJ$5:$CP$201,INDEX($U$4:$U$11,1,1),$AC$2):INDEX($CJ$5:$CP$201,INDEX($U$4:$U$11,1,1)+ROW()-5,$AC$2),ER$3))</f>
        <v>#N/A</v>
      </c>
      <c r="ET27" t="e">
        <f>IF(OR(ROW()-4&gt;INDEX($U$4:$U$11,$AC$2+1,1)-INDEX($U$4:$U$11,$AC$2,1),ROW()-4&gt;$AD$2),NA(),COUNTIF(INDEX($CR$5:$CX$201,INDEX($U$4:$U$11,1,1),$AC$2):INDEX($CR$5:$CX$201,INDEX($U$4:$U$11,1,1)+ROW()-5,$AC$2),ET$3))</f>
        <v>#N/A</v>
      </c>
      <c r="EU27" t="e">
        <f>IF(OR(ROW()-4&gt;INDEX($U$4:$U$11,$AC$2+1,1)-INDEX($U$4:$U$11,$AC$2,1),ROW()-4&gt;$AD$2),NA(),COUNTIF(INDEX($CR$5:$CX$201,INDEX($U$4:$U$11,1,1),$AC$2):INDEX($CR$5:$CX$201,INDEX($U$4:$U$11,1,1)+ROW()-5,$AC$2),EU$3))</f>
        <v>#N/A</v>
      </c>
      <c r="EV27" t="e">
        <f>IF(OR(ROW()-4&gt;INDEX($U$4:$U$11,$AC$2+1,1)-INDEX($U$4:$U$11,$AC$2,1),ROW()-4&gt;$AD$2),NA(),COUNTIF(INDEX($CR$5:$CX$201,INDEX($U$4:$U$11,1,1),$AC$2):INDEX($CR$5:$CX$201,INDEX($U$4:$U$11,1,1)+ROW()-5,$AC$2),EV$3))</f>
        <v>#N/A</v>
      </c>
      <c r="EW27" t="e">
        <f>IF(OR(ROW()-4&gt;INDEX($U$4:$U$11,$AC$2+1,1)-INDEX($U$4:$U$11,$AC$2,1),ROW()-4&gt;$AD$2),NA(),COUNTIF(INDEX($CR$5:$CX$201,INDEX($U$4:$U$11,1,1),$AC$2):INDEX($CR$5:$CX$201,INDEX($U$4:$U$11,1,1)+ROW()-5,$AC$2),EW$3))</f>
        <v>#N/A</v>
      </c>
      <c r="EX27" t="e">
        <f>IF(OR(ROW()-4&gt;INDEX($U$4:$U$11,$AC$2+1,1)-INDEX($U$4:$U$11,$AC$2,1),ROW()-4&gt;$AD$2),NA(),COUNTIF(INDEX($CR$5:$CX$201,INDEX($U$4:$U$11,1,1),$AC$2):INDEX($CR$5:$CX$201,INDEX($U$4:$U$11,1,1)+ROW()-5,$AC$2),EX$3))</f>
        <v>#N/A</v>
      </c>
      <c r="EY27" t="e">
        <f>IF(OR(ROW()-4&gt;INDEX($U$4:$U$11,$AC$2+1,1)-INDEX($U$4:$U$11,$AC$2,1),ROW()-4&gt;$AD$2),NA(),COUNTIF(INDEX($CR$5:$CX$201,INDEX($U$4:$U$11,1,1),$AC$2):INDEX($CR$5:$CX$201,INDEX($U$4:$U$11,1,1)+ROW()-5,$AC$2),EY$3))</f>
        <v>#N/A</v>
      </c>
      <c r="EZ27" t="e">
        <f>IF(OR(ROW()-4&gt;INDEX($U$4:$U$11,$AC$2+1,1)-INDEX($U$4:$U$11,$AC$2,1),ROW()-4&gt;$AD$2),NA(),COUNTIF(INDEX($CR$5:$CX$201,INDEX($U$4:$U$11,1,1),$AC$2):INDEX($CR$5:$CX$201,INDEX($U$4:$U$11,1,1)+ROW()-5,$AC$2),EZ$3))</f>
        <v>#N/A</v>
      </c>
      <c r="FA27" t="e">
        <f>IF(OR(ROW()-4&gt;INDEX($U$4:$U$11,$AC$2+1,1)-INDEX($U$4:$U$11,$AC$2,1),ROW()-4&gt;$AD$2),NA(),COUNTIF(INDEX($CR$5:$CX$201,INDEX($U$4:$U$11,1,1),$AC$2):INDEX($CR$5:$CX$201,INDEX($U$4:$U$11,1,1)+ROW()-5,$AC$2),FA$3))</f>
        <v>#N/A</v>
      </c>
      <c r="FC27" t="e">
        <f>IF(OR(ROW()-4&gt;INDEX($U$4:$U$11,$AC$2+1,1)-INDEX($U$4:$U$11,$AC$2,1),ROW()-4&gt;$AD$2),NA(),COUNTIF(INDEX($CR$5:$CX$201,INDEX($U$4:$U$11,1,1),$AC$2):INDEX($CR$5:$CX$201,INDEX($U$4:$U$11,1,1)+ROW()-5,$AC$2),FC$3))</f>
        <v>#N/A</v>
      </c>
      <c r="FD27" t="e">
        <f>IF(OR(ROW()-4&gt;INDEX($U$4:$U$11,$AC$2+1,1)-INDEX($U$4:$U$11,$AC$2,1),ROW()-4&gt;$AD$2),NA(),COUNTIF(INDEX($CR$5:$CX$201,INDEX($U$4:$U$11,1,1),$AC$2):INDEX($CR$5:$CX$201,INDEX($U$4:$U$11,1,1)+ROW()-5,$AC$2),FD$3))</f>
        <v>#N/A</v>
      </c>
      <c r="FE27" t="e">
        <f>IF(OR(ROW()-4&gt;INDEX($U$4:$U$11,$AC$2+1,1)-INDEX($U$4:$U$11,$AC$2,1),ROW()-4&gt;$AD$2),NA(),COUNTIF(INDEX($CR$5:$CX$201,INDEX($U$4:$U$11,1,1),$AC$2):INDEX($CR$5:$CX$201,INDEX($U$4:$U$11,1,1)+ROW()-5,$AC$2),FE$3))</f>
        <v>#N/A</v>
      </c>
      <c r="FF27" t="e">
        <f>IF(OR(ROW()-4&gt;INDEX($U$4:$U$11,$AC$2+1,1)-INDEX($U$4:$U$11,$AC$2,1),ROW()-4&gt;$AD$2),NA(),COUNTIF(INDEX($CR$5:$CX$201,INDEX($U$4:$U$11,1,1),$AC$2):INDEX($CR$5:$CX$201,INDEX($U$4:$U$11,1,1)+ROW()-5,$AC$2),FF$3))</f>
        <v>#N/A</v>
      </c>
      <c r="FG27" t="e">
        <f>IF(OR(ROW()-4&gt;INDEX($U$4:$U$11,$AC$2+1,1)-INDEX($U$4:$U$11,$AC$2,1),ROW()-4&gt;$AD$2),NA(),COUNTIF(INDEX($CR$5:$CX$201,INDEX($U$4:$U$11,1,1),$AC$2):INDEX($CR$5:$CX$201,INDEX($U$4:$U$11,1,1)+ROW()-5,$AC$2),FG$3))</f>
        <v>#N/A</v>
      </c>
      <c r="FH27" t="e">
        <f>IF(OR(ROW()-4&gt;INDEX($U$4:$U$11,$AC$2+1,1)-INDEX($U$4:$U$11,$AC$2,1),ROW()-4&gt;$AD$2),NA(),COUNTIF(INDEX($CR$5:$CX$201,INDEX($U$4:$U$11,1,1),$AC$2):INDEX($CR$5:$CX$201,INDEX($U$4:$U$11,1,1)+ROW()-5,$AC$2),FH$3))</f>
        <v>#N/A</v>
      </c>
      <c r="FI27" t="e">
        <f>IF(OR(ROW()-4&gt;INDEX($U$4:$U$11,$AC$2+1,1)-INDEX($U$4:$U$11,$AC$2,1),ROW()-4&gt;$AD$2),NA(),COUNTIF(INDEX($CR$5:$CX$201,INDEX($U$4:$U$11,1,1),$AC$2):INDEX($CR$5:$CX$201,INDEX($U$4:$U$11,1,1)+ROW()-5,$AC$2),FI$3))</f>
        <v>#N/A</v>
      </c>
      <c r="FJ27" t="e">
        <f>IF(OR(ROW()-4&gt;INDEX($U$4:$U$11,$AC$2+1,1)-INDEX($U$4:$U$11,$AC$2,1),ROW()-4&gt;$AD$2),NA(),COUNTIF(INDEX($CR$5:$CX$201,INDEX($U$4:$U$11,1,1),$AC$2):INDEX($CR$5:$CX$201,INDEX($U$4:$U$11,1,1)+ROW()-5,$AC$2),FJ$3))</f>
        <v>#N/A</v>
      </c>
      <c r="FL27" t="e">
        <f>IF(OR(ROW()-4&gt;INDEX($U$4:$U$11,$AC$2+1,1)-INDEX($U$4:$U$11,$AC$2,1),ROW()-4&gt;$AD$2),NA(),COUNTIF(INDEX($CZ$5:$DF$201,INDEX($U$4:$U$11,1,1),$AC$2):INDEX($CZ$5:$DF$201,INDEX($U$4:$U$11,1,1)+ROW()-5,$AC$2),FL$3))</f>
        <v>#N/A</v>
      </c>
      <c r="FM27" t="e">
        <f>IF(OR(ROW()-4&gt;INDEX($U$4:$U$11,$AC$2+1,1)-INDEX($U$4:$U$11,$AC$2,1),ROW()-4&gt;$AD$2),NA(),COUNTIF(INDEX($CZ$5:$DF$201,INDEX($U$4:$U$11,1,1),$AC$2):INDEX($CZ$5:$DF$201,INDEX($U$4:$U$11,1,1)+ROW()-5,$AC$2),FM$3))</f>
        <v>#N/A</v>
      </c>
      <c r="FN27" t="e">
        <f>IF(OR(ROW()-4&gt;INDEX($U$4:$U$11,$AC$2+1,1)-INDEX($U$4:$U$11,$AC$2,1),ROW()-4&gt;$AD$2),NA(),COUNTIF(INDEX($CZ$5:$DF$201,INDEX($U$4:$U$11,1,1),$AC$2):INDEX($CZ$5:$DF$201,INDEX($U$4:$U$11,1,1)+ROW()-5,$AC$2),FN$3))</f>
        <v>#N/A</v>
      </c>
      <c r="FO27" t="e">
        <f>IF(OR(ROW()-4&gt;INDEX($U$4:$U$11,$AC$2+1,1)-INDEX($U$4:$U$11,$AC$2,1),ROW()-4&gt;$AD$2),NA(),COUNTIF(INDEX($CZ$5:$DF$201,INDEX($U$4:$U$11,1,1),$AC$2):INDEX($CZ$5:$DF$201,INDEX($U$4:$U$11,1,1)+ROW()-5,$AC$2),FO$3))</f>
        <v>#N/A</v>
      </c>
      <c r="FP27" t="e">
        <f>IF(OR(ROW()-4&gt;INDEX($U$4:$U$11,$AC$2+1,1)-INDEX($U$4:$U$11,$AC$2,1),ROW()-4&gt;$AD$2),NA(),COUNTIF(INDEX($CZ$5:$DF$201,INDEX($U$4:$U$11,1,1),$AC$2):INDEX($CZ$5:$DF$201,INDEX($U$4:$U$11,1,1)+ROW()-5,$AC$2),FP$3))</f>
        <v>#N/A</v>
      </c>
      <c r="FQ27" t="e">
        <f>IF(OR(ROW()-4&gt;INDEX($U$4:$U$11,$AC$2+1,1)-INDEX($U$4:$U$11,$AC$2,1),ROW()-4&gt;$AD$2),NA(),COUNTIF(INDEX($CZ$5:$DF$201,INDEX($U$4:$U$11,1,1),$AC$2):INDEX($CZ$5:$DF$201,INDEX($U$4:$U$11,1,1)+ROW()-5,$AC$2),FQ$3))</f>
        <v>#N/A</v>
      </c>
      <c r="FR27" t="e">
        <f>IF(OR(ROW()-4&gt;INDEX($U$4:$U$11,$AC$2+1,1)-INDEX($U$4:$U$11,$AC$2,1),ROW()-4&gt;$AD$2),NA(),COUNTIF(INDEX($CZ$5:$DF$201,INDEX($U$4:$U$11,1,1),$AC$2):INDEX($CZ$5:$DF$201,INDEX($U$4:$U$11,1,1)+ROW()-5,$AC$2),FR$3))</f>
        <v>#N/A</v>
      </c>
      <c r="FS27" t="e">
        <f>IF(OR(ROW()-4&gt;INDEX($U$4:$U$11,$AC$2+1,1)-INDEX($U$4:$U$11,$AC$2,1),ROW()-4&gt;$AD$2),NA(),COUNTIF(INDEX($CZ$5:$DF$201,INDEX($U$4:$U$11,1,1),$AC$2):INDEX($CZ$5:$DF$201,INDEX($U$4:$U$11,1,1)+ROW()-5,$AC$2),FS$3))</f>
        <v>#N/A</v>
      </c>
      <c r="FT27" t="e">
        <f>IF(OR(ROW()-4&gt;INDEX($U$4:$U$11,$AC$2+1,1)-INDEX($U$4:$U$11,$AC$2,1),ROW()-4&gt;$AD$2),NA(),COUNTIF(INDEX($CZ$5:$DF$201,INDEX($U$4:$U$11,1,1),$AC$2):INDEX($CZ$5:$DF$201,INDEX($U$4:$U$11,1,1)+ROW()-5,$AC$2),FT$3))</f>
        <v>#N/A</v>
      </c>
      <c r="FU27" t="e">
        <f>IF(OR(ROW()-4&gt;INDEX($U$4:$U$11,$AC$2+1,1)-INDEX($U$4:$U$11,$AC$2,1),ROW()-4&gt;$AD$2),NA(),COUNTIF(INDEX($CZ$5:$DF$201,INDEX($U$4:$U$11,1,1),$AC$2):INDEX($CZ$5:$DF$201,INDEX($U$4:$U$11,1,1)+ROW()-5,$AC$2),FU$3))</f>
        <v>#N/A</v>
      </c>
      <c r="FW27" t="e">
        <f>IF(OR(ROW()-4&gt;INDEX($U$4:$U$11,$AC$2+1,1)-INDEX($U$4:$U$11,$AC$2,1),ROW()-4&gt;$AD$2),NA(),COUNTIF(INDEX($CZ$5:$DF$201,INDEX($U$4:$U$11,1,1),$AC$2):INDEX($CZ$5:$DF$201,INDEX($U$4:$U$11,1,1)+ROW()-5,$AC$2),FW$3))</f>
        <v>#N/A</v>
      </c>
      <c r="FX27" t="e">
        <f>IF(OR(ROW()-4&gt;INDEX($U$4:$U$11,$AC$2+1,1)-INDEX($U$4:$U$11,$AC$2,1),ROW()-4&gt;$AD$2),NA(),COUNTIF(INDEX($CZ$5:$DF$201,INDEX($U$4:$U$11,1,1),$AC$2):INDEX($CZ$5:$DF$201,INDEX($U$4:$U$11,1,1)+ROW()-5,$AC$2),FX$3))</f>
        <v>#N/A</v>
      </c>
      <c r="FY27" t="e">
        <f>IF(OR(ROW()-4&gt;INDEX($U$4:$U$11,$AC$2+1,1)-INDEX($U$4:$U$11,$AC$2,1),ROW()-4&gt;$AD$2),NA(),COUNTIF(INDEX($CZ$5:$DF$201,INDEX($U$4:$U$11,1,1),$AC$2):INDEX($CZ$5:$DF$201,INDEX($U$4:$U$11,1,1)+ROW()-5,$AC$2),FY$3))</f>
        <v>#N/A</v>
      </c>
      <c r="FZ27" t="e">
        <f>IF(OR(ROW()-4&gt;INDEX($U$4:$U$11,$AC$2+1,1)-INDEX($U$4:$U$11,$AC$2,1),ROW()-4&gt;$AD$2),NA(),COUNTIF(INDEX($CZ$5:$DF$201,INDEX($U$4:$U$11,1,1),$AC$2):INDEX($CZ$5:$DF$201,INDEX($U$4:$U$11,1,1)+ROW()-5,$AC$2),FZ$3))</f>
        <v>#N/A</v>
      </c>
      <c r="GA27" t="e">
        <f>IF(OR(ROW()-4&gt;INDEX($U$4:$U$11,$AC$2+1,1)-INDEX($U$4:$U$11,$AC$2,1),ROW()-4&gt;$AD$2),NA(),COUNTIF(INDEX($CZ$5:$DF$201,INDEX($U$4:$U$11,1,1),$AC$2):INDEX($CZ$5:$DF$201,INDEX($U$4:$U$11,1,1)+ROW()-5,$AC$2),GA$3))</f>
        <v>#N/A</v>
      </c>
      <c r="GB27" t="e">
        <f>IF(OR(ROW()-4&gt;INDEX($U$4:$U$11,$AC$2+1,1)-INDEX($U$4:$U$11,$AC$2,1),ROW()-4&gt;$AD$2),NA(),COUNTIF(INDEX($CZ$5:$DF$201,INDEX($U$4:$U$11,1,1),$AC$2):INDEX($CZ$5:$DF$201,INDEX($U$4:$U$11,1,1)+ROW()-5,$AC$2),GB$3))</f>
        <v>#N/A</v>
      </c>
      <c r="GC27" t="e">
        <f>IF(OR(ROW()-4&gt;INDEX($U$4:$U$11,$AC$2+1,1)-INDEX($U$4:$U$11,$AC$2,1),ROW()-4&gt;$AD$2),NA(),COUNTIF(INDEX($CZ$5:$DF$201,INDEX($U$4:$U$11,1,1),$AC$2):INDEX($CZ$5:$DF$201,INDEX($U$4:$U$11,1,1)+ROW()-5,$AC$2),GC$3))</f>
        <v>#N/A</v>
      </c>
      <c r="GD27" t="e">
        <f>IF(OR(ROW()-4&gt;INDEX($U$4:$U$11,$AC$2+1,1)-INDEX($U$4:$U$11,$AC$2,1),ROW()-4&gt;$AD$2),NA(),COUNTIF(INDEX($CZ$5:$DF$201,INDEX($U$4:$U$11,1,1),$AC$2):INDEX($CZ$5:$DF$201,INDEX($U$4:$U$11,1,1)+ROW()-5,$AC$2),GD$3))</f>
        <v>#N/A</v>
      </c>
      <c r="GE27" t="e">
        <f>IF(OR(ROW()-4&gt;INDEX($U$4:$U$11,$AC$2+1,1)-INDEX($U$4:$U$11,$AC$2,1),ROW()-4&gt;$AD$2),NA(),COUNTIF(INDEX($CZ$5:$DF$201,INDEX($U$4:$U$11,1,1),$AC$2):INDEX($CZ$5:$DF$201,INDEX($U$4:$U$11,1,1)+ROW()-5,$AC$2),GE$3))</f>
        <v>#N/A</v>
      </c>
      <c r="GF27" t="e">
        <f>IF(OR(ROW()-4&gt;INDEX($U$4:$U$11,$AC$2+1,1)-INDEX($U$4:$U$11,$AC$2,1),ROW()-4&gt;$AD$2),NA(),COUNTIF(INDEX($CZ$5:$DF$201,INDEX($U$4:$U$11,1,1),$AC$2):INDEX($CZ$5:$DF$201,INDEX($U$4:$U$11,1,1)+ROW()-5,$AC$2),GF$3))</f>
        <v>#N/A</v>
      </c>
      <c r="GK27" t="s">
        <v>44</v>
      </c>
      <c r="HE27" t="s">
        <v>60</v>
      </c>
      <c r="HF27">
        <f>INDEX($FI$5:$FI$40,$AD$2)</f>
        <v>0</v>
      </c>
      <c r="HG27">
        <f>INDEX($FI$4:$FI$40,$AD$2+1)-INDEX($FI$4:$FI$40,$AD$2)</f>
        <v>0</v>
      </c>
      <c r="HH27" s="59">
        <f>INDEX($FI$55:$FI$90,$AD$2)</f>
        <v>0</v>
      </c>
      <c r="HI27" s="59">
        <f t="shared" si="131"/>
        <v>0</v>
      </c>
    </row>
    <row r="28" spans="1:224" x14ac:dyDescent="0.45">
      <c r="A28" t="str">
        <f>データの貼付!A26</f>
        <v>FENG Tianwei</v>
      </c>
      <c r="B28">
        <f>データの貼付!B26</f>
        <v>6.574849537037037E-3</v>
      </c>
      <c r="C28">
        <f>データの貼付!C26</f>
        <v>4.7881944444444449E-5</v>
      </c>
      <c r="D28">
        <f>データの貼付!D26</f>
        <v>6.9444444444444447E-4</v>
      </c>
      <c r="E28" t="str">
        <f>データの貼付!F26</f>
        <v>FENG Tianwei</v>
      </c>
      <c r="F28">
        <f>データの貼付!E26</f>
        <v>0</v>
      </c>
      <c r="G28" t="str">
        <f>データの貼付!G26</f>
        <v>#01</v>
      </c>
      <c r="H28" t="str">
        <f>データの貼付!H26</f>
        <v>FENG Tianwei</v>
      </c>
      <c r="I28" t="str">
        <f>データの貼付!I26</f>
        <v>Side</v>
      </c>
      <c r="J28" t="str">
        <f>データの貼付!J26</f>
        <v>F</v>
      </c>
      <c r="K28" t="str">
        <f>データの貼付!K26</f>
        <v>B</v>
      </c>
      <c r="L28" t="str">
        <f>データの貼付!L26</f>
        <v>B</v>
      </c>
      <c r="M28" t="str">
        <f>データの貼付!M26</f>
        <v>空振り</v>
      </c>
      <c r="N28">
        <f>データの貼付!N26</f>
        <v>0</v>
      </c>
      <c r="R28">
        <f t="shared" si="59"/>
        <v>0</v>
      </c>
      <c r="S28">
        <f>SUM(R$4:R28)</f>
        <v>2</v>
      </c>
      <c r="T28" t="str">
        <f t="shared" si="60"/>
        <v/>
      </c>
      <c r="W28" t="str">
        <f t="shared" si="57"/>
        <v>FENG Tianwei_FENG Tianwei</v>
      </c>
      <c r="X28" t="str">
        <f t="shared" si="58"/>
        <v>FENG Tianwei_#01</v>
      </c>
      <c r="AC28" s="8" t="e">
        <f>IF(OR(ROW()-4&gt;INDEX($U$4:$U$11,AC$2+1)-INDEX($U$4:$U$11,AC$2),ROW()-4&gt;AD$2),NA(),COUNTIF(INDEX($W$4:$W$200,INDEX($U$4:$U$11,AC$2)):INDEX($W$4:$W$200,INDEX($U$4:$U$11,AC$2)+ROW()-5),AC$3&amp;"_"&amp;AC$3)/(COUNTIF(INDEX($W$4:$W$200,INDEX($U$4:$U$11,AC$2)):INDEX($W$4:$W$200,INDEX($U$4:$U$11,AC$2)+ROW()-5),AC$3&amp;"_"&amp;AC$3)+COUNTIF(INDEX($W$4:$W$200,INDEX($U$4:$U$11,AC$2)):INDEX($W$4:$W$200,INDEX($U$4:$U$11,AC$2)+ROW()-5),AD$3&amp;"_"&amp;AC$3)))</f>
        <v>#N/A</v>
      </c>
      <c r="AD28" s="8" t="e">
        <f>IF(OR(ROW()-4&gt;INDEX($U$4:$U$11,AC$2+1)-INDEX($U$4:$U$11,AC$2),ROW()-4&gt;AD$2),NA(),COUNTIF(INDEX($W$4:$W$200,INDEX($U$4:$U$11,AC$2)):INDEX($W$4:$W$200,INDEX($U$4:$U$11,AC$2)+ROW()-5),AD$3&amp;"_"&amp;AD$3)/(COUNTIF(INDEX($W$4:$W$200,INDEX($U$4:$U$11,AC$2)):INDEX($W$4:$W$200,INDEX($U$4:$U$11,AC$2)+ROW()-5),AD$3&amp;"_"&amp;AD$3)+COUNTIF(INDEX($W$4:$W$200,INDEX($U$4:$U$11,AC$2)):INDEX($W$4:$W$200,INDEX($U$4:$U$11,AC$2)+ROW()-5),AC$3&amp;"_"&amp;AD$3)))</f>
        <v>#N/A</v>
      </c>
      <c r="AE28" s="10" t="e">
        <f>IF(OR(ROW()-4&gt;INDEX($U$4:$U$11,AC$2+1)-INDEX($U$4:$U$11,AC$2),ROW()-4&gt;AD$2),NA(),COUNTIF(INDEX($W$4:$W$200,INDEX($U$4:$U$11,AC$2)):INDEX($W$4:$W$200,INDEX($U$4:$U$11,AC$2)+ROW()-5),AC$3&amp;"_"&amp;AD$3)/(COUNTIF(INDEX($W$4:$W$200,INDEX($U$4:$U$11,AC$2)):INDEX($W$4:$W$200,INDEX($U$4:$U$11,AC$2)+ROW()-5),AC$3&amp;"_"&amp;AD$3)+COUNTIF(INDEX($W$4:$W$200,INDEX($U$4:$U$11,AC$2)):INDEX($W$4:$W$200,INDEX($U$4:$U$11,AC$2)+ROW()-5),AD$3&amp;"_"&amp;AD$3)))</f>
        <v>#N/A</v>
      </c>
      <c r="AF28" s="10" t="e">
        <f>IF(OR(ROW()-4&gt;INDEX($U$4:$U$11,AC$2+1)-INDEX($U$4:$U$11,AC$2),ROW()-4&gt;AD$2),NA(),COUNTIF(INDEX($W$4:$W$200,INDEX($U$4:$U$11,AC$2)):INDEX($W$4:$W$200,INDEX($U$4:$U$11,AC$2)+ROW()-5),AD$3&amp;"_"&amp;AC$3)/(COUNTIF(INDEX($W$4:$W$200,INDEX($U$4:$U$11,AC$2)):INDEX($W$4:$W$200,INDEX($U$4:$U$11,AC$2)+ROW()-5),AD$3&amp;"_"&amp;AC$3)+COUNTIF(INDEX($W$4:$W$200,INDEX($U$4:$U$11,AC$2)):INDEX($W$4:$W$200,INDEX($U$4:$U$11,AC$2)+ROW()-5),AC$3&amp;"_"&amp;AC$3)))</f>
        <v>#N/A</v>
      </c>
      <c r="AG28" s="10" t="e">
        <f>IF(OR(ROW()-4&gt;INDEX($U$4:$U$11,AC$2+1)-INDEX($U$4:$U$11,AC$2),ROW()-4&gt;AD$2),NA(),COUNTIF(INDEX($X$4:$X$200,INDEX($U$4:$U$11,AC$2)):INDEX($X$4:$X$200,INDEX($U$4:$U$11,AC$2)+ROW()-5),AC$3&amp;"_#03")/(COUNTIF(INDEX($W$4:$W$200,INDEX($U$4:$U$11,AC$2)):INDEX($W$4:$W$200,INDEX($U$4:$U$11,AC$2)+ROW()-5),AC$3&amp;"_"&amp;AC$3)+COUNTIF(INDEX($W$4:$W$200,INDEX($U$4:$U$11,AC$2)):INDEX($W$4:$W$200,INDEX($U$4:$U$11,AC$2)+ROW()-5),AD$3&amp;"_"&amp;AC$3)))</f>
        <v>#N/A</v>
      </c>
      <c r="AH28" s="10" t="e">
        <f>IF(OR(ROW()-4&gt;INDEX($U$4:$U$11,AC$2+1)-INDEX($U$4:$U$11,AC$2),ROW()-4&gt;AD$2),NA(),COUNTIF(INDEX($X$4:$X$200,INDEX($U$4:$U$11,AC$2)):INDEX($X$4:$X$200,INDEX($U$4:$U$11,AC$2)+ROW()-5),AD$3&amp;"_#03")/(COUNTIF(INDEX($W$4:$W$200,INDEX($U$4:$U$11,AC$2)):INDEX($W$4:$W$200,INDEX($U$4:$U$11,AC$2)+ROW()-5),AD$3&amp;"_"&amp;AD$3)+COUNTIF(INDEX($W$4:$W$200,INDEX($U$4:$U$11,AC$2)):INDEX($W$4:$W$200,INDEX($U$4:$U$11,AC$2)+ROW()-5),AC$3&amp;"_"&amp;AD$3)))</f>
        <v>#N/A</v>
      </c>
      <c r="AI28" s="10" t="e">
        <f>IF(OR(ROW()-4&gt;INDEX($U$4:$U$11,AC$2+1)-INDEX($U$4:$U$11,AC$2),ROW()-4&gt;AD$2),NA(),(COUNTIF(INDEX($X$4:$X$200,INDEX($U$4:$U$11,AC$2)):INDEX($X$4:$X$200,INDEX($U$4:$U$11,AC$2)+ROW()-5),AC$3&amp;"_#03")-COUNTIF(INDEX($X$4:$X$200,INDEX($U$4:$U$11,AC$2)):INDEX($X$4:$X$200,INDEX($U$4:$U$11,AC$2)+ROW()-5),AD$3&amp;"_#02"))/(COUNTIF(INDEX($W$4:$W$200,INDEX($U$4:$U$11,AC$2)):INDEX($W$4:$W$200,INDEX($U$4:$U$11,AC$2)+ROW()-5),AC$3&amp;"_"&amp;AC$3)+COUNTIF(INDEX($W$4:$W$200,INDEX($U$4:$U$11,AC$2)):INDEX($W$4:$W$200,INDEX($U$4:$U$11,AC$2)+ROW()-5),AD$3&amp;"_"&amp;AC$3)))</f>
        <v>#N/A</v>
      </c>
      <c r="AJ28" s="10" t="e">
        <f>IF(OR(ROW()-4&gt;INDEX($U$4:$U$11,AC$2+1)-INDEX($U$4:$U$11,AC$2),ROW()-4&gt;AD$2),NA(),(COUNTIF(INDEX($X$4:$X$200,INDEX($U$4:$U$11,AC$2)):INDEX($X$4:$X$200,INDEX($U$4:$U$11,AC$2)+ROW()-5),AD$3&amp;"_#03")-COUNTIF(INDEX($X$4:$X$200,INDEX($U$4:$U$11,AC$2)):INDEX($X$4:$X$200,INDEX($U$4:$U$11,AC$2)+ROW()-5),AC$3&amp;"_#02"))/(COUNTIF(INDEX($W$4:$W$200,INDEX($U$4:$U$11,AC$2)):INDEX($W$4:$W$200,INDEX($U$4:$U$11,AC$2)+ROW()-5),AD$3&amp;"_"&amp;AD$3)+COUNTIF(INDEX($W$4:$W$200,INDEX($U$4:$U$11,AC$2)):INDEX($W$4:$W$200,INDEX($U$4:$U$11,AC$2)+ROW()-5),AC$3&amp;"_"&amp;AD$3)))</f>
        <v>#N/A</v>
      </c>
      <c r="AK28" s="10" t="e">
        <f>IF(OR(ROW()-4&gt;INDEX($U$4:$U$11,AC$2+1)-INDEX($U$4:$U$11,AC$2),ROW()-4&gt;AD$2),NA(),(COUNTIF(INDEX($X$4:$X$200,INDEX($U$4:$U$11,AC$2)):INDEX($X$4:$X$200,INDEX($U$4:$U$11,AC$2)+ROW()-5),AC$3&amp;"_#01")+COUNTIF(INDEX($X$4:$X$200,INDEX($U$4:$U$11,AC$2)):INDEX($X$4:$X$200,INDEX($U$4:$U$11,AC$2)+ROW()-5),AC$3&amp;"_#03"))/(COUNTIF(INDEX($W$4:$W$200,INDEX($U$4:$U$11,AC$2)):INDEX($W$4:$W$200,INDEX($U$4:$U$11,AC$2)+ROW()-5),AC$3&amp;"_"&amp;AC$3)+COUNTIF(INDEX($W$4:$W$200,INDEX($U$4:$U$11,AC$2)):INDEX($W$4:$W$200,INDEX($U$4:$U$11,AC$2)+ROW()-5),AD$3&amp;"_"&amp;AC$3)))</f>
        <v>#N/A</v>
      </c>
      <c r="AL28" s="10" t="e">
        <f>IF(OR(ROW()-4&gt;INDEX($U$4:$U$11,AC$2+1)-INDEX($U$4:$U$11,AC$2),ROW()-4&gt;AD$2),NA(),(COUNTIF(INDEX($X$4:$X$200,INDEX($U$4:$U$11,AC$2)):INDEX($X$4:$X$200,INDEX($U$4:$U$11,AC$2)+ROW()-5),AD$3&amp;"_#01")+COUNTIF(INDEX($X$4:$X$200,INDEX($U$4:$U$11,AC$2)):INDEX($X$4:$X$200,INDEX($U$4:$U$11,AC$2)+ROW()-5),AD$3&amp;"_#03"))/(COUNTIF(INDEX($W$4:$W$200,INDEX($U$4:$U$11,AC$2)):INDEX($W$4:$W$200,INDEX($U$4:$U$11,AC$2)+ROW()-5),AD$3&amp;"_"&amp;AD$3)+COUNTIF(INDEX($W$4:$W$200,INDEX($U$4:$U$11,AC$2)):INDEX($W$4:$W$200,INDEX($U$4:$U$11,AC$2)+ROW()-5),AC$3&amp;"_"&amp;AD$3)))</f>
        <v>#N/A</v>
      </c>
      <c r="AN28" t="str">
        <f t="shared" si="125"/>
        <v/>
      </c>
      <c r="AO28" t="str">
        <f t="shared" si="111"/>
        <v/>
      </c>
      <c r="AP28" t="str">
        <f t="shared" si="112"/>
        <v/>
      </c>
      <c r="AQ28" t="str">
        <f t="shared" si="113"/>
        <v/>
      </c>
      <c r="AR28" t="str">
        <f t="shared" si="114"/>
        <v/>
      </c>
      <c r="AS28" t="e">
        <f t="shared" si="115"/>
        <v>#VALUE!</v>
      </c>
      <c r="AT28" t="e">
        <f t="shared" si="116"/>
        <v>#VALUE!</v>
      </c>
      <c r="AV28" t="e">
        <f t="shared" si="117"/>
        <v>#VALUE!</v>
      </c>
      <c r="AW28" t="e">
        <f t="shared" si="63"/>
        <v>#VALUE!</v>
      </c>
      <c r="AX28" t="e">
        <f t="shared" si="64"/>
        <v>#VALUE!</v>
      </c>
      <c r="AY28" t="e">
        <f t="shared" si="65"/>
        <v>#VALUE!</v>
      </c>
      <c r="AZ28" t="e">
        <f t="shared" si="66"/>
        <v>#VALUE!</v>
      </c>
      <c r="BA28" t="e">
        <f t="shared" si="67"/>
        <v>#VALUE!</v>
      </c>
      <c r="BB28" t="e">
        <f t="shared" si="68"/>
        <v>#VALUE!</v>
      </c>
      <c r="BD28" t="e">
        <f t="shared" si="118"/>
        <v>#VALUE!</v>
      </c>
      <c r="BE28" t="e">
        <f t="shared" si="69"/>
        <v>#VALUE!</v>
      </c>
      <c r="BF28" t="e">
        <f t="shared" si="70"/>
        <v>#VALUE!</v>
      </c>
      <c r="BG28" t="e">
        <f t="shared" si="71"/>
        <v>#VALUE!</v>
      </c>
      <c r="BH28" t="e">
        <f t="shared" si="72"/>
        <v>#VALUE!</v>
      </c>
      <c r="BI28" t="e">
        <f t="shared" si="73"/>
        <v>#VALUE!</v>
      </c>
      <c r="BJ28" t="e">
        <f t="shared" si="74"/>
        <v>#VALUE!</v>
      </c>
      <c r="BL28" t="e">
        <f t="shared" si="119"/>
        <v>#VALUE!</v>
      </c>
      <c r="BM28" t="e">
        <f t="shared" si="75"/>
        <v>#VALUE!</v>
      </c>
      <c r="BN28" t="e">
        <f t="shared" si="76"/>
        <v>#VALUE!</v>
      </c>
      <c r="BO28" t="e">
        <f t="shared" si="77"/>
        <v>#VALUE!</v>
      </c>
      <c r="BP28" t="e">
        <f t="shared" si="78"/>
        <v>#VALUE!</v>
      </c>
      <c r="BQ28" t="e">
        <f t="shared" si="79"/>
        <v>#VALUE!</v>
      </c>
      <c r="BR28" t="e">
        <f t="shared" si="80"/>
        <v>#VALUE!</v>
      </c>
      <c r="BT28" t="e">
        <f t="shared" si="120"/>
        <v>#VALUE!</v>
      </c>
      <c r="BU28" t="e">
        <f t="shared" si="81"/>
        <v>#VALUE!</v>
      </c>
      <c r="BV28" t="e">
        <f t="shared" si="82"/>
        <v>#VALUE!</v>
      </c>
      <c r="BW28" t="e">
        <f t="shared" si="83"/>
        <v>#VALUE!</v>
      </c>
      <c r="BX28" t="e">
        <f t="shared" si="84"/>
        <v>#VALUE!</v>
      </c>
      <c r="BY28" t="e">
        <f t="shared" si="85"/>
        <v>#VALUE!</v>
      </c>
      <c r="BZ28" t="e">
        <f t="shared" si="86"/>
        <v>#VALUE!</v>
      </c>
      <c r="CB28" t="e">
        <f t="shared" si="121"/>
        <v>#VALUE!</v>
      </c>
      <c r="CC28" t="e">
        <f t="shared" si="87"/>
        <v>#VALUE!</v>
      </c>
      <c r="CD28" t="e">
        <f t="shared" si="88"/>
        <v>#VALUE!</v>
      </c>
      <c r="CE28" t="e">
        <f t="shared" si="89"/>
        <v>#VALUE!</v>
      </c>
      <c r="CF28" t="e">
        <f t="shared" si="90"/>
        <v>#VALUE!</v>
      </c>
      <c r="CG28" t="e">
        <f t="shared" si="91"/>
        <v>#VALUE!</v>
      </c>
      <c r="CH28" t="e">
        <f t="shared" si="92"/>
        <v>#VALUE!</v>
      </c>
      <c r="CJ28" t="e">
        <f t="shared" si="122"/>
        <v>#VALUE!</v>
      </c>
      <c r="CK28" t="e">
        <f t="shared" si="93"/>
        <v>#VALUE!</v>
      </c>
      <c r="CL28" t="e">
        <f t="shared" si="94"/>
        <v>#VALUE!</v>
      </c>
      <c r="CM28" t="e">
        <f t="shared" si="95"/>
        <v>#VALUE!</v>
      </c>
      <c r="CN28" t="e">
        <f t="shared" si="96"/>
        <v>#VALUE!</v>
      </c>
      <c r="CO28" t="e">
        <f t="shared" si="97"/>
        <v>#VALUE!</v>
      </c>
      <c r="CP28" t="e">
        <f t="shared" si="98"/>
        <v>#VALUE!</v>
      </c>
      <c r="CR28" t="e">
        <f t="shared" si="123"/>
        <v>#VALUE!</v>
      </c>
      <c r="CS28" t="e">
        <f t="shared" si="99"/>
        <v>#VALUE!</v>
      </c>
      <c r="CT28" t="e">
        <f t="shared" si="100"/>
        <v>#VALUE!</v>
      </c>
      <c r="CU28" t="e">
        <f t="shared" si="101"/>
        <v>#VALUE!</v>
      </c>
      <c r="CV28" t="e">
        <f t="shared" si="102"/>
        <v>#VALUE!</v>
      </c>
      <c r="CW28" t="e">
        <f t="shared" si="103"/>
        <v>#VALUE!</v>
      </c>
      <c r="CX28" t="e">
        <f t="shared" si="104"/>
        <v>#VALUE!</v>
      </c>
      <c r="CZ28" t="e">
        <f t="shared" si="124"/>
        <v>#VALUE!</v>
      </c>
      <c r="DA28" t="e">
        <f t="shared" si="105"/>
        <v>#VALUE!</v>
      </c>
      <c r="DB28" t="e">
        <f t="shared" si="106"/>
        <v>#VALUE!</v>
      </c>
      <c r="DC28" t="e">
        <f t="shared" si="107"/>
        <v>#VALUE!</v>
      </c>
      <c r="DD28" t="e">
        <f t="shared" si="108"/>
        <v>#VALUE!</v>
      </c>
      <c r="DE28" t="e">
        <f t="shared" si="109"/>
        <v>#VALUE!</v>
      </c>
      <c r="DF28" t="e">
        <f t="shared" si="110"/>
        <v>#VALUE!</v>
      </c>
      <c r="DH28" t="e">
        <f>IF(OR(ROW()-4&gt;INDEX($U$4:$U$11,$AC$2+1,1)-INDEX($U$4:$U$11,$AC$2,1),ROW()-4&gt;$AD$2),NA(),COUNTIF(INDEX($BL$5:$BR$50,INDEX($U$4:$U$11,1,1),$AC$2):INDEX($BL$5:$BR$50,INDEX($U$4:$U$11,1,1)+ROW()-5,$AC$2),DH$3))</f>
        <v>#N/A</v>
      </c>
      <c r="DI28" t="e">
        <f>IF(OR(ROW()-4&gt;INDEX($U$4:$U$11,$AC$2+1,1)-INDEX($U$4:$U$11,$AC$2,1),ROW()-4&gt;$AD$2),NA(),COUNTIF(INDEX($BL$5:$BR$50,INDEX($U$4:$U$11,1,1),$AC$2):INDEX($BL$5:$BR$50,INDEX($U$4:$U$11,1,1)+ROW()-5,$AC$2),DI$3))</f>
        <v>#N/A</v>
      </c>
      <c r="DJ28" t="e">
        <f>IF(OR(ROW()-4&gt;INDEX($U$4:$U$11,$AC$2+1,1)-INDEX($U$4:$U$11,$AC$2,1),ROW()-4&gt;$AD$2),NA(),COUNTIF(INDEX($BL$5:$BR$50,INDEX($U$4:$U$11,1,1),$AC$2):INDEX($BL$5:$BR$50,INDEX($U$4:$U$11,1,1)+ROW()-5,$AC$2),DJ$3))</f>
        <v>#N/A</v>
      </c>
      <c r="DL28" t="e">
        <f>IF(OR(ROW()-4&gt;INDEX($U$4:$U$11,$AC$2+1,1)-INDEX($U$4:$U$11,$AC$2,1),ROW()-4&gt;$AD$2),NA(),COUNTIF(INDEX($BL$5:$BR$50,INDEX($U$4:$U$11,1,1),$AC$2):INDEX($BL$5:$BR$50,INDEX($U$4:$U$11,1,1)+ROW()-5,$AC$2),DL$3))</f>
        <v>#N/A</v>
      </c>
      <c r="DM28" t="e">
        <f>IF(OR(ROW()-4&gt;INDEX($U$4:$U$11,$AC$2+1,1)-INDEX($U$4:$U$11,$AC$2,1),ROW()-4&gt;$AD$2),NA(),COUNTIF(INDEX($BL$5:$BR$50,INDEX($U$4:$U$11,1,1),$AC$2):INDEX($BL$5:$BR$50,INDEX($U$4:$U$11,1,1)+ROW()-5,$AC$2),DM$3))</f>
        <v>#N/A</v>
      </c>
      <c r="DN28" t="e">
        <f>IF(OR(ROW()-4&gt;INDEX($U$4:$U$11,$AC$2+1,1)-INDEX($U$4:$U$11,$AC$2,1),ROW()-4&gt;$AD$2),NA(),COUNTIF(INDEX($BL$5:$BR$50,INDEX($U$4:$U$11,1,1),$AC$2):INDEX($BL$5:$BR$50,INDEX($U$4:$U$11,1,1)+ROW()-5,$AC$2),DN$3))</f>
        <v>#N/A</v>
      </c>
      <c r="DP28" t="e">
        <f>IF(OR(ROW()-4&gt;INDEX($U$4:$U$11,$AC$2+1,1)-INDEX($U$4:$U$11,$AC$2,1),ROW()-4&gt;$AD$2),NA(),COUNTIF(INDEX($BT$5:$BZ$201,INDEX($U$4:$U$11,1,1),$AC$2):INDEX($BT$5:$BZ$201,INDEX($U$4:$U$11,1,1)+ROW()-5,$AC$2),DP$3))</f>
        <v>#N/A</v>
      </c>
      <c r="DQ28" t="e">
        <f>IF(OR(ROW()-4&gt;INDEX($U$4:$U$11,$AC$2+1,1)-INDEX($U$4:$U$11,$AC$2,1),ROW()-4&gt;$AD$2),NA(),COUNTIF(INDEX($BT$5:$BZ$201,INDEX($U$4:$U$11,1,1),$AC$2):INDEX($BT$5:$BZ$201,INDEX($U$4:$U$11,1,1)+ROW()-5,$AC$2),DQ$3))</f>
        <v>#N/A</v>
      </c>
      <c r="DS28" t="e">
        <f>IF(OR(ROW()-4&gt;INDEX($U$4:$U$11,$AC$2+1,1)-INDEX($U$4:$U$11,$AC$2,1),ROW()-4&gt;$AD$2),NA(),COUNTIF(INDEX($BT$5:$BZ$201,INDEX($U$4:$U$11,1,1),$AC$2):INDEX($BT$5:$BZ$201,INDEX($U$4:$U$11,1,1)+ROW()-5,$AC$2),DS$3))</f>
        <v>#N/A</v>
      </c>
      <c r="DT28" t="e">
        <f>IF(OR(ROW()-4&gt;INDEX($U$4:$U$11,$AC$2+1,1)-INDEX($U$4:$U$11,$AC$2,1),ROW()-4&gt;$AD$2),NA(),COUNTIF(INDEX($BT$5:$BZ$201,INDEX($U$4:$U$11,1,1),$AC$2):INDEX($BT$5:$BZ$201,INDEX($U$4:$U$11,1,1)+ROW()-5,$AC$2),DT$3))</f>
        <v>#N/A</v>
      </c>
      <c r="DV28" t="e">
        <f>IF(OR(ROW()-4&gt;INDEX($U$4:$U$11,$AC$2+1,1)-INDEX($U$4:$U$11,$AC$2,1),ROW()-4&gt;$AD$2),NA(),COUNTIF(INDEX($CB$5:$CH$201,INDEX($U$4:$U$11,1,1),$AC$2):INDEX($CB$5:$CH$201,INDEX($U$4:$U$11,1,1)+ROW()-5,$AC$2),DV$3))</f>
        <v>#N/A</v>
      </c>
      <c r="DW28" t="e">
        <f>IF(OR(ROW()-4&gt;INDEX($U$4:$U$11,$AC$2+1,1)-INDEX($U$4:$U$11,$AC$2,1),ROW()-4&gt;$AD$2),NA(),COUNTIF(INDEX($CB$5:$CH$201,INDEX($U$4:$U$11,1,1),$AC$2):INDEX($CB$5:$CH$201,INDEX($U$4:$U$11,1,1)+ROW()-5,$AC$2),DW$3))</f>
        <v>#N/A</v>
      </c>
      <c r="DX28" t="e">
        <f>IF(OR(ROW()-4&gt;INDEX($U$4:$U$11,$AC$2+1,1)-INDEX($U$4:$U$11,$AC$2,1),ROW()-4&gt;$AD$2),NA(),COUNTIF(INDEX($CB$5:$CH$201,INDEX($U$4:$U$11,1,1),$AC$2):INDEX($CB$5:$CH$201,INDEX($U$4:$U$11,1,1)+ROW()-5,$AC$2),DX$3))</f>
        <v>#N/A</v>
      </c>
      <c r="DY28" t="e">
        <f>IF(OR(ROW()-4&gt;INDEX($U$4:$U$11,$AC$2+1,1)-INDEX($U$4:$U$11,$AC$2,1),ROW()-4&gt;$AD$2),NA(),COUNTIF(INDEX($CB$5:$CH$201,INDEX($U$4:$U$11,1,1),$AC$2):INDEX($CB$5:$CH$201,INDEX($U$4:$U$11,1,1)+ROW()-5,$AC$2),DY$3))</f>
        <v>#N/A</v>
      </c>
      <c r="DZ28" t="e">
        <f>IF(OR(ROW()-4&gt;INDEX($U$4:$U$11,$AC$2+1,1)-INDEX($U$4:$U$11,$AC$2,1),ROW()-4&gt;$AD$2),NA(),COUNTIF(INDEX($CB$5:$CH$201,INDEX($U$4:$U$11,1,1),$AC$2):INDEX($CB$5:$CH$201,INDEX($U$4:$U$11,1,1)+ROW()-5,$AC$2),DZ$3))</f>
        <v>#N/A</v>
      </c>
      <c r="EA28" t="e">
        <f>IF(OR(ROW()-4&gt;INDEX($U$4:$U$11,$AC$2+1,1)-INDEX($U$4:$U$11,$AC$2,1),ROW()-4&gt;$AD$2),NA(),COUNTIF(INDEX($CB$5:$CH$201,INDEX($U$4:$U$11,1,1),$AC$2):INDEX($CB$5:$CH$201,INDEX($U$4:$U$11,1,1)+ROW()-5,$AC$2),EA$3))</f>
        <v>#N/A</v>
      </c>
      <c r="EB28" t="e">
        <f>IF(OR(ROW()-4&gt;INDEX($U$4:$U$11,$AC$2+1,1)-INDEX($U$4:$U$11,$AC$2,1),ROW()-4&gt;$AD$2),NA(),COUNTIF(INDEX($CB$5:$CH$201,INDEX($U$4:$U$11,1,1),$AC$2):INDEX($CB$5:$CH$201,INDEX($U$4:$U$11,1,1)+ROW()-5,$AC$2),EB$3))</f>
        <v>#N/A</v>
      </c>
      <c r="EC28" t="e">
        <f>IF(OR(ROW()-4&gt;INDEX($U$4:$U$11,$AC$2+1,1)-INDEX($U$4:$U$11,$AC$2,1),ROW()-4&gt;$AD$2),NA(),COUNTIF(INDEX($CB$5:$CH$201,INDEX($U$4:$U$11,1,1),$AC$2):INDEX($CB$5:$CH$201,INDEX($U$4:$U$11,1,1)+ROW()-5,$AC$2),EC$3))</f>
        <v>#N/A</v>
      </c>
      <c r="EE28" t="e">
        <f>IF(OR(ROW()-4&gt;INDEX($U$4:$U$11,$AC$2+1,1)-INDEX($U$4:$U$11,$AC$2,1),ROW()-4&gt;$AD$2),NA(),COUNTIF(INDEX($CB$5:$CH$201,INDEX($U$4:$U$11,1,1),$AC$2):INDEX($CB$5:$CH$201,INDEX($U$4:$U$11,1,1)+ROW()-5,$AC$2),EE$3))</f>
        <v>#N/A</v>
      </c>
      <c r="EF28" t="e">
        <f>IF(OR(ROW()-4&gt;INDEX($U$4:$U$11,$AC$2+1,1)-INDEX($U$4:$U$11,$AC$2,1),ROW()-4&gt;$AD$2),NA(),COUNTIF(INDEX($CB$5:$CH$201,INDEX($U$4:$U$11,1,1),$AC$2):INDEX($CB$5:$CH$201,INDEX($U$4:$U$11,1,1)+ROW()-5,$AC$2),EF$3))</f>
        <v>#N/A</v>
      </c>
      <c r="EG28" t="e">
        <f>IF(OR(ROW()-4&gt;INDEX($U$4:$U$11,$AC$2+1,1)-INDEX($U$4:$U$11,$AC$2,1),ROW()-4&gt;$AD$2),NA(),COUNTIF(INDEX($CB$5:$CH$201,INDEX($U$4:$U$11,1,1),$AC$2):INDEX($CB$5:$CH$201,INDEX($U$4:$U$11,1,1)+ROW()-5,$AC$2),EG$3))</f>
        <v>#N/A</v>
      </c>
      <c r="EH28" t="e">
        <f>IF(OR(ROW()-4&gt;INDEX($U$4:$U$11,$AC$2+1,1)-INDEX($U$4:$U$11,$AC$2,1),ROW()-4&gt;$AD$2),NA(),COUNTIF(INDEX($CB$5:$CH$201,INDEX($U$4:$U$11,1,1),$AC$2):INDEX($CB$5:$CH$201,INDEX($U$4:$U$11,1,1)+ROW()-5,$AC$2),EH$3))</f>
        <v>#N/A</v>
      </c>
      <c r="EI28" t="e">
        <f>IF(OR(ROW()-4&gt;INDEX($U$4:$U$11,$AC$2+1,1)-INDEX($U$4:$U$11,$AC$2,1),ROW()-4&gt;$AD$2),NA(),COUNTIF(INDEX($CB$5:$CH$201,INDEX($U$4:$U$11,1,1),$AC$2):INDEX($CB$5:$CH$201,INDEX($U$4:$U$11,1,1)+ROW()-5,$AC$2),EI$3))</f>
        <v>#N/A</v>
      </c>
      <c r="EJ28" t="e">
        <f>IF(OR(ROW()-4&gt;INDEX($U$4:$U$11,$AC$2+1,1)-INDEX($U$4:$U$11,$AC$2,1),ROW()-4&gt;$AD$2),NA(),COUNTIF(INDEX($CB$5:$CH$201,INDEX($U$4:$U$11,1,1),$AC$2):INDEX($CB$5:$CH$201,INDEX($U$4:$U$11,1,1)+ROW()-5,$AC$2),EJ$3))</f>
        <v>#N/A</v>
      </c>
      <c r="EK28" t="e">
        <f>IF(OR(ROW()-4&gt;INDEX($U$4:$U$11,$AC$2+1,1)-INDEX($U$4:$U$11,$AC$2,1),ROW()-4&gt;$AD$2),NA(),COUNTIF(INDEX($CB$5:$CH$201,INDEX($U$4:$U$11,1,1),$AC$2):INDEX($CB$5:$CH$201,INDEX($U$4:$U$11,1,1)+ROW()-5,$AC$2),EK$3))</f>
        <v>#N/A</v>
      </c>
      <c r="EL28" t="e">
        <f>IF(OR(ROW()-4&gt;INDEX($U$4:$U$11,$AC$2+1,1)-INDEX($U$4:$U$11,$AC$2,1),ROW()-4&gt;$AD$2),NA(),COUNTIF(INDEX($CB$5:$CH$201,INDEX($U$4:$U$11,1,1),$AC$2):INDEX($CB$5:$CH$201,INDEX($U$4:$U$11,1,1)+ROW()-5,$AC$2),EL$3))</f>
        <v>#N/A</v>
      </c>
      <c r="EN28" t="e">
        <f>IF(OR(ROW()-4&gt;INDEX($U$4:$U$11,$AC$2+1,1)-INDEX($U$4:$U$11,$AC$2,1),ROW()-4&gt;$AD$2),NA(),COUNTIF(INDEX($CJ$5:$CP$201,INDEX($U$4:$U$11,1,1),$AC$2):INDEX($CJ$5:$CP$201,INDEX($U$4:$U$11,1,1)+ROW()-5,$AC$2),EN$3))</f>
        <v>#N/A</v>
      </c>
      <c r="EO28" t="e">
        <f>IF(OR(ROW()-4&gt;INDEX($U$4:$U$11,$AC$2+1,1)-INDEX($U$4:$U$11,$AC$2,1),ROW()-4&gt;$AD$2),NA(),COUNTIF(INDEX($CJ$5:$CP$201,INDEX($U$4:$U$11,1,1),$AC$2):INDEX($CJ$5:$CP$201,INDEX($U$4:$U$11,1,1)+ROW()-5,$AC$2),EO$3))</f>
        <v>#N/A</v>
      </c>
      <c r="EQ28" t="e">
        <f>IF(OR(ROW()-4&gt;INDEX($U$4:$U$11,$AC$2+1,1)-INDEX($U$4:$U$11,$AC$2,1),ROW()-4&gt;$AD$2),NA(),COUNTIF(INDEX($CJ$5:$CP$201,INDEX($U$4:$U$11,1,1),$AC$2):INDEX($CJ$5:$CP$201,INDEX($U$4:$U$11,1,1)+ROW()-5,$AC$2),EQ$3))</f>
        <v>#N/A</v>
      </c>
      <c r="ER28" t="e">
        <f>IF(OR(ROW()-4&gt;INDEX($U$4:$U$11,$AC$2+1,1)-INDEX($U$4:$U$11,$AC$2,1),ROW()-4&gt;$AD$2),NA(),COUNTIF(INDEX($CJ$5:$CP$201,INDEX($U$4:$U$11,1,1),$AC$2):INDEX($CJ$5:$CP$201,INDEX($U$4:$U$11,1,1)+ROW()-5,$AC$2),ER$3))</f>
        <v>#N/A</v>
      </c>
      <c r="ET28" t="e">
        <f>IF(OR(ROW()-4&gt;INDEX($U$4:$U$11,$AC$2+1,1)-INDEX($U$4:$U$11,$AC$2,1),ROW()-4&gt;$AD$2),NA(),COUNTIF(INDEX($CR$5:$CX$201,INDEX($U$4:$U$11,1,1),$AC$2):INDEX($CR$5:$CX$201,INDEX($U$4:$U$11,1,1)+ROW()-5,$AC$2),ET$3))</f>
        <v>#N/A</v>
      </c>
      <c r="EU28" t="e">
        <f>IF(OR(ROW()-4&gt;INDEX($U$4:$U$11,$AC$2+1,1)-INDEX($U$4:$U$11,$AC$2,1),ROW()-4&gt;$AD$2),NA(),COUNTIF(INDEX($CR$5:$CX$201,INDEX($U$4:$U$11,1,1),$AC$2):INDEX($CR$5:$CX$201,INDEX($U$4:$U$11,1,1)+ROW()-5,$AC$2),EU$3))</f>
        <v>#N/A</v>
      </c>
      <c r="EV28" t="e">
        <f>IF(OR(ROW()-4&gt;INDEX($U$4:$U$11,$AC$2+1,1)-INDEX($U$4:$U$11,$AC$2,1),ROW()-4&gt;$AD$2),NA(),COUNTIF(INDEX($CR$5:$CX$201,INDEX($U$4:$U$11,1,1),$AC$2):INDEX($CR$5:$CX$201,INDEX($U$4:$U$11,1,1)+ROW()-5,$AC$2),EV$3))</f>
        <v>#N/A</v>
      </c>
      <c r="EW28" t="e">
        <f>IF(OR(ROW()-4&gt;INDEX($U$4:$U$11,$AC$2+1,1)-INDEX($U$4:$U$11,$AC$2,1),ROW()-4&gt;$AD$2),NA(),COUNTIF(INDEX($CR$5:$CX$201,INDEX($U$4:$U$11,1,1),$AC$2):INDEX($CR$5:$CX$201,INDEX($U$4:$U$11,1,1)+ROW()-5,$AC$2),EW$3))</f>
        <v>#N/A</v>
      </c>
      <c r="EX28" t="e">
        <f>IF(OR(ROW()-4&gt;INDEX($U$4:$U$11,$AC$2+1,1)-INDEX($U$4:$U$11,$AC$2,1),ROW()-4&gt;$AD$2),NA(),COUNTIF(INDEX($CR$5:$CX$201,INDEX($U$4:$U$11,1,1),$AC$2):INDEX($CR$5:$CX$201,INDEX($U$4:$U$11,1,1)+ROW()-5,$AC$2),EX$3))</f>
        <v>#N/A</v>
      </c>
      <c r="EY28" t="e">
        <f>IF(OR(ROW()-4&gt;INDEX($U$4:$U$11,$AC$2+1,1)-INDEX($U$4:$U$11,$AC$2,1),ROW()-4&gt;$AD$2),NA(),COUNTIF(INDEX($CR$5:$CX$201,INDEX($U$4:$U$11,1,1),$AC$2):INDEX($CR$5:$CX$201,INDEX($U$4:$U$11,1,1)+ROW()-5,$AC$2),EY$3))</f>
        <v>#N/A</v>
      </c>
      <c r="EZ28" t="e">
        <f>IF(OR(ROW()-4&gt;INDEX($U$4:$U$11,$AC$2+1,1)-INDEX($U$4:$U$11,$AC$2,1),ROW()-4&gt;$AD$2),NA(),COUNTIF(INDEX($CR$5:$CX$201,INDEX($U$4:$U$11,1,1),$AC$2):INDEX($CR$5:$CX$201,INDEX($U$4:$U$11,1,1)+ROW()-5,$AC$2),EZ$3))</f>
        <v>#N/A</v>
      </c>
      <c r="FA28" t="e">
        <f>IF(OR(ROW()-4&gt;INDEX($U$4:$U$11,$AC$2+1,1)-INDEX($U$4:$U$11,$AC$2,1),ROW()-4&gt;$AD$2),NA(),COUNTIF(INDEX($CR$5:$CX$201,INDEX($U$4:$U$11,1,1),$AC$2):INDEX($CR$5:$CX$201,INDEX($U$4:$U$11,1,1)+ROW()-5,$AC$2),FA$3))</f>
        <v>#N/A</v>
      </c>
      <c r="FC28" t="e">
        <f>IF(OR(ROW()-4&gt;INDEX($U$4:$U$11,$AC$2+1,1)-INDEX($U$4:$U$11,$AC$2,1),ROW()-4&gt;$AD$2),NA(),COUNTIF(INDEX($CR$5:$CX$201,INDEX($U$4:$U$11,1,1),$AC$2):INDEX($CR$5:$CX$201,INDEX($U$4:$U$11,1,1)+ROW()-5,$AC$2),FC$3))</f>
        <v>#N/A</v>
      </c>
      <c r="FD28" t="e">
        <f>IF(OR(ROW()-4&gt;INDEX($U$4:$U$11,$AC$2+1,1)-INDEX($U$4:$U$11,$AC$2,1),ROW()-4&gt;$AD$2),NA(),COUNTIF(INDEX($CR$5:$CX$201,INDEX($U$4:$U$11,1,1),$AC$2):INDEX($CR$5:$CX$201,INDEX($U$4:$U$11,1,1)+ROW()-5,$AC$2),FD$3))</f>
        <v>#N/A</v>
      </c>
      <c r="FE28" t="e">
        <f>IF(OR(ROW()-4&gt;INDEX($U$4:$U$11,$AC$2+1,1)-INDEX($U$4:$U$11,$AC$2,1),ROW()-4&gt;$AD$2),NA(),COUNTIF(INDEX($CR$5:$CX$201,INDEX($U$4:$U$11,1,1),$AC$2):INDEX($CR$5:$CX$201,INDEX($U$4:$U$11,1,1)+ROW()-5,$AC$2),FE$3))</f>
        <v>#N/A</v>
      </c>
      <c r="FF28" t="e">
        <f>IF(OR(ROW()-4&gt;INDEX($U$4:$U$11,$AC$2+1,1)-INDEX($U$4:$U$11,$AC$2,1),ROW()-4&gt;$AD$2),NA(),COUNTIF(INDEX($CR$5:$CX$201,INDEX($U$4:$U$11,1,1),$AC$2):INDEX($CR$5:$CX$201,INDEX($U$4:$U$11,1,1)+ROW()-5,$AC$2),FF$3))</f>
        <v>#N/A</v>
      </c>
      <c r="FG28" t="e">
        <f>IF(OR(ROW()-4&gt;INDEX($U$4:$U$11,$AC$2+1,1)-INDEX($U$4:$U$11,$AC$2,1),ROW()-4&gt;$AD$2),NA(),COUNTIF(INDEX($CR$5:$CX$201,INDEX($U$4:$U$11,1,1),$AC$2):INDEX($CR$5:$CX$201,INDEX($U$4:$U$11,1,1)+ROW()-5,$AC$2),FG$3))</f>
        <v>#N/A</v>
      </c>
      <c r="FH28" t="e">
        <f>IF(OR(ROW()-4&gt;INDEX($U$4:$U$11,$AC$2+1,1)-INDEX($U$4:$U$11,$AC$2,1),ROW()-4&gt;$AD$2),NA(),COUNTIF(INDEX($CR$5:$CX$201,INDEX($U$4:$U$11,1,1),$AC$2):INDEX($CR$5:$CX$201,INDEX($U$4:$U$11,1,1)+ROW()-5,$AC$2),FH$3))</f>
        <v>#N/A</v>
      </c>
      <c r="FI28" t="e">
        <f>IF(OR(ROW()-4&gt;INDEX($U$4:$U$11,$AC$2+1,1)-INDEX($U$4:$U$11,$AC$2,1),ROW()-4&gt;$AD$2),NA(),COUNTIF(INDEX($CR$5:$CX$201,INDEX($U$4:$U$11,1,1),$AC$2):INDEX($CR$5:$CX$201,INDEX($U$4:$U$11,1,1)+ROW()-5,$AC$2),FI$3))</f>
        <v>#N/A</v>
      </c>
      <c r="FJ28" t="e">
        <f>IF(OR(ROW()-4&gt;INDEX($U$4:$U$11,$AC$2+1,1)-INDEX($U$4:$U$11,$AC$2,1),ROW()-4&gt;$AD$2),NA(),COUNTIF(INDEX($CR$5:$CX$201,INDEX($U$4:$U$11,1,1),$AC$2):INDEX($CR$5:$CX$201,INDEX($U$4:$U$11,1,1)+ROW()-5,$AC$2),FJ$3))</f>
        <v>#N/A</v>
      </c>
      <c r="FL28" t="e">
        <f>IF(OR(ROW()-4&gt;INDEX($U$4:$U$11,$AC$2+1,1)-INDEX($U$4:$U$11,$AC$2,1),ROW()-4&gt;$AD$2),NA(),COUNTIF(INDEX($CZ$5:$DF$201,INDEX($U$4:$U$11,1,1),$AC$2):INDEX($CZ$5:$DF$201,INDEX($U$4:$U$11,1,1)+ROW()-5,$AC$2),FL$3))</f>
        <v>#N/A</v>
      </c>
      <c r="FM28" t="e">
        <f>IF(OR(ROW()-4&gt;INDEX($U$4:$U$11,$AC$2+1,1)-INDEX($U$4:$U$11,$AC$2,1),ROW()-4&gt;$AD$2),NA(),COUNTIF(INDEX($CZ$5:$DF$201,INDEX($U$4:$U$11,1,1),$AC$2):INDEX($CZ$5:$DF$201,INDEX($U$4:$U$11,1,1)+ROW()-5,$AC$2),FM$3))</f>
        <v>#N/A</v>
      </c>
      <c r="FN28" t="e">
        <f>IF(OR(ROW()-4&gt;INDEX($U$4:$U$11,$AC$2+1,1)-INDEX($U$4:$U$11,$AC$2,1),ROW()-4&gt;$AD$2),NA(),COUNTIF(INDEX($CZ$5:$DF$201,INDEX($U$4:$U$11,1,1),$AC$2):INDEX($CZ$5:$DF$201,INDEX($U$4:$U$11,1,1)+ROW()-5,$AC$2),FN$3))</f>
        <v>#N/A</v>
      </c>
      <c r="FO28" t="e">
        <f>IF(OR(ROW()-4&gt;INDEX($U$4:$U$11,$AC$2+1,1)-INDEX($U$4:$U$11,$AC$2,1),ROW()-4&gt;$AD$2),NA(),COUNTIF(INDEX($CZ$5:$DF$201,INDEX($U$4:$U$11,1,1),$AC$2):INDEX($CZ$5:$DF$201,INDEX($U$4:$U$11,1,1)+ROW()-5,$AC$2),FO$3))</f>
        <v>#N/A</v>
      </c>
      <c r="FP28" t="e">
        <f>IF(OR(ROW()-4&gt;INDEX($U$4:$U$11,$AC$2+1,1)-INDEX($U$4:$U$11,$AC$2,1),ROW()-4&gt;$AD$2),NA(),COUNTIF(INDEX($CZ$5:$DF$201,INDEX($U$4:$U$11,1,1),$AC$2):INDEX($CZ$5:$DF$201,INDEX($U$4:$U$11,1,1)+ROW()-5,$AC$2),FP$3))</f>
        <v>#N/A</v>
      </c>
      <c r="FQ28" t="e">
        <f>IF(OR(ROW()-4&gt;INDEX($U$4:$U$11,$AC$2+1,1)-INDEX($U$4:$U$11,$AC$2,1),ROW()-4&gt;$AD$2),NA(),COUNTIF(INDEX($CZ$5:$DF$201,INDEX($U$4:$U$11,1,1),$AC$2):INDEX($CZ$5:$DF$201,INDEX($U$4:$U$11,1,1)+ROW()-5,$AC$2),FQ$3))</f>
        <v>#N/A</v>
      </c>
      <c r="FR28" t="e">
        <f>IF(OR(ROW()-4&gt;INDEX($U$4:$U$11,$AC$2+1,1)-INDEX($U$4:$U$11,$AC$2,1),ROW()-4&gt;$AD$2),NA(),COUNTIF(INDEX($CZ$5:$DF$201,INDEX($U$4:$U$11,1,1),$AC$2):INDEX($CZ$5:$DF$201,INDEX($U$4:$U$11,1,1)+ROW()-5,$AC$2),FR$3))</f>
        <v>#N/A</v>
      </c>
      <c r="FS28" t="e">
        <f>IF(OR(ROW()-4&gt;INDEX($U$4:$U$11,$AC$2+1,1)-INDEX($U$4:$U$11,$AC$2,1),ROW()-4&gt;$AD$2),NA(),COUNTIF(INDEX($CZ$5:$DF$201,INDEX($U$4:$U$11,1,1),$AC$2):INDEX($CZ$5:$DF$201,INDEX($U$4:$U$11,1,1)+ROW()-5,$AC$2),FS$3))</f>
        <v>#N/A</v>
      </c>
      <c r="FT28" t="e">
        <f>IF(OR(ROW()-4&gt;INDEX($U$4:$U$11,$AC$2+1,1)-INDEX($U$4:$U$11,$AC$2,1),ROW()-4&gt;$AD$2),NA(),COUNTIF(INDEX($CZ$5:$DF$201,INDEX($U$4:$U$11,1,1),$AC$2):INDEX($CZ$5:$DF$201,INDEX($U$4:$U$11,1,1)+ROW()-5,$AC$2),FT$3))</f>
        <v>#N/A</v>
      </c>
      <c r="FU28" t="e">
        <f>IF(OR(ROW()-4&gt;INDEX($U$4:$U$11,$AC$2+1,1)-INDEX($U$4:$U$11,$AC$2,1),ROW()-4&gt;$AD$2),NA(),COUNTIF(INDEX($CZ$5:$DF$201,INDEX($U$4:$U$11,1,1),$AC$2):INDEX($CZ$5:$DF$201,INDEX($U$4:$U$11,1,1)+ROW()-5,$AC$2),FU$3))</f>
        <v>#N/A</v>
      </c>
      <c r="FW28" t="e">
        <f>IF(OR(ROW()-4&gt;INDEX($U$4:$U$11,$AC$2+1,1)-INDEX($U$4:$U$11,$AC$2,1),ROW()-4&gt;$AD$2),NA(),COUNTIF(INDEX($CZ$5:$DF$201,INDEX($U$4:$U$11,1,1),$AC$2):INDEX($CZ$5:$DF$201,INDEX($U$4:$U$11,1,1)+ROW()-5,$AC$2),FW$3))</f>
        <v>#N/A</v>
      </c>
      <c r="FX28" t="e">
        <f>IF(OR(ROW()-4&gt;INDEX($U$4:$U$11,$AC$2+1,1)-INDEX($U$4:$U$11,$AC$2,1),ROW()-4&gt;$AD$2),NA(),COUNTIF(INDEX($CZ$5:$DF$201,INDEX($U$4:$U$11,1,1),$AC$2):INDEX($CZ$5:$DF$201,INDEX($U$4:$U$11,1,1)+ROW()-5,$AC$2),FX$3))</f>
        <v>#N/A</v>
      </c>
      <c r="FY28" t="e">
        <f>IF(OR(ROW()-4&gt;INDEX($U$4:$U$11,$AC$2+1,1)-INDEX($U$4:$U$11,$AC$2,1),ROW()-4&gt;$AD$2),NA(),COUNTIF(INDEX($CZ$5:$DF$201,INDEX($U$4:$U$11,1,1),$AC$2):INDEX($CZ$5:$DF$201,INDEX($U$4:$U$11,1,1)+ROW()-5,$AC$2),FY$3))</f>
        <v>#N/A</v>
      </c>
      <c r="FZ28" t="e">
        <f>IF(OR(ROW()-4&gt;INDEX($U$4:$U$11,$AC$2+1,1)-INDEX($U$4:$U$11,$AC$2,1),ROW()-4&gt;$AD$2),NA(),COUNTIF(INDEX($CZ$5:$DF$201,INDEX($U$4:$U$11,1,1),$AC$2):INDEX($CZ$5:$DF$201,INDEX($U$4:$U$11,1,1)+ROW()-5,$AC$2),FZ$3))</f>
        <v>#N/A</v>
      </c>
      <c r="GA28" t="e">
        <f>IF(OR(ROW()-4&gt;INDEX($U$4:$U$11,$AC$2+1,1)-INDEX($U$4:$U$11,$AC$2,1),ROW()-4&gt;$AD$2),NA(),COUNTIF(INDEX($CZ$5:$DF$201,INDEX($U$4:$U$11,1,1),$AC$2):INDEX($CZ$5:$DF$201,INDEX($U$4:$U$11,1,1)+ROW()-5,$AC$2),GA$3))</f>
        <v>#N/A</v>
      </c>
      <c r="GB28" t="e">
        <f>IF(OR(ROW()-4&gt;INDEX($U$4:$U$11,$AC$2+1,1)-INDEX($U$4:$U$11,$AC$2,1),ROW()-4&gt;$AD$2),NA(),COUNTIF(INDEX($CZ$5:$DF$201,INDEX($U$4:$U$11,1,1),$AC$2):INDEX($CZ$5:$DF$201,INDEX($U$4:$U$11,1,1)+ROW()-5,$AC$2),GB$3))</f>
        <v>#N/A</v>
      </c>
      <c r="GC28" t="e">
        <f>IF(OR(ROW()-4&gt;INDEX($U$4:$U$11,$AC$2+1,1)-INDEX($U$4:$U$11,$AC$2,1),ROW()-4&gt;$AD$2),NA(),COUNTIF(INDEX($CZ$5:$DF$201,INDEX($U$4:$U$11,1,1),$AC$2):INDEX($CZ$5:$DF$201,INDEX($U$4:$U$11,1,1)+ROW()-5,$AC$2),GC$3))</f>
        <v>#N/A</v>
      </c>
      <c r="GD28" t="e">
        <f>IF(OR(ROW()-4&gt;INDEX($U$4:$U$11,$AC$2+1,1)-INDEX($U$4:$U$11,$AC$2,1),ROW()-4&gt;$AD$2),NA(),COUNTIF(INDEX($CZ$5:$DF$201,INDEX($U$4:$U$11,1,1),$AC$2):INDEX($CZ$5:$DF$201,INDEX($U$4:$U$11,1,1)+ROW()-5,$AC$2),GD$3))</f>
        <v>#N/A</v>
      </c>
      <c r="GE28" t="e">
        <f>IF(OR(ROW()-4&gt;INDEX($U$4:$U$11,$AC$2+1,1)-INDEX($U$4:$U$11,$AC$2,1),ROW()-4&gt;$AD$2),NA(),COUNTIF(INDEX($CZ$5:$DF$201,INDEX($U$4:$U$11,1,1),$AC$2):INDEX($CZ$5:$DF$201,INDEX($U$4:$U$11,1,1)+ROW()-5,$AC$2),GE$3))</f>
        <v>#N/A</v>
      </c>
      <c r="GF28" t="e">
        <f>IF(OR(ROW()-4&gt;INDEX($U$4:$U$11,$AC$2+1,1)-INDEX($U$4:$U$11,$AC$2,1),ROW()-4&gt;$AD$2),NA(),COUNTIF(INDEX($CZ$5:$DF$201,INDEX($U$4:$U$11,1,1),$AC$2):INDEX($CZ$5:$DF$201,INDEX($U$4:$U$11,1,1)+ROW()-5,$AC$2),GF$3))</f>
        <v>#N/A</v>
      </c>
      <c r="GK28" t="s">
        <v>45</v>
      </c>
      <c r="HE28" t="s">
        <v>61</v>
      </c>
      <c r="HF28">
        <f>INDEX($FJ$5:$FJ$40,$AD$2)</f>
        <v>0</v>
      </c>
      <c r="HG28">
        <f>INDEX($FJ$4:$FJ$40,$AD$2+1)-INDEX($FJ$4:$FJ$40,$AD$2)</f>
        <v>0</v>
      </c>
      <c r="HH28" s="59">
        <f>INDEX($FJ$55:$FJ$90,$AD$2)</f>
        <v>0</v>
      </c>
      <c r="HI28" s="59">
        <f t="shared" si="131"/>
        <v>0</v>
      </c>
    </row>
    <row r="29" spans="1:224" x14ac:dyDescent="0.45">
      <c r="A29" t="str">
        <f>データの貼付!A27</f>
        <v>KIHARA Miyuu</v>
      </c>
      <c r="B29">
        <f>データの貼付!B27</f>
        <v>6.7428472222222221E-3</v>
      </c>
      <c r="C29">
        <f>データの貼付!C27</f>
        <v>8.804398148148148E-5</v>
      </c>
      <c r="D29">
        <f>データの貼付!D27</f>
        <v>6.9444444444444447E-4</v>
      </c>
      <c r="E29" t="str">
        <f>データの貼付!F27</f>
        <v>FENG Tianwei</v>
      </c>
      <c r="F29">
        <f>データの貼付!E27</f>
        <v>0</v>
      </c>
      <c r="G29" t="str">
        <f>データの貼付!G27</f>
        <v>#08</v>
      </c>
      <c r="H29" t="str">
        <f>データの貼付!H27</f>
        <v>KIHARA Miyuu</v>
      </c>
      <c r="I29" t="str">
        <f>データの貼付!I27</f>
        <v>(Side)</v>
      </c>
      <c r="J29" t="str">
        <f>データの貼付!J27</f>
        <v>B</v>
      </c>
      <c r="K29" t="str">
        <f>データの貼付!K27</f>
        <v>B</v>
      </c>
      <c r="L29" t="str">
        <f>データの貼付!L27</f>
        <v>B</v>
      </c>
      <c r="M29" t="str">
        <f>データの貼付!M27</f>
        <v>ドライブ</v>
      </c>
      <c r="N29" t="str">
        <f>データの貼付!N27</f>
        <v>BM</v>
      </c>
      <c r="R29">
        <f t="shared" si="59"/>
        <v>0</v>
      </c>
      <c r="S29">
        <f>SUM(R$4:R29)</f>
        <v>2</v>
      </c>
      <c r="T29" t="str">
        <f t="shared" si="60"/>
        <v/>
      </c>
      <c r="W29" t="str">
        <f t="shared" si="57"/>
        <v>FENG Tianwei_KIHARA Miyuu</v>
      </c>
      <c r="X29" t="str">
        <f t="shared" si="58"/>
        <v>FENG Tianwei_#08</v>
      </c>
      <c r="AC29" s="8" t="e">
        <f>IF(OR(ROW()-4&gt;INDEX($U$4:$U$11,AC$2+1)-INDEX($U$4:$U$11,AC$2),ROW()-4&gt;AD$2),NA(),COUNTIF(INDEX($W$4:$W$200,INDEX($U$4:$U$11,AC$2)):INDEX($W$4:$W$200,INDEX($U$4:$U$11,AC$2)+ROW()-5),AC$3&amp;"_"&amp;AC$3)/(COUNTIF(INDEX($W$4:$W$200,INDEX($U$4:$U$11,AC$2)):INDEX($W$4:$W$200,INDEX($U$4:$U$11,AC$2)+ROW()-5),AC$3&amp;"_"&amp;AC$3)+COUNTIF(INDEX($W$4:$W$200,INDEX($U$4:$U$11,AC$2)):INDEX($W$4:$W$200,INDEX($U$4:$U$11,AC$2)+ROW()-5),AD$3&amp;"_"&amp;AC$3)))</f>
        <v>#N/A</v>
      </c>
      <c r="AD29" s="8" t="e">
        <f>IF(OR(ROW()-4&gt;INDEX($U$4:$U$11,AC$2+1)-INDEX($U$4:$U$11,AC$2),ROW()-4&gt;AD$2),NA(),COUNTIF(INDEX($W$4:$W$200,INDEX($U$4:$U$11,AC$2)):INDEX($W$4:$W$200,INDEX($U$4:$U$11,AC$2)+ROW()-5),AD$3&amp;"_"&amp;AD$3)/(COUNTIF(INDEX($W$4:$W$200,INDEX($U$4:$U$11,AC$2)):INDEX($W$4:$W$200,INDEX($U$4:$U$11,AC$2)+ROW()-5),AD$3&amp;"_"&amp;AD$3)+COUNTIF(INDEX($W$4:$W$200,INDEX($U$4:$U$11,AC$2)):INDEX($W$4:$W$200,INDEX($U$4:$U$11,AC$2)+ROW()-5),AC$3&amp;"_"&amp;AD$3)))</f>
        <v>#N/A</v>
      </c>
      <c r="AE29" s="10" t="e">
        <f>IF(OR(ROW()-4&gt;INDEX($U$4:$U$11,AC$2+1)-INDEX($U$4:$U$11,AC$2),ROW()-4&gt;AD$2),NA(),COUNTIF(INDEX($W$4:$W$200,INDEX($U$4:$U$11,AC$2)):INDEX($W$4:$W$200,INDEX($U$4:$U$11,AC$2)+ROW()-5),AC$3&amp;"_"&amp;AD$3)/(COUNTIF(INDEX($W$4:$W$200,INDEX($U$4:$U$11,AC$2)):INDEX($W$4:$W$200,INDEX($U$4:$U$11,AC$2)+ROW()-5),AC$3&amp;"_"&amp;AD$3)+COUNTIF(INDEX($W$4:$W$200,INDEX($U$4:$U$11,AC$2)):INDEX($W$4:$W$200,INDEX($U$4:$U$11,AC$2)+ROW()-5),AD$3&amp;"_"&amp;AD$3)))</f>
        <v>#N/A</v>
      </c>
      <c r="AF29" s="10" t="e">
        <f>IF(OR(ROW()-4&gt;INDEX($U$4:$U$11,AC$2+1)-INDEX($U$4:$U$11,AC$2),ROW()-4&gt;AD$2),NA(),COUNTIF(INDEX($W$4:$W$200,INDEX($U$4:$U$11,AC$2)):INDEX($W$4:$W$200,INDEX($U$4:$U$11,AC$2)+ROW()-5),AD$3&amp;"_"&amp;AC$3)/(COUNTIF(INDEX($W$4:$W$200,INDEX($U$4:$U$11,AC$2)):INDEX($W$4:$W$200,INDEX($U$4:$U$11,AC$2)+ROW()-5),AD$3&amp;"_"&amp;AC$3)+COUNTIF(INDEX($W$4:$W$200,INDEX($U$4:$U$11,AC$2)):INDEX($W$4:$W$200,INDEX($U$4:$U$11,AC$2)+ROW()-5),AC$3&amp;"_"&amp;AC$3)))</f>
        <v>#N/A</v>
      </c>
      <c r="AG29" s="10" t="e">
        <f>IF(OR(ROW()-4&gt;INDEX($U$4:$U$11,AC$2+1)-INDEX($U$4:$U$11,AC$2),ROW()-4&gt;AD$2),NA(),COUNTIF(INDEX($X$4:$X$200,INDEX($U$4:$U$11,AC$2)):INDEX($X$4:$X$200,INDEX($U$4:$U$11,AC$2)+ROW()-5),AC$3&amp;"_#03")/(COUNTIF(INDEX($W$4:$W$200,INDEX($U$4:$U$11,AC$2)):INDEX($W$4:$W$200,INDEX($U$4:$U$11,AC$2)+ROW()-5),AC$3&amp;"_"&amp;AC$3)+COUNTIF(INDEX($W$4:$W$200,INDEX($U$4:$U$11,AC$2)):INDEX($W$4:$W$200,INDEX($U$4:$U$11,AC$2)+ROW()-5),AD$3&amp;"_"&amp;AC$3)))</f>
        <v>#N/A</v>
      </c>
      <c r="AH29" s="10" t="e">
        <f>IF(OR(ROW()-4&gt;INDEX($U$4:$U$11,AC$2+1)-INDEX($U$4:$U$11,AC$2),ROW()-4&gt;AD$2),NA(),COUNTIF(INDEX($X$4:$X$200,INDEX($U$4:$U$11,AC$2)):INDEX($X$4:$X$200,INDEX($U$4:$U$11,AC$2)+ROW()-5),AD$3&amp;"_#03")/(COUNTIF(INDEX($W$4:$W$200,INDEX($U$4:$U$11,AC$2)):INDEX($W$4:$W$200,INDEX($U$4:$U$11,AC$2)+ROW()-5),AD$3&amp;"_"&amp;AD$3)+COUNTIF(INDEX($W$4:$W$200,INDEX($U$4:$U$11,AC$2)):INDEX($W$4:$W$200,INDEX($U$4:$U$11,AC$2)+ROW()-5),AC$3&amp;"_"&amp;AD$3)))</f>
        <v>#N/A</v>
      </c>
      <c r="AI29" s="10" t="e">
        <f>IF(OR(ROW()-4&gt;INDEX($U$4:$U$11,AC$2+1)-INDEX($U$4:$U$11,AC$2),ROW()-4&gt;AD$2),NA(),(COUNTIF(INDEX($X$4:$X$200,INDEX($U$4:$U$11,AC$2)):INDEX($X$4:$X$200,INDEX($U$4:$U$11,AC$2)+ROW()-5),AC$3&amp;"_#03")-COUNTIF(INDEX($X$4:$X$200,INDEX($U$4:$U$11,AC$2)):INDEX($X$4:$X$200,INDEX($U$4:$U$11,AC$2)+ROW()-5),AD$3&amp;"_#02"))/(COUNTIF(INDEX($W$4:$W$200,INDEX($U$4:$U$11,AC$2)):INDEX($W$4:$W$200,INDEX($U$4:$U$11,AC$2)+ROW()-5),AC$3&amp;"_"&amp;AC$3)+COUNTIF(INDEX($W$4:$W$200,INDEX($U$4:$U$11,AC$2)):INDEX($W$4:$W$200,INDEX($U$4:$U$11,AC$2)+ROW()-5),AD$3&amp;"_"&amp;AC$3)))</f>
        <v>#N/A</v>
      </c>
      <c r="AJ29" s="10" t="e">
        <f>IF(OR(ROW()-4&gt;INDEX($U$4:$U$11,AC$2+1)-INDEX($U$4:$U$11,AC$2),ROW()-4&gt;AD$2),NA(),(COUNTIF(INDEX($X$4:$X$200,INDEX($U$4:$U$11,AC$2)):INDEX($X$4:$X$200,INDEX($U$4:$U$11,AC$2)+ROW()-5),AD$3&amp;"_#03")-COUNTIF(INDEX($X$4:$X$200,INDEX($U$4:$U$11,AC$2)):INDEX($X$4:$X$200,INDEX($U$4:$U$11,AC$2)+ROW()-5),AC$3&amp;"_#02"))/(COUNTIF(INDEX($W$4:$W$200,INDEX($U$4:$U$11,AC$2)):INDEX($W$4:$W$200,INDEX($U$4:$U$11,AC$2)+ROW()-5),AD$3&amp;"_"&amp;AD$3)+COUNTIF(INDEX($W$4:$W$200,INDEX($U$4:$U$11,AC$2)):INDEX($W$4:$W$200,INDEX($U$4:$U$11,AC$2)+ROW()-5),AC$3&amp;"_"&amp;AD$3)))</f>
        <v>#N/A</v>
      </c>
      <c r="AK29" s="10" t="e">
        <f>IF(OR(ROW()-4&gt;INDEX($U$4:$U$11,AC$2+1)-INDEX($U$4:$U$11,AC$2),ROW()-4&gt;AD$2),NA(),(COUNTIF(INDEX($X$4:$X$200,INDEX($U$4:$U$11,AC$2)):INDEX($X$4:$X$200,INDEX($U$4:$U$11,AC$2)+ROW()-5),AC$3&amp;"_#01")+COUNTIF(INDEX($X$4:$X$200,INDEX($U$4:$U$11,AC$2)):INDEX($X$4:$X$200,INDEX($U$4:$U$11,AC$2)+ROW()-5),AC$3&amp;"_#03"))/(COUNTIF(INDEX($W$4:$W$200,INDEX($U$4:$U$11,AC$2)):INDEX($W$4:$W$200,INDEX($U$4:$U$11,AC$2)+ROW()-5),AC$3&amp;"_"&amp;AC$3)+COUNTIF(INDEX($W$4:$W$200,INDEX($U$4:$U$11,AC$2)):INDEX($W$4:$W$200,INDEX($U$4:$U$11,AC$2)+ROW()-5),AD$3&amp;"_"&amp;AC$3)))</f>
        <v>#N/A</v>
      </c>
      <c r="AL29" s="10" t="e">
        <f>IF(OR(ROW()-4&gt;INDEX($U$4:$U$11,AC$2+1)-INDEX($U$4:$U$11,AC$2),ROW()-4&gt;AD$2),NA(),(COUNTIF(INDEX($X$4:$X$200,INDEX($U$4:$U$11,AC$2)):INDEX($X$4:$X$200,INDEX($U$4:$U$11,AC$2)+ROW()-5),AD$3&amp;"_#01")+COUNTIF(INDEX($X$4:$X$200,INDEX($U$4:$U$11,AC$2)):INDEX($X$4:$X$200,INDEX($U$4:$U$11,AC$2)+ROW()-5),AD$3&amp;"_#03"))/(COUNTIF(INDEX($W$4:$W$200,INDEX($U$4:$U$11,AC$2)):INDEX($W$4:$W$200,INDEX($U$4:$U$11,AC$2)+ROW()-5),AD$3&amp;"_"&amp;AD$3)+COUNTIF(INDEX($W$4:$W$200,INDEX($U$4:$U$11,AC$2)):INDEX($W$4:$W$200,INDEX($U$4:$U$11,AC$2)+ROW()-5),AC$3&amp;"_"&amp;AD$3)))</f>
        <v>#N/A</v>
      </c>
      <c r="AN29" t="str">
        <f t="shared" si="125"/>
        <v/>
      </c>
      <c r="AO29" t="str">
        <f t="shared" si="111"/>
        <v/>
      </c>
      <c r="AP29" t="str">
        <f t="shared" si="112"/>
        <v/>
      </c>
      <c r="AQ29" t="str">
        <f t="shared" si="113"/>
        <v/>
      </c>
      <c r="AR29" t="str">
        <f t="shared" si="114"/>
        <v/>
      </c>
      <c r="AS29" t="e">
        <f t="shared" si="115"/>
        <v>#VALUE!</v>
      </c>
      <c r="AT29" t="e">
        <f t="shared" si="116"/>
        <v>#VALUE!</v>
      </c>
      <c r="AV29" t="e">
        <f t="shared" si="117"/>
        <v>#VALUE!</v>
      </c>
      <c r="AW29" t="e">
        <f t="shared" si="63"/>
        <v>#VALUE!</v>
      </c>
      <c r="AX29" t="e">
        <f t="shared" si="64"/>
        <v>#VALUE!</v>
      </c>
      <c r="AY29" t="e">
        <f t="shared" si="65"/>
        <v>#VALUE!</v>
      </c>
      <c r="AZ29" t="e">
        <f t="shared" si="66"/>
        <v>#VALUE!</v>
      </c>
      <c r="BA29" t="e">
        <f t="shared" si="67"/>
        <v>#VALUE!</v>
      </c>
      <c r="BB29" t="e">
        <f t="shared" si="68"/>
        <v>#VALUE!</v>
      </c>
      <c r="BD29" t="e">
        <f t="shared" si="118"/>
        <v>#VALUE!</v>
      </c>
      <c r="BE29" t="e">
        <f t="shared" si="69"/>
        <v>#VALUE!</v>
      </c>
      <c r="BF29" t="e">
        <f t="shared" si="70"/>
        <v>#VALUE!</v>
      </c>
      <c r="BG29" t="e">
        <f t="shared" si="71"/>
        <v>#VALUE!</v>
      </c>
      <c r="BH29" t="e">
        <f t="shared" si="72"/>
        <v>#VALUE!</v>
      </c>
      <c r="BI29" t="e">
        <f t="shared" si="73"/>
        <v>#VALUE!</v>
      </c>
      <c r="BJ29" t="e">
        <f t="shared" si="74"/>
        <v>#VALUE!</v>
      </c>
      <c r="BL29" t="e">
        <f t="shared" si="119"/>
        <v>#VALUE!</v>
      </c>
      <c r="BM29" t="e">
        <f t="shared" si="75"/>
        <v>#VALUE!</v>
      </c>
      <c r="BN29" t="e">
        <f t="shared" si="76"/>
        <v>#VALUE!</v>
      </c>
      <c r="BO29" t="e">
        <f t="shared" si="77"/>
        <v>#VALUE!</v>
      </c>
      <c r="BP29" t="e">
        <f t="shared" si="78"/>
        <v>#VALUE!</v>
      </c>
      <c r="BQ29" t="e">
        <f t="shared" si="79"/>
        <v>#VALUE!</v>
      </c>
      <c r="BR29" t="e">
        <f t="shared" si="80"/>
        <v>#VALUE!</v>
      </c>
      <c r="BT29" t="e">
        <f t="shared" si="120"/>
        <v>#VALUE!</v>
      </c>
      <c r="BU29" t="e">
        <f t="shared" si="81"/>
        <v>#VALUE!</v>
      </c>
      <c r="BV29" t="e">
        <f t="shared" si="82"/>
        <v>#VALUE!</v>
      </c>
      <c r="BW29" t="e">
        <f t="shared" si="83"/>
        <v>#VALUE!</v>
      </c>
      <c r="BX29" t="e">
        <f t="shared" si="84"/>
        <v>#VALUE!</v>
      </c>
      <c r="BY29" t="e">
        <f t="shared" si="85"/>
        <v>#VALUE!</v>
      </c>
      <c r="BZ29" t="e">
        <f t="shared" si="86"/>
        <v>#VALUE!</v>
      </c>
      <c r="CB29" t="e">
        <f t="shared" si="121"/>
        <v>#VALUE!</v>
      </c>
      <c r="CC29" t="e">
        <f t="shared" si="87"/>
        <v>#VALUE!</v>
      </c>
      <c r="CD29" t="e">
        <f t="shared" si="88"/>
        <v>#VALUE!</v>
      </c>
      <c r="CE29" t="e">
        <f t="shared" si="89"/>
        <v>#VALUE!</v>
      </c>
      <c r="CF29" t="e">
        <f t="shared" si="90"/>
        <v>#VALUE!</v>
      </c>
      <c r="CG29" t="e">
        <f t="shared" si="91"/>
        <v>#VALUE!</v>
      </c>
      <c r="CH29" t="e">
        <f t="shared" si="92"/>
        <v>#VALUE!</v>
      </c>
      <c r="CJ29" t="e">
        <f t="shared" si="122"/>
        <v>#VALUE!</v>
      </c>
      <c r="CK29" t="e">
        <f t="shared" si="93"/>
        <v>#VALUE!</v>
      </c>
      <c r="CL29" t="e">
        <f t="shared" si="94"/>
        <v>#VALUE!</v>
      </c>
      <c r="CM29" t="e">
        <f t="shared" si="95"/>
        <v>#VALUE!</v>
      </c>
      <c r="CN29" t="e">
        <f t="shared" si="96"/>
        <v>#VALUE!</v>
      </c>
      <c r="CO29" t="e">
        <f t="shared" si="97"/>
        <v>#VALUE!</v>
      </c>
      <c r="CP29" t="e">
        <f t="shared" si="98"/>
        <v>#VALUE!</v>
      </c>
      <c r="CR29" t="e">
        <f t="shared" si="123"/>
        <v>#VALUE!</v>
      </c>
      <c r="CS29" t="e">
        <f t="shared" si="99"/>
        <v>#VALUE!</v>
      </c>
      <c r="CT29" t="e">
        <f t="shared" si="100"/>
        <v>#VALUE!</v>
      </c>
      <c r="CU29" t="e">
        <f t="shared" si="101"/>
        <v>#VALUE!</v>
      </c>
      <c r="CV29" t="e">
        <f t="shared" si="102"/>
        <v>#VALUE!</v>
      </c>
      <c r="CW29" t="e">
        <f t="shared" si="103"/>
        <v>#VALUE!</v>
      </c>
      <c r="CX29" t="e">
        <f t="shared" si="104"/>
        <v>#VALUE!</v>
      </c>
      <c r="CZ29" t="e">
        <f t="shared" si="124"/>
        <v>#VALUE!</v>
      </c>
      <c r="DA29" t="e">
        <f t="shared" si="105"/>
        <v>#VALUE!</v>
      </c>
      <c r="DB29" t="e">
        <f t="shared" si="106"/>
        <v>#VALUE!</v>
      </c>
      <c r="DC29" t="e">
        <f t="shared" si="107"/>
        <v>#VALUE!</v>
      </c>
      <c r="DD29" t="e">
        <f t="shared" si="108"/>
        <v>#VALUE!</v>
      </c>
      <c r="DE29" t="e">
        <f t="shared" si="109"/>
        <v>#VALUE!</v>
      </c>
      <c r="DF29" t="e">
        <f t="shared" si="110"/>
        <v>#VALUE!</v>
      </c>
      <c r="DH29" t="e">
        <f>IF(OR(ROW()-4&gt;INDEX($U$4:$U$11,$AC$2+1,1)-INDEX($U$4:$U$11,$AC$2,1),ROW()-4&gt;$AD$2),NA(),COUNTIF(INDEX($BL$5:$BR$50,INDEX($U$4:$U$11,1,1),$AC$2):INDEX($BL$5:$BR$50,INDEX($U$4:$U$11,1,1)+ROW()-5,$AC$2),DH$3))</f>
        <v>#N/A</v>
      </c>
      <c r="DI29" t="e">
        <f>IF(OR(ROW()-4&gt;INDEX($U$4:$U$11,$AC$2+1,1)-INDEX($U$4:$U$11,$AC$2,1),ROW()-4&gt;$AD$2),NA(),COUNTIF(INDEX($BL$5:$BR$50,INDEX($U$4:$U$11,1,1),$AC$2):INDEX($BL$5:$BR$50,INDEX($U$4:$U$11,1,1)+ROW()-5,$AC$2),DI$3))</f>
        <v>#N/A</v>
      </c>
      <c r="DJ29" t="e">
        <f>IF(OR(ROW()-4&gt;INDEX($U$4:$U$11,$AC$2+1,1)-INDEX($U$4:$U$11,$AC$2,1),ROW()-4&gt;$AD$2),NA(),COUNTIF(INDEX($BL$5:$BR$50,INDEX($U$4:$U$11,1,1),$AC$2):INDEX($BL$5:$BR$50,INDEX($U$4:$U$11,1,1)+ROW()-5,$AC$2),DJ$3))</f>
        <v>#N/A</v>
      </c>
      <c r="DL29" t="e">
        <f>IF(OR(ROW()-4&gt;INDEX($U$4:$U$11,$AC$2+1,1)-INDEX($U$4:$U$11,$AC$2,1),ROW()-4&gt;$AD$2),NA(),COUNTIF(INDEX($BL$5:$BR$50,INDEX($U$4:$U$11,1,1),$AC$2):INDEX($BL$5:$BR$50,INDEX($U$4:$U$11,1,1)+ROW()-5,$AC$2),DL$3))</f>
        <v>#N/A</v>
      </c>
      <c r="DM29" t="e">
        <f>IF(OR(ROW()-4&gt;INDEX($U$4:$U$11,$AC$2+1,1)-INDEX($U$4:$U$11,$AC$2,1),ROW()-4&gt;$AD$2),NA(),COUNTIF(INDEX($BL$5:$BR$50,INDEX($U$4:$U$11,1,1),$AC$2):INDEX($BL$5:$BR$50,INDEX($U$4:$U$11,1,1)+ROW()-5,$AC$2),DM$3))</f>
        <v>#N/A</v>
      </c>
      <c r="DN29" t="e">
        <f>IF(OR(ROW()-4&gt;INDEX($U$4:$U$11,$AC$2+1,1)-INDEX($U$4:$U$11,$AC$2,1),ROW()-4&gt;$AD$2),NA(),COUNTIF(INDEX($BL$5:$BR$50,INDEX($U$4:$U$11,1,1),$AC$2):INDEX($BL$5:$BR$50,INDEX($U$4:$U$11,1,1)+ROW()-5,$AC$2),DN$3))</f>
        <v>#N/A</v>
      </c>
      <c r="DP29" t="e">
        <f>IF(OR(ROW()-4&gt;INDEX($U$4:$U$11,$AC$2+1,1)-INDEX($U$4:$U$11,$AC$2,1),ROW()-4&gt;$AD$2),NA(),COUNTIF(INDEX($BT$5:$BZ$201,INDEX($U$4:$U$11,1,1),$AC$2):INDEX($BT$5:$BZ$201,INDEX($U$4:$U$11,1,1)+ROW()-5,$AC$2),DP$3))</f>
        <v>#N/A</v>
      </c>
      <c r="DQ29" t="e">
        <f>IF(OR(ROW()-4&gt;INDEX($U$4:$U$11,$AC$2+1,1)-INDEX($U$4:$U$11,$AC$2,1),ROW()-4&gt;$AD$2),NA(),COUNTIF(INDEX($BT$5:$BZ$201,INDEX($U$4:$U$11,1,1),$AC$2):INDEX($BT$5:$BZ$201,INDEX($U$4:$U$11,1,1)+ROW()-5,$AC$2),DQ$3))</f>
        <v>#N/A</v>
      </c>
      <c r="DS29" t="e">
        <f>IF(OR(ROW()-4&gt;INDEX($U$4:$U$11,$AC$2+1,1)-INDEX($U$4:$U$11,$AC$2,1),ROW()-4&gt;$AD$2),NA(),COUNTIF(INDEX($BT$5:$BZ$201,INDEX($U$4:$U$11,1,1),$AC$2):INDEX($BT$5:$BZ$201,INDEX($U$4:$U$11,1,1)+ROW()-5,$AC$2),DS$3))</f>
        <v>#N/A</v>
      </c>
      <c r="DT29" t="e">
        <f>IF(OR(ROW()-4&gt;INDEX($U$4:$U$11,$AC$2+1,1)-INDEX($U$4:$U$11,$AC$2,1),ROW()-4&gt;$AD$2),NA(),COUNTIF(INDEX($BT$5:$BZ$201,INDEX($U$4:$U$11,1,1),$AC$2):INDEX($BT$5:$BZ$201,INDEX($U$4:$U$11,1,1)+ROW()-5,$AC$2),DT$3))</f>
        <v>#N/A</v>
      </c>
      <c r="DV29" t="e">
        <f>IF(OR(ROW()-4&gt;INDEX($U$4:$U$11,$AC$2+1,1)-INDEX($U$4:$U$11,$AC$2,1),ROW()-4&gt;$AD$2),NA(),COUNTIF(INDEX($CB$5:$CH$201,INDEX($U$4:$U$11,1,1),$AC$2):INDEX($CB$5:$CH$201,INDEX($U$4:$U$11,1,1)+ROW()-5,$AC$2),DV$3))</f>
        <v>#N/A</v>
      </c>
      <c r="DW29" t="e">
        <f>IF(OR(ROW()-4&gt;INDEX($U$4:$U$11,$AC$2+1,1)-INDEX($U$4:$U$11,$AC$2,1),ROW()-4&gt;$AD$2),NA(),COUNTIF(INDEX($CB$5:$CH$201,INDEX($U$4:$U$11,1,1),$AC$2):INDEX($CB$5:$CH$201,INDEX($U$4:$U$11,1,1)+ROW()-5,$AC$2),DW$3))</f>
        <v>#N/A</v>
      </c>
      <c r="DX29" t="e">
        <f>IF(OR(ROW()-4&gt;INDEX($U$4:$U$11,$AC$2+1,1)-INDEX($U$4:$U$11,$AC$2,1),ROW()-4&gt;$AD$2),NA(),COUNTIF(INDEX($CB$5:$CH$201,INDEX($U$4:$U$11,1,1),$AC$2):INDEX($CB$5:$CH$201,INDEX($U$4:$U$11,1,1)+ROW()-5,$AC$2),DX$3))</f>
        <v>#N/A</v>
      </c>
      <c r="DY29" t="e">
        <f>IF(OR(ROW()-4&gt;INDEX($U$4:$U$11,$AC$2+1,1)-INDEX($U$4:$U$11,$AC$2,1),ROW()-4&gt;$AD$2),NA(),COUNTIF(INDEX($CB$5:$CH$201,INDEX($U$4:$U$11,1,1),$AC$2):INDEX($CB$5:$CH$201,INDEX($U$4:$U$11,1,1)+ROW()-5,$AC$2),DY$3))</f>
        <v>#N/A</v>
      </c>
      <c r="DZ29" t="e">
        <f>IF(OR(ROW()-4&gt;INDEX($U$4:$U$11,$AC$2+1,1)-INDEX($U$4:$U$11,$AC$2,1),ROW()-4&gt;$AD$2),NA(),COUNTIF(INDEX($CB$5:$CH$201,INDEX($U$4:$U$11,1,1),$AC$2):INDEX($CB$5:$CH$201,INDEX($U$4:$U$11,1,1)+ROW()-5,$AC$2),DZ$3))</f>
        <v>#N/A</v>
      </c>
      <c r="EA29" t="e">
        <f>IF(OR(ROW()-4&gt;INDEX($U$4:$U$11,$AC$2+1,1)-INDEX($U$4:$U$11,$AC$2,1),ROW()-4&gt;$AD$2),NA(),COUNTIF(INDEX($CB$5:$CH$201,INDEX($U$4:$U$11,1,1),$AC$2):INDEX($CB$5:$CH$201,INDEX($U$4:$U$11,1,1)+ROW()-5,$AC$2),EA$3))</f>
        <v>#N/A</v>
      </c>
      <c r="EB29" t="e">
        <f>IF(OR(ROW()-4&gt;INDEX($U$4:$U$11,$AC$2+1,1)-INDEX($U$4:$U$11,$AC$2,1),ROW()-4&gt;$AD$2),NA(),COUNTIF(INDEX($CB$5:$CH$201,INDEX($U$4:$U$11,1,1),$AC$2):INDEX($CB$5:$CH$201,INDEX($U$4:$U$11,1,1)+ROW()-5,$AC$2),EB$3))</f>
        <v>#N/A</v>
      </c>
      <c r="EC29" t="e">
        <f>IF(OR(ROW()-4&gt;INDEX($U$4:$U$11,$AC$2+1,1)-INDEX($U$4:$U$11,$AC$2,1),ROW()-4&gt;$AD$2),NA(),COUNTIF(INDEX($CB$5:$CH$201,INDEX($U$4:$U$11,1,1),$AC$2):INDEX($CB$5:$CH$201,INDEX($U$4:$U$11,1,1)+ROW()-5,$AC$2),EC$3))</f>
        <v>#N/A</v>
      </c>
      <c r="EE29" t="e">
        <f>IF(OR(ROW()-4&gt;INDEX($U$4:$U$11,$AC$2+1,1)-INDEX($U$4:$U$11,$AC$2,1),ROW()-4&gt;$AD$2),NA(),COUNTIF(INDEX($CB$5:$CH$201,INDEX($U$4:$U$11,1,1),$AC$2):INDEX($CB$5:$CH$201,INDEX($U$4:$U$11,1,1)+ROW()-5,$AC$2),EE$3))</f>
        <v>#N/A</v>
      </c>
      <c r="EF29" t="e">
        <f>IF(OR(ROW()-4&gt;INDEX($U$4:$U$11,$AC$2+1,1)-INDEX($U$4:$U$11,$AC$2,1),ROW()-4&gt;$AD$2),NA(),COUNTIF(INDEX($CB$5:$CH$201,INDEX($U$4:$U$11,1,1),$AC$2):INDEX($CB$5:$CH$201,INDEX($U$4:$U$11,1,1)+ROW()-5,$AC$2),EF$3))</f>
        <v>#N/A</v>
      </c>
      <c r="EG29" t="e">
        <f>IF(OR(ROW()-4&gt;INDEX($U$4:$U$11,$AC$2+1,1)-INDEX($U$4:$U$11,$AC$2,1),ROW()-4&gt;$AD$2),NA(),COUNTIF(INDEX($CB$5:$CH$201,INDEX($U$4:$U$11,1,1),$AC$2):INDEX($CB$5:$CH$201,INDEX($U$4:$U$11,1,1)+ROW()-5,$AC$2),EG$3))</f>
        <v>#N/A</v>
      </c>
      <c r="EH29" t="e">
        <f>IF(OR(ROW()-4&gt;INDEX($U$4:$U$11,$AC$2+1,1)-INDEX($U$4:$U$11,$AC$2,1),ROW()-4&gt;$AD$2),NA(),COUNTIF(INDEX($CB$5:$CH$201,INDEX($U$4:$U$11,1,1),$AC$2):INDEX($CB$5:$CH$201,INDEX($U$4:$U$11,1,1)+ROW()-5,$AC$2),EH$3))</f>
        <v>#N/A</v>
      </c>
      <c r="EI29" t="e">
        <f>IF(OR(ROW()-4&gt;INDEX($U$4:$U$11,$AC$2+1,1)-INDEX($U$4:$U$11,$AC$2,1),ROW()-4&gt;$AD$2),NA(),COUNTIF(INDEX($CB$5:$CH$201,INDEX($U$4:$U$11,1,1),$AC$2):INDEX($CB$5:$CH$201,INDEX($U$4:$U$11,1,1)+ROW()-5,$AC$2),EI$3))</f>
        <v>#N/A</v>
      </c>
      <c r="EJ29" t="e">
        <f>IF(OR(ROW()-4&gt;INDEX($U$4:$U$11,$AC$2+1,1)-INDEX($U$4:$U$11,$AC$2,1),ROW()-4&gt;$AD$2),NA(),COUNTIF(INDEX($CB$5:$CH$201,INDEX($U$4:$U$11,1,1),$AC$2):INDEX($CB$5:$CH$201,INDEX($U$4:$U$11,1,1)+ROW()-5,$AC$2),EJ$3))</f>
        <v>#N/A</v>
      </c>
      <c r="EK29" t="e">
        <f>IF(OR(ROW()-4&gt;INDEX($U$4:$U$11,$AC$2+1,1)-INDEX($U$4:$U$11,$AC$2,1),ROW()-4&gt;$AD$2),NA(),COUNTIF(INDEX($CB$5:$CH$201,INDEX($U$4:$U$11,1,1),$AC$2):INDEX($CB$5:$CH$201,INDEX($U$4:$U$11,1,1)+ROW()-5,$AC$2),EK$3))</f>
        <v>#N/A</v>
      </c>
      <c r="EL29" t="e">
        <f>IF(OR(ROW()-4&gt;INDEX($U$4:$U$11,$AC$2+1,1)-INDEX($U$4:$U$11,$AC$2,1),ROW()-4&gt;$AD$2),NA(),COUNTIF(INDEX($CB$5:$CH$201,INDEX($U$4:$U$11,1,1),$AC$2):INDEX($CB$5:$CH$201,INDEX($U$4:$U$11,1,1)+ROW()-5,$AC$2),EL$3))</f>
        <v>#N/A</v>
      </c>
      <c r="EN29" t="e">
        <f>IF(OR(ROW()-4&gt;INDEX($U$4:$U$11,$AC$2+1,1)-INDEX($U$4:$U$11,$AC$2,1),ROW()-4&gt;$AD$2),NA(),COUNTIF(INDEX($CJ$5:$CP$201,INDEX($U$4:$U$11,1,1),$AC$2):INDEX($CJ$5:$CP$201,INDEX($U$4:$U$11,1,1)+ROW()-5,$AC$2),EN$3))</f>
        <v>#N/A</v>
      </c>
      <c r="EO29" t="e">
        <f>IF(OR(ROW()-4&gt;INDEX($U$4:$U$11,$AC$2+1,1)-INDEX($U$4:$U$11,$AC$2,1),ROW()-4&gt;$AD$2),NA(),COUNTIF(INDEX($CJ$5:$CP$201,INDEX($U$4:$U$11,1,1),$AC$2):INDEX($CJ$5:$CP$201,INDEX($U$4:$U$11,1,1)+ROW()-5,$AC$2),EO$3))</f>
        <v>#N/A</v>
      </c>
      <c r="EQ29" t="e">
        <f>IF(OR(ROW()-4&gt;INDEX($U$4:$U$11,$AC$2+1,1)-INDEX($U$4:$U$11,$AC$2,1),ROW()-4&gt;$AD$2),NA(),COUNTIF(INDEX($CJ$5:$CP$201,INDEX($U$4:$U$11,1,1),$AC$2):INDEX($CJ$5:$CP$201,INDEX($U$4:$U$11,1,1)+ROW()-5,$AC$2),EQ$3))</f>
        <v>#N/A</v>
      </c>
      <c r="ER29" t="e">
        <f>IF(OR(ROW()-4&gt;INDEX($U$4:$U$11,$AC$2+1,1)-INDEX($U$4:$U$11,$AC$2,1),ROW()-4&gt;$AD$2),NA(),COUNTIF(INDEX($CJ$5:$CP$201,INDEX($U$4:$U$11,1,1),$AC$2):INDEX($CJ$5:$CP$201,INDEX($U$4:$U$11,1,1)+ROW()-5,$AC$2),ER$3))</f>
        <v>#N/A</v>
      </c>
      <c r="ET29" t="e">
        <f>IF(OR(ROW()-4&gt;INDEX($U$4:$U$11,$AC$2+1,1)-INDEX($U$4:$U$11,$AC$2,1),ROW()-4&gt;$AD$2),NA(),COUNTIF(INDEX($CR$5:$CX$201,INDEX($U$4:$U$11,1,1),$AC$2):INDEX($CR$5:$CX$201,INDEX($U$4:$U$11,1,1)+ROW()-5,$AC$2),ET$3))</f>
        <v>#N/A</v>
      </c>
      <c r="EU29" t="e">
        <f>IF(OR(ROW()-4&gt;INDEX($U$4:$U$11,$AC$2+1,1)-INDEX($U$4:$U$11,$AC$2,1),ROW()-4&gt;$AD$2),NA(),COUNTIF(INDEX($CR$5:$CX$201,INDEX($U$4:$U$11,1,1),$AC$2):INDEX($CR$5:$CX$201,INDEX($U$4:$U$11,1,1)+ROW()-5,$AC$2),EU$3))</f>
        <v>#N/A</v>
      </c>
      <c r="EV29" t="e">
        <f>IF(OR(ROW()-4&gt;INDEX($U$4:$U$11,$AC$2+1,1)-INDEX($U$4:$U$11,$AC$2,1),ROW()-4&gt;$AD$2),NA(),COUNTIF(INDEX($CR$5:$CX$201,INDEX($U$4:$U$11,1,1),$AC$2):INDEX($CR$5:$CX$201,INDEX($U$4:$U$11,1,1)+ROW()-5,$AC$2),EV$3))</f>
        <v>#N/A</v>
      </c>
      <c r="EW29" t="e">
        <f>IF(OR(ROW()-4&gt;INDEX($U$4:$U$11,$AC$2+1,1)-INDEX($U$4:$U$11,$AC$2,1),ROW()-4&gt;$AD$2),NA(),COUNTIF(INDEX($CR$5:$CX$201,INDEX($U$4:$U$11,1,1),$AC$2):INDEX($CR$5:$CX$201,INDEX($U$4:$U$11,1,1)+ROW()-5,$AC$2),EW$3))</f>
        <v>#N/A</v>
      </c>
      <c r="EX29" t="e">
        <f>IF(OR(ROW()-4&gt;INDEX($U$4:$U$11,$AC$2+1,1)-INDEX($U$4:$U$11,$AC$2,1),ROW()-4&gt;$AD$2),NA(),COUNTIF(INDEX($CR$5:$CX$201,INDEX($U$4:$U$11,1,1),$AC$2):INDEX($CR$5:$CX$201,INDEX($U$4:$U$11,1,1)+ROW()-5,$AC$2),EX$3))</f>
        <v>#N/A</v>
      </c>
      <c r="EY29" t="e">
        <f>IF(OR(ROW()-4&gt;INDEX($U$4:$U$11,$AC$2+1,1)-INDEX($U$4:$U$11,$AC$2,1),ROW()-4&gt;$AD$2),NA(),COUNTIF(INDEX($CR$5:$CX$201,INDEX($U$4:$U$11,1,1),$AC$2):INDEX($CR$5:$CX$201,INDEX($U$4:$U$11,1,1)+ROW()-5,$AC$2),EY$3))</f>
        <v>#N/A</v>
      </c>
      <c r="EZ29" t="e">
        <f>IF(OR(ROW()-4&gt;INDEX($U$4:$U$11,$AC$2+1,1)-INDEX($U$4:$U$11,$AC$2,1),ROW()-4&gt;$AD$2),NA(),COUNTIF(INDEX($CR$5:$CX$201,INDEX($U$4:$U$11,1,1),$AC$2):INDEX($CR$5:$CX$201,INDEX($U$4:$U$11,1,1)+ROW()-5,$AC$2),EZ$3))</f>
        <v>#N/A</v>
      </c>
      <c r="FA29" t="e">
        <f>IF(OR(ROW()-4&gt;INDEX($U$4:$U$11,$AC$2+1,1)-INDEX($U$4:$U$11,$AC$2,1),ROW()-4&gt;$AD$2),NA(),COUNTIF(INDEX($CR$5:$CX$201,INDEX($U$4:$U$11,1,1),$AC$2):INDEX($CR$5:$CX$201,INDEX($U$4:$U$11,1,1)+ROW()-5,$AC$2),FA$3))</f>
        <v>#N/A</v>
      </c>
      <c r="FC29" t="e">
        <f>IF(OR(ROW()-4&gt;INDEX($U$4:$U$11,$AC$2+1,1)-INDEX($U$4:$U$11,$AC$2,1),ROW()-4&gt;$AD$2),NA(),COUNTIF(INDEX($CR$5:$CX$201,INDEX($U$4:$U$11,1,1),$AC$2):INDEX($CR$5:$CX$201,INDEX($U$4:$U$11,1,1)+ROW()-5,$AC$2),FC$3))</f>
        <v>#N/A</v>
      </c>
      <c r="FD29" t="e">
        <f>IF(OR(ROW()-4&gt;INDEX($U$4:$U$11,$AC$2+1,1)-INDEX($U$4:$U$11,$AC$2,1),ROW()-4&gt;$AD$2),NA(),COUNTIF(INDEX($CR$5:$CX$201,INDEX($U$4:$U$11,1,1),$AC$2):INDEX($CR$5:$CX$201,INDEX($U$4:$U$11,1,1)+ROW()-5,$AC$2),FD$3))</f>
        <v>#N/A</v>
      </c>
      <c r="FE29" t="e">
        <f>IF(OR(ROW()-4&gt;INDEX($U$4:$U$11,$AC$2+1,1)-INDEX($U$4:$U$11,$AC$2,1),ROW()-4&gt;$AD$2),NA(),COUNTIF(INDEX($CR$5:$CX$201,INDEX($U$4:$U$11,1,1),$AC$2):INDEX($CR$5:$CX$201,INDEX($U$4:$U$11,1,1)+ROW()-5,$AC$2),FE$3))</f>
        <v>#N/A</v>
      </c>
      <c r="FF29" t="e">
        <f>IF(OR(ROW()-4&gt;INDEX($U$4:$U$11,$AC$2+1,1)-INDEX($U$4:$U$11,$AC$2,1),ROW()-4&gt;$AD$2),NA(),COUNTIF(INDEX($CR$5:$CX$201,INDEX($U$4:$U$11,1,1),$AC$2):INDEX($CR$5:$CX$201,INDEX($U$4:$U$11,1,1)+ROW()-5,$AC$2),FF$3))</f>
        <v>#N/A</v>
      </c>
      <c r="FG29" t="e">
        <f>IF(OR(ROW()-4&gt;INDEX($U$4:$U$11,$AC$2+1,1)-INDEX($U$4:$U$11,$AC$2,1),ROW()-4&gt;$AD$2),NA(),COUNTIF(INDEX($CR$5:$CX$201,INDEX($U$4:$U$11,1,1),$AC$2):INDEX($CR$5:$CX$201,INDEX($U$4:$U$11,1,1)+ROW()-5,$AC$2),FG$3))</f>
        <v>#N/A</v>
      </c>
      <c r="FH29" t="e">
        <f>IF(OR(ROW()-4&gt;INDEX($U$4:$U$11,$AC$2+1,1)-INDEX($U$4:$U$11,$AC$2,1),ROW()-4&gt;$AD$2),NA(),COUNTIF(INDEX($CR$5:$CX$201,INDEX($U$4:$U$11,1,1),$AC$2):INDEX($CR$5:$CX$201,INDEX($U$4:$U$11,1,1)+ROW()-5,$AC$2),FH$3))</f>
        <v>#N/A</v>
      </c>
      <c r="FI29" t="e">
        <f>IF(OR(ROW()-4&gt;INDEX($U$4:$U$11,$AC$2+1,1)-INDEX($U$4:$U$11,$AC$2,1),ROW()-4&gt;$AD$2),NA(),COUNTIF(INDEX($CR$5:$CX$201,INDEX($U$4:$U$11,1,1),$AC$2):INDEX($CR$5:$CX$201,INDEX($U$4:$U$11,1,1)+ROW()-5,$AC$2),FI$3))</f>
        <v>#N/A</v>
      </c>
      <c r="FJ29" t="e">
        <f>IF(OR(ROW()-4&gt;INDEX($U$4:$U$11,$AC$2+1,1)-INDEX($U$4:$U$11,$AC$2,1),ROW()-4&gt;$AD$2),NA(),COUNTIF(INDEX($CR$5:$CX$201,INDEX($U$4:$U$11,1,1),$AC$2):INDEX($CR$5:$CX$201,INDEX($U$4:$U$11,1,1)+ROW()-5,$AC$2),FJ$3))</f>
        <v>#N/A</v>
      </c>
      <c r="FL29" t="e">
        <f>IF(OR(ROW()-4&gt;INDEX($U$4:$U$11,$AC$2+1,1)-INDEX($U$4:$U$11,$AC$2,1),ROW()-4&gt;$AD$2),NA(),COUNTIF(INDEX($CZ$5:$DF$201,INDEX($U$4:$U$11,1,1),$AC$2):INDEX($CZ$5:$DF$201,INDEX($U$4:$U$11,1,1)+ROW()-5,$AC$2),FL$3))</f>
        <v>#N/A</v>
      </c>
      <c r="FM29" t="e">
        <f>IF(OR(ROW()-4&gt;INDEX($U$4:$U$11,$AC$2+1,1)-INDEX($U$4:$U$11,$AC$2,1),ROW()-4&gt;$AD$2),NA(),COUNTIF(INDEX($CZ$5:$DF$201,INDEX($U$4:$U$11,1,1),$AC$2):INDEX($CZ$5:$DF$201,INDEX($U$4:$U$11,1,1)+ROW()-5,$AC$2),FM$3))</f>
        <v>#N/A</v>
      </c>
      <c r="FN29" t="e">
        <f>IF(OR(ROW()-4&gt;INDEX($U$4:$U$11,$AC$2+1,1)-INDEX($U$4:$U$11,$AC$2,1),ROW()-4&gt;$AD$2),NA(),COUNTIF(INDEX($CZ$5:$DF$201,INDEX($U$4:$U$11,1,1),$AC$2):INDEX($CZ$5:$DF$201,INDEX($U$4:$U$11,1,1)+ROW()-5,$AC$2),FN$3))</f>
        <v>#N/A</v>
      </c>
      <c r="FO29" t="e">
        <f>IF(OR(ROW()-4&gt;INDEX($U$4:$U$11,$AC$2+1,1)-INDEX($U$4:$U$11,$AC$2,1),ROW()-4&gt;$AD$2),NA(),COUNTIF(INDEX($CZ$5:$DF$201,INDEX($U$4:$U$11,1,1),$AC$2):INDEX($CZ$5:$DF$201,INDEX($U$4:$U$11,1,1)+ROW()-5,$AC$2),FO$3))</f>
        <v>#N/A</v>
      </c>
      <c r="FP29" t="e">
        <f>IF(OR(ROW()-4&gt;INDEX($U$4:$U$11,$AC$2+1,1)-INDEX($U$4:$U$11,$AC$2,1),ROW()-4&gt;$AD$2),NA(),COUNTIF(INDEX($CZ$5:$DF$201,INDEX($U$4:$U$11,1,1),$AC$2):INDEX($CZ$5:$DF$201,INDEX($U$4:$U$11,1,1)+ROW()-5,$AC$2),FP$3))</f>
        <v>#N/A</v>
      </c>
      <c r="FQ29" t="e">
        <f>IF(OR(ROW()-4&gt;INDEX($U$4:$U$11,$AC$2+1,1)-INDEX($U$4:$U$11,$AC$2,1),ROW()-4&gt;$AD$2),NA(),COUNTIF(INDEX($CZ$5:$DF$201,INDEX($U$4:$U$11,1,1),$AC$2):INDEX($CZ$5:$DF$201,INDEX($U$4:$U$11,1,1)+ROW()-5,$AC$2),FQ$3))</f>
        <v>#N/A</v>
      </c>
      <c r="FR29" t="e">
        <f>IF(OR(ROW()-4&gt;INDEX($U$4:$U$11,$AC$2+1,1)-INDEX($U$4:$U$11,$AC$2,1),ROW()-4&gt;$AD$2),NA(),COUNTIF(INDEX($CZ$5:$DF$201,INDEX($U$4:$U$11,1,1),$AC$2):INDEX($CZ$5:$DF$201,INDEX($U$4:$U$11,1,1)+ROW()-5,$AC$2),FR$3))</f>
        <v>#N/A</v>
      </c>
      <c r="FS29" t="e">
        <f>IF(OR(ROW()-4&gt;INDEX($U$4:$U$11,$AC$2+1,1)-INDEX($U$4:$U$11,$AC$2,1),ROW()-4&gt;$AD$2),NA(),COUNTIF(INDEX($CZ$5:$DF$201,INDEX($U$4:$U$11,1,1),$AC$2):INDEX($CZ$5:$DF$201,INDEX($U$4:$U$11,1,1)+ROW()-5,$AC$2),FS$3))</f>
        <v>#N/A</v>
      </c>
      <c r="FT29" t="e">
        <f>IF(OR(ROW()-4&gt;INDEX($U$4:$U$11,$AC$2+1,1)-INDEX($U$4:$U$11,$AC$2,1),ROW()-4&gt;$AD$2),NA(),COUNTIF(INDEX($CZ$5:$DF$201,INDEX($U$4:$U$11,1,1),$AC$2):INDEX($CZ$5:$DF$201,INDEX($U$4:$U$11,1,1)+ROW()-5,$AC$2),FT$3))</f>
        <v>#N/A</v>
      </c>
      <c r="FU29" t="e">
        <f>IF(OR(ROW()-4&gt;INDEX($U$4:$U$11,$AC$2+1,1)-INDEX($U$4:$U$11,$AC$2,1),ROW()-4&gt;$AD$2),NA(),COUNTIF(INDEX($CZ$5:$DF$201,INDEX($U$4:$U$11,1,1),$AC$2):INDEX($CZ$5:$DF$201,INDEX($U$4:$U$11,1,1)+ROW()-5,$AC$2),FU$3))</f>
        <v>#N/A</v>
      </c>
      <c r="FW29" t="e">
        <f>IF(OR(ROW()-4&gt;INDEX($U$4:$U$11,$AC$2+1,1)-INDEX($U$4:$U$11,$AC$2,1),ROW()-4&gt;$AD$2),NA(),COUNTIF(INDEX($CZ$5:$DF$201,INDEX($U$4:$U$11,1,1),$AC$2):INDEX($CZ$5:$DF$201,INDEX($U$4:$U$11,1,1)+ROW()-5,$AC$2),FW$3))</f>
        <v>#N/A</v>
      </c>
      <c r="FX29" t="e">
        <f>IF(OR(ROW()-4&gt;INDEX($U$4:$U$11,$AC$2+1,1)-INDEX($U$4:$U$11,$AC$2,1),ROW()-4&gt;$AD$2),NA(),COUNTIF(INDEX($CZ$5:$DF$201,INDEX($U$4:$U$11,1,1),$AC$2):INDEX($CZ$5:$DF$201,INDEX($U$4:$U$11,1,1)+ROW()-5,$AC$2),FX$3))</f>
        <v>#N/A</v>
      </c>
      <c r="FY29" t="e">
        <f>IF(OR(ROW()-4&gt;INDEX($U$4:$U$11,$AC$2+1,1)-INDEX($U$4:$U$11,$AC$2,1),ROW()-4&gt;$AD$2),NA(),COUNTIF(INDEX($CZ$5:$DF$201,INDEX($U$4:$U$11,1,1),$AC$2):INDEX($CZ$5:$DF$201,INDEX($U$4:$U$11,1,1)+ROW()-5,$AC$2),FY$3))</f>
        <v>#N/A</v>
      </c>
      <c r="FZ29" t="e">
        <f>IF(OR(ROW()-4&gt;INDEX($U$4:$U$11,$AC$2+1,1)-INDEX($U$4:$U$11,$AC$2,1),ROW()-4&gt;$AD$2),NA(),COUNTIF(INDEX($CZ$5:$DF$201,INDEX($U$4:$U$11,1,1),$AC$2):INDEX($CZ$5:$DF$201,INDEX($U$4:$U$11,1,1)+ROW()-5,$AC$2),FZ$3))</f>
        <v>#N/A</v>
      </c>
      <c r="GA29" t="e">
        <f>IF(OR(ROW()-4&gt;INDEX($U$4:$U$11,$AC$2+1,1)-INDEX($U$4:$U$11,$AC$2,1),ROW()-4&gt;$AD$2),NA(),COUNTIF(INDEX($CZ$5:$DF$201,INDEX($U$4:$U$11,1,1),$AC$2):INDEX($CZ$5:$DF$201,INDEX($U$4:$U$11,1,1)+ROW()-5,$AC$2),GA$3))</f>
        <v>#N/A</v>
      </c>
      <c r="GB29" t="e">
        <f>IF(OR(ROW()-4&gt;INDEX($U$4:$U$11,$AC$2+1,1)-INDEX($U$4:$U$11,$AC$2,1),ROW()-4&gt;$AD$2),NA(),COUNTIF(INDEX($CZ$5:$DF$201,INDEX($U$4:$U$11,1,1),$AC$2):INDEX($CZ$5:$DF$201,INDEX($U$4:$U$11,1,1)+ROW()-5,$AC$2),GB$3))</f>
        <v>#N/A</v>
      </c>
      <c r="GC29" t="e">
        <f>IF(OR(ROW()-4&gt;INDEX($U$4:$U$11,$AC$2+1,1)-INDEX($U$4:$U$11,$AC$2,1),ROW()-4&gt;$AD$2),NA(),COUNTIF(INDEX($CZ$5:$DF$201,INDEX($U$4:$U$11,1,1),$AC$2):INDEX($CZ$5:$DF$201,INDEX($U$4:$U$11,1,1)+ROW()-5,$AC$2),GC$3))</f>
        <v>#N/A</v>
      </c>
      <c r="GD29" t="e">
        <f>IF(OR(ROW()-4&gt;INDEX($U$4:$U$11,$AC$2+1,1)-INDEX($U$4:$U$11,$AC$2,1),ROW()-4&gt;$AD$2),NA(),COUNTIF(INDEX($CZ$5:$DF$201,INDEX($U$4:$U$11,1,1),$AC$2):INDEX($CZ$5:$DF$201,INDEX($U$4:$U$11,1,1)+ROW()-5,$AC$2),GD$3))</f>
        <v>#N/A</v>
      </c>
      <c r="GE29" t="e">
        <f>IF(OR(ROW()-4&gt;INDEX($U$4:$U$11,$AC$2+1,1)-INDEX($U$4:$U$11,$AC$2,1),ROW()-4&gt;$AD$2),NA(),COUNTIF(INDEX($CZ$5:$DF$201,INDEX($U$4:$U$11,1,1),$AC$2):INDEX($CZ$5:$DF$201,INDEX($U$4:$U$11,1,1)+ROW()-5,$AC$2),GE$3))</f>
        <v>#N/A</v>
      </c>
      <c r="GF29" t="e">
        <f>IF(OR(ROW()-4&gt;INDEX($U$4:$U$11,$AC$2+1,1)-INDEX($U$4:$U$11,$AC$2,1),ROW()-4&gt;$AD$2),NA(),COUNTIF(INDEX($CZ$5:$DF$201,INDEX($U$4:$U$11,1,1),$AC$2):INDEX($CZ$5:$DF$201,INDEX($U$4:$U$11,1,1)+ROW()-5,$AC$2),GF$3))</f>
        <v>#N/A</v>
      </c>
      <c r="GK29" t="s">
        <v>36</v>
      </c>
      <c r="HE29" t="str">
        <f>$AD$3</f>
        <v>KIHARA Miyuu</v>
      </c>
    </row>
    <row r="30" spans="1:224" x14ac:dyDescent="0.45">
      <c r="A30" t="str">
        <f>データの貼付!A28</f>
        <v>KIHARA Miyuu</v>
      </c>
      <c r="B30">
        <f>データの貼付!B28</f>
        <v>6.9683796296296299E-3</v>
      </c>
      <c r="C30">
        <f>データの貼付!C28</f>
        <v>6.7187499999999986E-5</v>
      </c>
      <c r="D30">
        <f>データの貼付!D28</f>
        <v>6.9444444444444447E-4</v>
      </c>
      <c r="E30" t="str">
        <f>データの貼付!F28</f>
        <v>KIHARA Miyuu</v>
      </c>
      <c r="F30">
        <f>データの貼付!E28</f>
        <v>0</v>
      </c>
      <c r="G30" t="str">
        <f>データの貼付!G28</f>
        <v>#03</v>
      </c>
      <c r="H30" t="str">
        <f>データの貼付!H28</f>
        <v>KIHARA Miyuu</v>
      </c>
      <c r="I30" t="str">
        <f>データの貼付!I28</f>
        <v>(Side)</v>
      </c>
      <c r="J30" t="str">
        <f>データの貼付!J28</f>
        <v>B</v>
      </c>
      <c r="K30" t="str">
        <f>データの貼付!K28</f>
        <v>FMS</v>
      </c>
      <c r="L30" t="str">
        <f>データの貼付!L28</f>
        <v>B</v>
      </c>
      <c r="M30" t="str">
        <f>データの貼付!M28</f>
        <v>Chiquita</v>
      </c>
      <c r="N30" t="str">
        <f>データの貼付!N28</f>
        <v>FM</v>
      </c>
      <c r="R30">
        <f t="shared" si="59"/>
        <v>0</v>
      </c>
      <c r="S30">
        <f>SUM(R$4:R30)</f>
        <v>2</v>
      </c>
      <c r="T30" t="str">
        <f t="shared" si="60"/>
        <v/>
      </c>
      <c r="W30" t="str">
        <f t="shared" si="57"/>
        <v>KIHARA Miyuu_KIHARA Miyuu</v>
      </c>
      <c r="X30" t="str">
        <f t="shared" si="58"/>
        <v>KIHARA Miyuu_#03</v>
      </c>
      <c r="AC30" s="8" t="e">
        <f>IF(OR(ROW()-4&gt;INDEX($U$4:$U$11,AC$2+1)-INDEX($U$4:$U$11,AC$2),ROW()-4&gt;AD$2),NA(),COUNTIF(INDEX($W$4:$W$200,INDEX($U$4:$U$11,AC$2)):INDEX($W$4:$W$200,INDEX($U$4:$U$11,AC$2)+ROW()-5),AC$3&amp;"_"&amp;AC$3)/(COUNTIF(INDEX($W$4:$W$200,INDEX($U$4:$U$11,AC$2)):INDEX($W$4:$W$200,INDEX($U$4:$U$11,AC$2)+ROW()-5),AC$3&amp;"_"&amp;AC$3)+COUNTIF(INDEX($W$4:$W$200,INDEX($U$4:$U$11,AC$2)):INDEX($W$4:$W$200,INDEX($U$4:$U$11,AC$2)+ROW()-5),AD$3&amp;"_"&amp;AC$3)))</f>
        <v>#N/A</v>
      </c>
      <c r="AD30" s="8" t="e">
        <f>IF(OR(ROW()-4&gt;INDEX($U$4:$U$11,AC$2+1)-INDEX($U$4:$U$11,AC$2),ROW()-4&gt;AD$2),NA(),COUNTIF(INDEX($W$4:$W$200,INDEX($U$4:$U$11,AC$2)):INDEX($W$4:$W$200,INDEX($U$4:$U$11,AC$2)+ROW()-5),AD$3&amp;"_"&amp;AD$3)/(COUNTIF(INDEX($W$4:$W$200,INDEX($U$4:$U$11,AC$2)):INDEX($W$4:$W$200,INDEX($U$4:$U$11,AC$2)+ROW()-5),AD$3&amp;"_"&amp;AD$3)+COUNTIF(INDEX($W$4:$W$200,INDEX($U$4:$U$11,AC$2)):INDEX($W$4:$W$200,INDEX($U$4:$U$11,AC$2)+ROW()-5),AC$3&amp;"_"&amp;AD$3)))</f>
        <v>#N/A</v>
      </c>
      <c r="AE30" s="10" t="e">
        <f>IF(OR(ROW()-4&gt;INDEX($U$4:$U$11,AC$2+1)-INDEX($U$4:$U$11,AC$2),ROW()-4&gt;AD$2),NA(),COUNTIF(INDEX($W$4:$W$200,INDEX($U$4:$U$11,AC$2)):INDEX($W$4:$W$200,INDEX($U$4:$U$11,AC$2)+ROW()-5),AC$3&amp;"_"&amp;AD$3)/(COUNTIF(INDEX($W$4:$W$200,INDEX($U$4:$U$11,AC$2)):INDEX($W$4:$W$200,INDEX($U$4:$U$11,AC$2)+ROW()-5),AC$3&amp;"_"&amp;AD$3)+COUNTIF(INDEX($W$4:$W$200,INDEX($U$4:$U$11,AC$2)):INDEX($W$4:$W$200,INDEX($U$4:$U$11,AC$2)+ROW()-5),AD$3&amp;"_"&amp;AD$3)))</f>
        <v>#N/A</v>
      </c>
      <c r="AF30" s="10" t="e">
        <f>IF(OR(ROW()-4&gt;INDEX($U$4:$U$11,AC$2+1)-INDEX($U$4:$U$11,AC$2),ROW()-4&gt;AD$2),NA(),COUNTIF(INDEX($W$4:$W$200,INDEX($U$4:$U$11,AC$2)):INDEX($W$4:$W$200,INDEX($U$4:$U$11,AC$2)+ROW()-5),AD$3&amp;"_"&amp;AC$3)/(COUNTIF(INDEX($W$4:$W$200,INDEX($U$4:$U$11,AC$2)):INDEX($W$4:$W$200,INDEX($U$4:$U$11,AC$2)+ROW()-5),AD$3&amp;"_"&amp;AC$3)+COUNTIF(INDEX($W$4:$W$200,INDEX($U$4:$U$11,AC$2)):INDEX($W$4:$W$200,INDEX($U$4:$U$11,AC$2)+ROW()-5),AC$3&amp;"_"&amp;AC$3)))</f>
        <v>#N/A</v>
      </c>
      <c r="AG30" s="10" t="e">
        <f>IF(OR(ROW()-4&gt;INDEX($U$4:$U$11,AC$2+1)-INDEX($U$4:$U$11,AC$2),ROW()-4&gt;AD$2),NA(),COUNTIF(INDEX($X$4:$X$200,INDEX($U$4:$U$11,AC$2)):INDEX($X$4:$X$200,INDEX($U$4:$U$11,AC$2)+ROW()-5),AC$3&amp;"_#03")/(COUNTIF(INDEX($W$4:$W$200,INDEX($U$4:$U$11,AC$2)):INDEX($W$4:$W$200,INDEX($U$4:$U$11,AC$2)+ROW()-5),AC$3&amp;"_"&amp;AC$3)+COUNTIF(INDEX($W$4:$W$200,INDEX($U$4:$U$11,AC$2)):INDEX($W$4:$W$200,INDEX($U$4:$U$11,AC$2)+ROW()-5),AD$3&amp;"_"&amp;AC$3)))</f>
        <v>#N/A</v>
      </c>
      <c r="AH30" s="10" t="e">
        <f>IF(OR(ROW()-4&gt;INDEX($U$4:$U$11,AC$2+1)-INDEX($U$4:$U$11,AC$2),ROW()-4&gt;AD$2),NA(),COUNTIF(INDEX($X$4:$X$200,INDEX($U$4:$U$11,AC$2)):INDEX($X$4:$X$200,INDEX($U$4:$U$11,AC$2)+ROW()-5),AD$3&amp;"_#03")/(COUNTIF(INDEX($W$4:$W$200,INDEX($U$4:$U$11,AC$2)):INDEX($W$4:$W$200,INDEX($U$4:$U$11,AC$2)+ROW()-5),AD$3&amp;"_"&amp;AD$3)+COUNTIF(INDEX($W$4:$W$200,INDEX($U$4:$U$11,AC$2)):INDEX($W$4:$W$200,INDEX($U$4:$U$11,AC$2)+ROW()-5),AC$3&amp;"_"&amp;AD$3)))</f>
        <v>#N/A</v>
      </c>
      <c r="AI30" s="10" t="e">
        <f>IF(OR(ROW()-4&gt;INDEX($U$4:$U$11,AC$2+1)-INDEX($U$4:$U$11,AC$2),ROW()-4&gt;AD$2),NA(),(COUNTIF(INDEX($X$4:$X$200,INDEX($U$4:$U$11,AC$2)):INDEX($X$4:$X$200,INDEX($U$4:$U$11,AC$2)+ROW()-5),AC$3&amp;"_#03")-COUNTIF(INDEX($X$4:$X$200,INDEX($U$4:$U$11,AC$2)):INDEX($X$4:$X$200,INDEX($U$4:$U$11,AC$2)+ROW()-5),AD$3&amp;"_#02"))/(COUNTIF(INDEX($W$4:$W$200,INDEX($U$4:$U$11,AC$2)):INDEX($W$4:$W$200,INDEX($U$4:$U$11,AC$2)+ROW()-5),AC$3&amp;"_"&amp;AC$3)+COUNTIF(INDEX($W$4:$W$200,INDEX($U$4:$U$11,AC$2)):INDEX($W$4:$W$200,INDEX($U$4:$U$11,AC$2)+ROW()-5),AD$3&amp;"_"&amp;AC$3)))</f>
        <v>#N/A</v>
      </c>
      <c r="AJ30" s="10" t="e">
        <f>IF(OR(ROW()-4&gt;INDEX($U$4:$U$11,AC$2+1)-INDEX($U$4:$U$11,AC$2),ROW()-4&gt;AD$2),NA(),(COUNTIF(INDEX($X$4:$X$200,INDEX($U$4:$U$11,AC$2)):INDEX($X$4:$X$200,INDEX($U$4:$U$11,AC$2)+ROW()-5),AD$3&amp;"_#03")-COUNTIF(INDEX($X$4:$X$200,INDEX($U$4:$U$11,AC$2)):INDEX($X$4:$X$200,INDEX($U$4:$U$11,AC$2)+ROW()-5),AC$3&amp;"_#02"))/(COUNTIF(INDEX($W$4:$W$200,INDEX($U$4:$U$11,AC$2)):INDEX($W$4:$W$200,INDEX($U$4:$U$11,AC$2)+ROW()-5),AD$3&amp;"_"&amp;AD$3)+COUNTIF(INDEX($W$4:$W$200,INDEX($U$4:$U$11,AC$2)):INDEX($W$4:$W$200,INDEX($U$4:$U$11,AC$2)+ROW()-5),AC$3&amp;"_"&amp;AD$3)))</f>
        <v>#N/A</v>
      </c>
      <c r="AK30" s="10" t="e">
        <f>IF(OR(ROW()-4&gt;INDEX($U$4:$U$11,AC$2+1)-INDEX($U$4:$U$11,AC$2),ROW()-4&gt;AD$2),NA(),(COUNTIF(INDEX($X$4:$X$200,INDEX($U$4:$U$11,AC$2)):INDEX($X$4:$X$200,INDEX($U$4:$U$11,AC$2)+ROW()-5),AC$3&amp;"_#01")+COUNTIF(INDEX($X$4:$X$200,INDEX($U$4:$U$11,AC$2)):INDEX($X$4:$X$200,INDEX($U$4:$U$11,AC$2)+ROW()-5),AC$3&amp;"_#03"))/(COUNTIF(INDEX($W$4:$W$200,INDEX($U$4:$U$11,AC$2)):INDEX($W$4:$W$200,INDEX($U$4:$U$11,AC$2)+ROW()-5),AC$3&amp;"_"&amp;AC$3)+COUNTIF(INDEX($W$4:$W$200,INDEX($U$4:$U$11,AC$2)):INDEX($W$4:$W$200,INDEX($U$4:$U$11,AC$2)+ROW()-5),AD$3&amp;"_"&amp;AC$3)))</f>
        <v>#N/A</v>
      </c>
      <c r="AL30" s="10" t="e">
        <f>IF(OR(ROW()-4&gt;INDEX($U$4:$U$11,AC$2+1)-INDEX($U$4:$U$11,AC$2),ROW()-4&gt;AD$2),NA(),(COUNTIF(INDEX($X$4:$X$200,INDEX($U$4:$U$11,AC$2)):INDEX($X$4:$X$200,INDEX($U$4:$U$11,AC$2)+ROW()-5),AD$3&amp;"_#01")+COUNTIF(INDEX($X$4:$X$200,INDEX($U$4:$U$11,AC$2)):INDEX($X$4:$X$200,INDEX($U$4:$U$11,AC$2)+ROW()-5),AD$3&amp;"_#03"))/(COUNTIF(INDEX($W$4:$W$200,INDEX($U$4:$U$11,AC$2)):INDEX($W$4:$W$200,INDEX($U$4:$U$11,AC$2)+ROW()-5),AD$3&amp;"_"&amp;AD$3)+COUNTIF(INDEX($W$4:$W$200,INDEX($U$4:$U$11,AC$2)):INDEX($W$4:$W$200,INDEX($U$4:$U$11,AC$2)+ROW()-5),AC$3&amp;"_"&amp;AD$3)))</f>
        <v>#N/A</v>
      </c>
      <c r="AN30" t="str">
        <f t="shared" si="125"/>
        <v/>
      </c>
      <c r="AO30" t="str">
        <f t="shared" si="111"/>
        <v/>
      </c>
      <c r="AP30" t="str">
        <f t="shared" si="112"/>
        <v/>
      </c>
      <c r="AQ30" t="str">
        <f t="shared" si="113"/>
        <v/>
      </c>
      <c r="AR30" t="str">
        <f t="shared" si="114"/>
        <v/>
      </c>
      <c r="AS30" t="e">
        <f t="shared" si="115"/>
        <v>#VALUE!</v>
      </c>
      <c r="AT30" t="e">
        <f t="shared" si="116"/>
        <v>#VALUE!</v>
      </c>
      <c r="AV30" t="e">
        <f t="shared" si="117"/>
        <v>#VALUE!</v>
      </c>
      <c r="AW30" t="e">
        <f t="shared" si="63"/>
        <v>#VALUE!</v>
      </c>
      <c r="AX30" t="e">
        <f t="shared" si="64"/>
        <v>#VALUE!</v>
      </c>
      <c r="AY30" t="e">
        <f t="shared" si="65"/>
        <v>#VALUE!</v>
      </c>
      <c r="AZ30" t="e">
        <f t="shared" si="66"/>
        <v>#VALUE!</v>
      </c>
      <c r="BA30" t="e">
        <f t="shared" si="67"/>
        <v>#VALUE!</v>
      </c>
      <c r="BB30" t="e">
        <f t="shared" si="68"/>
        <v>#VALUE!</v>
      </c>
      <c r="BD30" t="e">
        <f t="shared" si="118"/>
        <v>#VALUE!</v>
      </c>
      <c r="BE30" t="e">
        <f t="shared" si="69"/>
        <v>#VALUE!</v>
      </c>
      <c r="BF30" t="e">
        <f t="shared" si="70"/>
        <v>#VALUE!</v>
      </c>
      <c r="BG30" t="e">
        <f t="shared" si="71"/>
        <v>#VALUE!</v>
      </c>
      <c r="BH30" t="e">
        <f t="shared" si="72"/>
        <v>#VALUE!</v>
      </c>
      <c r="BI30" t="e">
        <f t="shared" si="73"/>
        <v>#VALUE!</v>
      </c>
      <c r="BJ30" t="e">
        <f t="shared" si="74"/>
        <v>#VALUE!</v>
      </c>
      <c r="BL30" t="e">
        <f t="shared" si="119"/>
        <v>#VALUE!</v>
      </c>
      <c r="BM30" t="e">
        <f t="shared" si="75"/>
        <v>#VALUE!</v>
      </c>
      <c r="BN30" t="e">
        <f t="shared" si="76"/>
        <v>#VALUE!</v>
      </c>
      <c r="BO30" t="e">
        <f t="shared" si="77"/>
        <v>#VALUE!</v>
      </c>
      <c r="BP30" t="e">
        <f t="shared" si="78"/>
        <v>#VALUE!</v>
      </c>
      <c r="BQ30" t="e">
        <f t="shared" si="79"/>
        <v>#VALUE!</v>
      </c>
      <c r="BR30" t="e">
        <f t="shared" si="80"/>
        <v>#VALUE!</v>
      </c>
      <c r="BT30" t="e">
        <f t="shared" si="120"/>
        <v>#VALUE!</v>
      </c>
      <c r="BU30" t="e">
        <f t="shared" si="81"/>
        <v>#VALUE!</v>
      </c>
      <c r="BV30" t="e">
        <f t="shared" si="82"/>
        <v>#VALUE!</v>
      </c>
      <c r="BW30" t="e">
        <f t="shared" si="83"/>
        <v>#VALUE!</v>
      </c>
      <c r="BX30" t="e">
        <f t="shared" si="84"/>
        <v>#VALUE!</v>
      </c>
      <c r="BY30" t="e">
        <f t="shared" si="85"/>
        <v>#VALUE!</v>
      </c>
      <c r="BZ30" t="e">
        <f t="shared" si="86"/>
        <v>#VALUE!</v>
      </c>
      <c r="CB30" t="e">
        <f t="shared" si="121"/>
        <v>#VALUE!</v>
      </c>
      <c r="CC30" t="e">
        <f t="shared" si="87"/>
        <v>#VALUE!</v>
      </c>
      <c r="CD30" t="e">
        <f t="shared" si="88"/>
        <v>#VALUE!</v>
      </c>
      <c r="CE30" t="e">
        <f t="shared" si="89"/>
        <v>#VALUE!</v>
      </c>
      <c r="CF30" t="e">
        <f t="shared" si="90"/>
        <v>#VALUE!</v>
      </c>
      <c r="CG30" t="e">
        <f t="shared" si="91"/>
        <v>#VALUE!</v>
      </c>
      <c r="CH30" t="e">
        <f t="shared" si="92"/>
        <v>#VALUE!</v>
      </c>
      <c r="CJ30" t="e">
        <f t="shared" si="122"/>
        <v>#VALUE!</v>
      </c>
      <c r="CK30" t="e">
        <f t="shared" si="93"/>
        <v>#VALUE!</v>
      </c>
      <c r="CL30" t="e">
        <f t="shared" si="94"/>
        <v>#VALUE!</v>
      </c>
      <c r="CM30" t="e">
        <f t="shared" si="95"/>
        <v>#VALUE!</v>
      </c>
      <c r="CN30" t="e">
        <f t="shared" si="96"/>
        <v>#VALUE!</v>
      </c>
      <c r="CO30" t="e">
        <f t="shared" si="97"/>
        <v>#VALUE!</v>
      </c>
      <c r="CP30" t="e">
        <f t="shared" si="98"/>
        <v>#VALUE!</v>
      </c>
      <c r="CR30" t="e">
        <f t="shared" si="123"/>
        <v>#VALUE!</v>
      </c>
      <c r="CS30" t="e">
        <f t="shared" si="99"/>
        <v>#VALUE!</v>
      </c>
      <c r="CT30" t="e">
        <f t="shared" si="100"/>
        <v>#VALUE!</v>
      </c>
      <c r="CU30" t="e">
        <f t="shared" si="101"/>
        <v>#VALUE!</v>
      </c>
      <c r="CV30" t="e">
        <f t="shared" si="102"/>
        <v>#VALUE!</v>
      </c>
      <c r="CW30" t="e">
        <f t="shared" si="103"/>
        <v>#VALUE!</v>
      </c>
      <c r="CX30" t="e">
        <f t="shared" si="104"/>
        <v>#VALUE!</v>
      </c>
      <c r="CZ30" t="e">
        <f t="shared" si="124"/>
        <v>#VALUE!</v>
      </c>
      <c r="DA30" t="e">
        <f t="shared" si="105"/>
        <v>#VALUE!</v>
      </c>
      <c r="DB30" t="e">
        <f t="shared" si="106"/>
        <v>#VALUE!</v>
      </c>
      <c r="DC30" t="e">
        <f t="shared" si="107"/>
        <v>#VALUE!</v>
      </c>
      <c r="DD30" t="e">
        <f t="shared" si="108"/>
        <v>#VALUE!</v>
      </c>
      <c r="DE30" t="e">
        <f t="shared" si="109"/>
        <v>#VALUE!</v>
      </c>
      <c r="DF30" t="e">
        <f t="shared" si="110"/>
        <v>#VALUE!</v>
      </c>
      <c r="DH30" t="e">
        <f>IF(OR(ROW()-4&gt;INDEX($U$4:$U$11,$AC$2+1,1)-INDEX($U$4:$U$11,$AC$2,1),ROW()-4&gt;$AD$2),NA(),COUNTIF(INDEX($BL$5:$BR$50,INDEX($U$4:$U$11,1,1),$AC$2):INDEX($BL$5:$BR$50,INDEX($U$4:$U$11,1,1)+ROW()-5,$AC$2),DH$3))</f>
        <v>#N/A</v>
      </c>
      <c r="DI30" t="e">
        <f>IF(OR(ROW()-4&gt;INDEX($U$4:$U$11,$AC$2+1,1)-INDEX($U$4:$U$11,$AC$2,1),ROW()-4&gt;$AD$2),NA(),COUNTIF(INDEX($BL$5:$BR$50,INDEX($U$4:$U$11,1,1),$AC$2):INDEX($BL$5:$BR$50,INDEX($U$4:$U$11,1,1)+ROW()-5,$AC$2),DI$3))</f>
        <v>#N/A</v>
      </c>
      <c r="DJ30" t="e">
        <f>IF(OR(ROW()-4&gt;INDEX($U$4:$U$11,$AC$2+1,1)-INDEX($U$4:$U$11,$AC$2,1),ROW()-4&gt;$AD$2),NA(),COUNTIF(INDEX($BL$5:$BR$50,INDEX($U$4:$U$11,1,1),$AC$2):INDEX($BL$5:$BR$50,INDEX($U$4:$U$11,1,1)+ROW()-5,$AC$2),DJ$3))</f>
        <v>#N/A</v>
      </c>
      <c r="DL30" t="e">
        <f>IF(OR(ROW()-4&gt;INDEX($U$4:$U$11,$AC$2+1,1)-INDEX($U$4:$U$11,$AC$2,1),ROW()-4&gt;$AD$2),NA(),COUNTIF(INDEX($BL$5:$BR$50,INDEX($U$4:$U$11,1,1),$AC$2):INDEX($BL$5:$BR$50,INDEX($U$4:$U$11,1,1)+ROW()-5,$AC$2),DL$3))</f>
        <v>#N/A</v>
      </c>
      <c r="DM30" t="e">
        <f>IF(OR(ROW()-4&gt;INDEX($U$4:$U$11,$AC$2+1,1)-INDEX($U$4:$U$11,$AC$2,1),ROW()-4&gt;$AD$2),NA(),COUNTIF(INDEX($BL$5:$BR$50,INDEX($U$4:$U$11,1,1),$AC$2):INDEX($BL$5:$BR$50,INDEX($U$4:$U$11,1,1)+ROW()-5,$AC$2),DM$3))</f>
        <v>#N/A</v>
      </c>
      <c r="DN30" t="e">
        <f>IF(OR(ROW()-4&gt;INDEX($U$4:$U$11,$AC$2+1,1)-INDEX($U$4:$U$11,$AC$2,1),ROW()-4&gt;$AD$2),NA(),COUNTIF(INDEX($BL$5:$BR$50,INDEX($U$4:$U$11,1,1),$AC$2):INDEX($BL$5:$BR$50,INDEX($U$4:$U$11,1,1)+ROW()-5,$AC$2),DN$3))</f>
        <v>#N/A</v>
      </c>
      <c r="DP30" t="e">
        <f>IF(OR(ROW()-4&gt;INDEX($U$4:$U$11,$AC$2+1,1)-INDEX($U$4:$U$11,$AC$2,1),ROW()-4&gt;$AD$2),NA(),COUNTIF(INDEX($BT$5:$BZ$201,INDEX($U$4:$U$11,1,1),$AC$2):INDEX($BT$5:$BZ$201,INDEX($U$4:$U$11,1,1)+ROW()-5,$AC$2),DP$3))</f>
        <v>#N/A</v>
      </c>
      <c r="DQ30" t="e">
        <f>IF(OR(ROW()-4&gt;INDEX($U$4:$U$11,$AC$2+1,1)-INDEX($U$4:$U$11,$AC$2,1),ROW()-4&gt;$AD$2),NA(),COUNTIF(INDEX($BT$5:$BZ$201,INDEX($U$4:$U$11,1,1),$AC$2):INDEX($BT$5:$BZ$201,INDEX($U$4:$U$11,1,1)+ROW()-5,$AC$2),DQ$3))</f>
        <v>#N/A</v>
      </c>
      <c r="DS30" t="e">
        <f>IF(OR(ROW()-4&gt;INDEX($U$4:$U$11,$AC$2+1,1)-INDEX($U$4:$U$11,$AC$2,1),ROW()-4&gt;$AD$2),NA(),COUNTIF(INDEX($BT$5:$BZ$201,INDEX($U$4:$U$11,1,1),$AC$2):INDEX($BT$5:$BZ$201,INDEX($U$4:$U$11,1,1)+ROW()-5,$AC$2),DS$3))</f>
        <v>#N/A</v>
      </c>
      <c r="DT30" t="e">
        <f>IF(OR(ROW()-4&gt;INDEX($U$4:$U$11,$AC$2+1,1)-INDEX($U$4:$U$11,$AC$2,1),ROW()-4&gt;$AD$2),NA(),COUNTIF(INDEX($BT$5:$BZ$201,INDEX($U$4:$U$11,1,1),$AC$2):INDEX($BT$5:$BZ$201,INDEX($U$4:$U$11,1,1)+ROW()-5,$AC$2),DT$3))</f>
        <v>#N/A</v>
      </c>
      <c r="DV30" t="e">
        <f>IF(OR(ROW()-4&gt;INDEX($U$4:$U$11,$AC$2+1,1)-INDEX($U$4:$U$11,$AC$2,1),ROW()-4&gt;$AD$2),NA(),COUNTIF(INDEX($CB$5:$CH$201,INDEX($U$4:$U$11,1,1),$AC$2):INDEX($CB$5:$CH$201,INDEX($U$4:$U$11,1,1)+ROW()-5,$AC$2),DV$3))</f>
        <v>#N/A</v>
      </c>
      <c r="DW30" t="e">
        <f>IF(OR(ROW()-4&gt;INDEX($U$4:$U$11,$AC$2+1,1)-INDEX($U$4:$U$11,$AC$2,1),ROW()-4&gt;$AD$2),NA(),COUNTIF(INDEX($CB$5:$CH$201,INDEX($U$4:$U$11,1,1),$AC$2):INDEX($CB$5:$CH$201,INDEX($U$4:$U$11,1,1)+ROW()-5,$AC$2),DW$3))</f>
        <v>#N/A</v>
      </c>
      <c r="DX30" t="e">
        <f>IF(OR(ROW()-4&gt;INDEX($U$4:$U$11,$AC$2+1,1)-INDEX($U$4:$U$11,$AC$2,1),ROW()-4&gt;$AD$2),NA(),COUNTIF(INDEX($CB$5:$CH$201,INDEX($U$4:$U$11,1,1),$AC$2):INDEX($CB$5:$CH$201,INDEX($U$4:$U$11,1,1)+ROW()-5,$AC$2),DX$3))</f>
        <v>#N/A</v>
      </c>
      <c r="DY30" t="e">
        <f>IF(OR(ROW()-4&gt;INDEX($U$4:$U$11,$AC$2+1,1)-INDEX($U$4:$U$11,$AC$2,1),ROW()-4&gt;$AD$2),NA(),COUNTIF(INDEX($CB$5:$CH$201,INDEX($U$4:$U$11,1,1),$AC$2):INDEX($CB$5:$CH$201,INDEX($U$4:$U$11,1,1)+ROW()-5,$AC$2),DY$3))</f>
        <v>#N/A</v>
      </c>
      <c r="DZ30" t="e">
        <f>IF(OR(ROW()-4&gt;INDEX($U$4:$U$11,$AC$2+1,1)-INDEX($U$4:$U$11,$AC$2,1),ROW()-4&gt;$AD$2),NA(),COUNTIF(INDEX($CB$5:$CH$201,INDEX($U$4:$U$11,1,1),$AC$2):INDEX($CB$5:$CH$201,INDEX($U$4:$U$11,1,1)+ROW()-5,$AC$2),DZ$3))</f>
        <v>#N/A</v>
      </c>
      <c r="EA30" t="e">
        <f>IF(OR(ROW()-4&gt;INDEX($U$4:$U$11,$AC$2+1,1)-INDEX($U$4:$U$11,$AC$2,1),ROW()-4&gt;$AD$2),NA(),COUNTIF(INDEX($CB$5:$CH$201,INDEX($U$4:$U$11,1,1),$AC$2):INDEX($CB$5:$CH$201,INDEX($U$4:$U$11,1,1)+ROW()-5,$AC$2),EA$3))</f>
        <v>#N/A</v>
      </c>
      <c r="EB30" t="e">
        <f>IF(OR(ROW()-4&gt;INDEX($U$4:$U$11,$AC$2+1,1)-INDEX($U$4:$U$11,$AC$2,1),ROW()-4&gt;$AD$2),NA(),COUNTIF(INDEX($CB$5:$CH$201,INDEX($U$4:$U$11,1,1),$AC$2):INDEX($CB$5:$CH$201,INDEX($U$4:$U$11,1,1)+ROW()-5,$AC$2),EB$3))</f>
        <v>#N/A</v>
      </c>
      <c r="EC30" t="e">
        <f>IF(OR(ROW()-4&gt;INDEX($U$4:$U$11,$AC$2+1,1)-INDEX($U$4:$U$11,$AC$2,1),ROW()-4&gt;$AD$2),NA(),COUNTIF(INDEX($CB$5:$CH$201,INDEX($U$4:$U$11,1,1),$AC$2):INDEX($CB$5:$CH$201,INDEX($U$4:$U$11,1,1)+ROW()-5,$AC$2),EC$3))</f>
        <v>#N/A</v>
      </c>
      <c r="EE30" t="e">
        <f>IF(OR(ROW()-4&gt;INDEX($U$4:$U$11,$AC$2+1,1)-INDEX($U$4:$U$11,$AC$2,1),ROW()-4&gt;$AD$2),NA(),COUNTIF(INDEX($CB$5:$CH$201,INDEX($U$4:$U$11,1,1),$AC$2):INDEX($CB$5:$CH$201,INDEX($U$4:$U$11,1,1)+ROW()-5,$AC$2),EE$3))</f>
        <v>#N/A</v>
      </c>
      <c r="EF30" t="e">
        <f>IF(OR(ROW()-4&gt;INDEX($U$4:$U$11,$AC$2+1,1)-INDEX($U$4:$U$11,$AC$2,1),ROW()-4&gt;$AD$2),NA(),COUNTIF(INDEX($CB$5:$CH$201,INDEX($U$4:$U$11,1,1),$AC$2):INDEX($CB$5:$CH$201,INDEX($U$4:$U$11,1,1)+ROW()-5,$AC$2),EF$3))</f>
        <v>#N/A</v>
      </c>
      <c r="EG30" t="e">
        <f>IF(OR(ROW()-4&gt;INDEX($U$4:$U$11,$AC$2+1,1)-INDEX($U$4:$U$11,$AC$2,1),ROW()-4&gt;$AD$2),NA(),COUNTIF(INDEX($CB$5:$CH$201,INDEX($U$4:$U$11,1,1),$AC$2):INDEX($CB$5:$CH$201,INDEX($U$4:$U$11,1,1)+ROW()-5,$AC$2),EG$3))</f>
        <v>#N/A</v>
      </c>
      <c r="EH30" t="e">
        <f>IF(OR(ROW()-4&gt;INDEX($U$4:$U$11,$AC$2+1,1)-INDEX($U$4:$U$11,$AC$2,1),ROW()-4&gt;$AD$2),NA(),COUNTIF(INDEX($CB$5:$CH$201,INDEX($U$4:$U$11,1,1),$AC$2):INDEX($CB$5:$CH$201,INDEX($U$4:$U$11,1,1)+ROW()-5,$AC$2),EH$3))</f>
        <v>#N/A</v>
      </c>
      <c r="EI30" t="e">
        <f>IF(OR(ROW()-4&gt;INDEX($U$4:$U$11,$AC$2+1,1)-INDEX($U$4:$U$11,$AC$2,1),ROW()-4&gt;$AD$2),NA(),COUNTIF(INDEX($CB$5:$CH$201,INDEX($U$4:$U$11,1,1),$AC$2):INDEX($CB$5:$CH$201,INDEX($U$4:$U$11,1,1)+ROW()-5,$AC$2),EI$3))</f>
        <v>#N/A</v>
      </c>
      <c r="EJ30" t="e">
        <f>IF(OR(ROW()-4&gt;INDEX($U$4:$U$11,$AC$2+1,1)-INDEX($U$4:$U$11,$AC$2,1),ROW()-4&gt;$AD$2),NA(),COUNTIF(INDEX($CB$5:$CH$201,INDEX($U$4:$U$11,1,1),$AC$2):INDEX($CB$5:$CH$201,INDEX($U$4:$U$11,1,1)+ROW()-5,$AC$2),EJ$3))</f>
        <v>#N/A</v>
      </c>
      <c r="EK30" t="e">
        <f>IF(OR(ROW()-4&gt;INDEX($U$4:$U$11,$AC$2+1,1)-INDEX($U$4:$U$11,$AC$2,1),ROW()-4&gt;$AD$2),NA(),COUNTIF(INDEX($CB$5:$CH$201,INDEX($U$4:$U$11,1,1),$AC$2):INDEX($CB$5:$CH$201,INDEX($U$4:$U$11,1,1)+ROW()-5,$AC$2),EK$3))</f>
        <v>#N/A</v>
      </c>
      <c r="EL30" t="e">
        <f>IF(OR(ROW()-4&gt;INDEX($U$4:$U$11,$AC$2+1,1)-INDEX($U$4:$U$11,$AC$2,1),ROW()-4&gt;$AD$2),NA(),COUNTIF(INDEX($CB$5:$CH$201,INDEX($U$4:$U$11,1,1),$AC$2):INDEX($CB$5:$CH$201,INDEX($U$4:$U$11,1,1)+ROW()-5,$AC$2),EL$3))</f>
        <v>#N/A</v>
      </c>
      <c r="EN30" t="e">
        <f>IF(OR(ROW()-4&gt;INDEX($U$4:$U$11,$AC$2+1,1)-INDEX($U$4:$U$11,$AC$2,1),ROW()-4&gt;$AD$2),NA(),COUNTIF(INDEX($CJ$5:$CP$201,INDEX($U$4:$U$11,1,1),$AC$2):INDEX($CJ$5:$CP$201,INDEX($U$4:$U$11,1,1)+ROW()-5,$AC$2),EN$3))</f>
        <v>#N/A</v>
      </c>
      <c r="EO30" t="e">
        <f>IF(OR(ROW()-4&gt;INDEX($U$4:$U$11,$AC$2+1,1)-INDEX($U$4:$U$11,$AC$2,1),ROW()-4&gt;$AD$2),NA(),COUNTIF(INDEX($CJ$5:$CP$201,INDEX($U$4:$U$11,1,1),$AC$2):INDEX($CJ$5:$CP$201,INDEX($U$4:$U$11,1,1)+ROW()-5,$AC$2),EO$3))</f>
        <v>#N/A</v>
      </c>
      <c r="EQ30" t="e">
        <f>IF(OR(ROW()-4&gt;INDEX($U$4:$U$11,$AC$2+1,1)-INDEX($U$4:$U$11,$AC$2,1),ROW()-4&gt;$AD$2),NA(),COUNTIF(INDEX($CJ$5:$CP$201,INDEX($U$4:$U$11,1,1),$AC$2):INDEX($CJ$5:$CP$201,INDEX($U$4:$U$11,1,1)+ROW()-5,$AC$2),EQ$3))</f>
        <v>#N/A</v>
      </c>
      <c r="ER30" t="e">
        <f>IF(OR(ROW()-4&gt;INDEX($U$4:$U$11,$AC$2+1,1)-INDEX($U$4:$U$11,$AC$2,1),ROW()-4&gt;$AD$2),NA(),COUNTIF(INDEX($CJ$5:$CP$201,INDEX($U$4:$U$11,1,1),$AC$2):INDEX($CJ$5:$CP$201,INDEX($U$4:$U$11,1,1)+ROW()-5,$AC$2),ER$3))</f>
        <v>#N/A</v>
      </c>
      <c r="ET30" t="e">
        <f>IF(OR(ROW()-4&gt;INDEX($U$4:$U$11,$AC$2+1,1)-INDEX($U$4:$U$11,$AC$2,1),ROW()-4&gt;$AD$2),NA(),COUNTIF(INDEX($CR$5:$CX$201,INDEX($U$4:$U$11,1,1),$AC$2):INDEX($CR$5:$CX$201,INDEX($U$4:$U$11,1,1)+ROW()-5,$AC$2),ET$3))</f>
        <v>#N/A</v>
      </c>
      <c r="EU30" t="e">
        <f>IF(OR(ROW()-4&gt;INDEX($U$4:$U$11,$AC$2+1,1)-INDEX($U$4:$U$11,$AC$2,1),ROW()-4&gt;$AD$2),NA(),COUNTIF(INDEX($CR$5:$CX$201,INDEX($U$4:$U$11,1,1),$AC$2):INDEX($CR$5:$CX$201,INDEX($U$4:$U$11,1,1)+ROW()-5,$AC$2),EU$3))</f>
        <v>#N/A</v>
      </c>
      <c r="EV30" t="e">
        <f>IF(OR(ROW()-4&gt;INDEX($U$4:$U$11,$AC$2+1,1)-INDEX($U$4:$U$11,$AC$2,1),ROW()-4&gt;$AD$2),NA(),COUNTIF(INDEX($CR$5:$CX$201,INDEX($U$4:$U$11,1,1),$AC$2):INDEX($CR$5:$CX$201,INDEX($U$4:$U$11,1,1)+ROW()-5,$AC$2),EV$3))</f>
        <v>#N/A</v>
      </c>
      <c r="EW30" t="e">
        <f>IF(OR(ROW()-4&gt;INDEX($U$4:$U$11,$AC$2+1,1)-INDEX($U$4:$U$11,$AC$2,1),ROW()-4&gt;$AD$2),NA(),COUNTIF(INDEX($CR$5:$CX$201,INDEX($U$4:$U$11,1,1),$AC$2):INDEX($CR$5:$CX$201,INDEX($U$4:$U$11,1,1)+ROW()-5,$AC$2),EW$3))</f>
        <v>#N/A</v>
      </c>
      <c r="EX30" t="e">
        <f>IF(OR(ROW()-4&gt;INDEX($U$4:$U$11,$AC$2+1,1)-INDEX($U$4:$U$11,$AC$2,1),ROW()-4&gt;$AD$2),NA(),COUNTIF(INDEX($CR$5:$CX$201,INDEX($U$4:$U$11,1,1),$AC$2):INDEX($CR$5:$CX$201,INDEX($U$4:$U$11,1,1)+ROW()-5,$AC$2),EX$3))</f>
        <v>#N/A</v>
      </c>
      <c r="EY30" t="e">
        <f>IF(OR(ROW()-4&gt;INDEX($U$4:$U$11,$AC$2+1,1)-INDEX($U$4:$U$11,$AC$2,1),ROW()-4&gt;$AD$2),NA(),COUNTIF(INDEX($CR$5:$CX$201,INDEX($U$4:$U$11,1,1),$AC$2):INDEX($CR$5:$CX$201,INDEX($U$4:$U$11,1,1)+ROW()-5,$AC$2),EY$3))</f>
        <v>#N/A</v>
      </c>
      <c r="EZ30" t="e">
        <f>IF(OR(ROW()-4&gt;INDEX($U$4:$U$11,$AC$2+1,1)-INDEX($U$4:$U$11,$AC$2,1),ROW()-4&gt;$AD$2),NA(),COUNTIF(INDEX($CR$5:$CX$201,INDEX($U$4:$U$11,1,1),$AC$2):INDEX($CR$5:$CX$201,INDEX($U$4:$U$11,1,1)+ROW()-5,$AC$2),EZ$3))</f>
        <v>#N/A</v>
      </c>
      <c r="FA30" t="e">
        <f>IF(OR(ROW()-4&gt;INDEX($U$4:$U$11,$AC$2+1,1)-INDEX($U$4:$U$11,$AC$2,1),ROW()-4&gt;$AD$2),NA(),COUNTIF(INDEX($CR$5:$CX$201,INDEX($U$4:$U$11,1,1),$AC$2):INDEX($CR$5:$CX$201,INDEX($U$4:$U$11,1,1)+ROW()-5,$AC$2),FA$3))</f>
        <v>#N/A</v>
      </c>
      <c r="FC30" t="e">
        <f>IF(OR(ROW()-4&gt;INDEX($U$4:$U$11,$AC$2+1,1)-INDEX($U$4:$U$11,$AC$2,1),ROW()-4&gt;$AD$2),NA(),COUNTIF(INDEX($CR$5:$CX$201,INDEX($U$4:$U$11,1,1),$AC$2):INDEX($CR$5:$CX$201,INDEX($U$4:$U$11,1,1)+ROW()-5,$AC$2),FC$3))</f>
        <v>#N/A</v>
      </c>
      <c r="FD30" t="e">
        <f>IF(OR(ROW()-4&gt;INDEX($U$4:$U$11,$AC$2+1,1)-INDEX($U$4:$U$11,$AC$2,1),ROW()-4&gt;$AD$2),NA(),COUNTIF(INDEX($CR$5:$CX$201,INDEX($U$4:$U$11,1,1),$AC$2):INDEX($CR$5:$CX$201,INDEX($U$4:$U$11,1,1)+ROW()-5,$AC$2),FD$3))</f>
        <v>#N/A</v>
      </c>
      <c r="FE30" t="e">
        <f>IF(OR(ROW()-4&gt;INDEX($U$4:$U$11,$AC$2+1,1)-INDEX($U$4:$U$11,$AC$2,1),ROW()-4&gt;$AD$2),NA(),COUNTIF(INDEX($CR$5:$CX$201,INDEX($U$4:$U$11,1,1),$AC$2):INDEX($CR$5:$CX$201,INDEX($U$4:$U$11,1,1)+ROW()-5,$AC$2),FE$3))</f>
        <v>#N/A</v>
      </c>
      <c r="FF30" t="e">
        <f>IF(OR(ROW()-4&gt;INDEX($U$4:$U$11,$AC$2+1,1)-INDEX($U$4:$U$11,$AC$2,1),ROW()-4&gt;$AD$2),NA(),COUNTIF(INDEX($CR$5:$CX$201,INDEX($U$4:$U$11,1,1),$AC$2):INDEX($CR$5:$CX$201,INDEX($U$4:$U$11,1,1)+ROW()-5,$AC$2),FF$3))</f>
        <v>#N/A</v>
      </c>
      <c r="FG30" t="e">
        <f>IF(OR(ROW()-4&gt;INDEX($U$4:$U$11,$AC$2+1,1)-INDEX($U$4:$U$11,$AC$2,1),ROW()-4&gt;$AD$2),NA(),COUNTIF(INDEX($CR$5:$CX$201,INDEX($U$4:$U$11,1,1),$AC$2):INDEX($CR$5:$CX$201,INDEX($U$4:$U$11,1,1)+ROW()-5,$AC$2),FG$3))</f>
        <v>#N/A</v>
      </c>
      <c r="FH30" t="e">
        <f>IF(OR(ROW()-4&gt;INDEX($U$4:$U$11,$AC$2+1,1)-INDEX($U$4:$U$11,$AC$2,1),ROW()-4&gt;$AD$2),NA(),COUNTIF(INDEX($CR$5:$CX$201,INDEX($U$4:$U$11,1,1),$AC$2):INDEX($CR$5:$CX$201,INDEX($U$4:$U$11,1,1)+ROW()-5,$AC$2),FH$3))</f>
        <v>#N/A</v>
      </c>
      <c r="FI30" t="e">
        <f>IF(OR(ROW()-4&gt;INDEX($U$4:$U$11,$AC$2+1,1)-INDEX($U$4:$U$11,$AC$2,1),ROW()-4&gt;$AD$2),NA(),COUNTIF(INDEX($CR$5:$CX$201,INDEX($U$4:$U$11,1,1),$AC$2):INDEX($CR$5:$CX$201,INDEX($U$4:$U$11,1,1)+ROW()-5,$AC$2),FI$3))</f>
        <v>#N/A</v>
      </c>
      <c r="FJ30" t="e">
        <f>IF(OR(ROW()-4&gt;INDEX($U$4:$U$11,$AC$2+1,1)-INDEX($U$4:$U$11,$AC$2,1),ROW()-4&gt;$AD$2),NA(),COUNTIF(INDEX($CR$5:$CX$201,INDEX($U$4:$U$11,1,1),$AC$2):INDEX($CR$5:$CX$201,INDEX($U$4:$U$11,1,1)+ROW()-5,$AC$2),FJ$3))</f>
        <v>#N/A</v>
      </c>
      <c r="FL30" t="e">
        <f>IF(OR(ROW()-4&gt;INDEX($U$4:$U$11,$AC$2+1,1)-INDEX($U$4:$U$11,$AC$2,1),ROW()-4&gt;$AD$2),NA(),COUNTIF(INDEX($CZ$5:$DF$201,INDEX($U$4:$U$11,1,1),$AC$2):INDEX($CZ$5:$DF$201,INDEX($U$4:$U$11,1,1)+ROW()-5,$AC$2),FL$3))</f>
        <v>#N/A</v>
      </c>
      <c r="FM30" t="e">
        <f>IF(OR(ROW()-4&gt;INDEX($U$4:$U$11,$AC$2+1,1)-INDEX($U$4:$U$11,$AC$2,1),ROW()-4&gt;$AD$2),NA(),COUNTIF(INDEX($CZ$5:$DF$201,INDEX($U$4:$U$11,1,1),$AC$2):INDEX($CZ$5:$DF$201,INDEX($U$4:$U$11,1,1)+ROW()-5,$AC$2),FM$3))</f>
        <v>#N/A</v>
      </c>
      <c r="FN30" t="e">
        <f>IF(OR(ROW()-4&gt;INDEX($U$4:$U$11,$AC$2+1,1)-INDEX($U$4:$U$11,$AC$2,1),ROW()-4&gt;$AD$2),NA(),COUNTIF(INDEX($CZ$5:$DF$201,INDEX($U$4:$U$11,1,1),$AC$2):INDEX($CZ$5:$DF$201,INDEX($U$4:$U$11,1,1)+ROW()-5,$AC$2),FN$3))</f>
        <v>#N/A</v>
      </c>
      <c r="FO30" t="e">
        <f>IF(OR(ROW()-4&gt;INDEX($U$4:$U$11,$AC$2+1,1)-INDEX($U$4:$U$11,$AC$2,1),ROW()-4&gt;$AD$2),NA(),COUNTIF(INDEX($CZ$5:$DF$201,INDEX($U$4:$U$11,1,1),$AC$2):INDEX($CZ$5:$DF$201,INDEX($U$4:$U$11,1,1)+ROW()-5,$AC$2),FO$3))</f>
        <v>#N/A</v>
      </c>
      <c r="FP30" t="e">
        <f>IF(OR(ROW()-4&gt;INDEX($U$4:$U$11,$AC$2+1,1)-INDEX($U$4:$U$11,$AC$2,1),ROW()-4&gt;$AD$2),NA(),COUNTIF(INDEX($CZ$5:$DF$201,INDEX($U$4:$U$11,1,1),$AC$2):INDEX($CZ$5:$DF$201,INDEX($U$4:$U$11,1,1)+ROW()-5,$AC$2),FP$3))</f>
        <v>#N/A</v>
      </c>
      <c r="FQ30" t="e">
        <f>IF(OR(ROW()-4&gt;INDEX($U$4:$U$11,$AC$2+1,1)-INDEX($U$4:$U$11,$AC$2,1),ROW()-4&gt;$AD$2),NA(),COUNTIF(INDEX($CZ$5:$DF$201,INDEX($U$4:$U$11,1,1),$AC$2):INDEX($CZ$5:$DF$201,INDEX($U$4:$U$11,1,1)+ROW()-5,$AC$2),FQ$3))</f>
        <v>#N/A</v>
      </c>
      <c r="FR30" t="e">
        <f>IF(OR(ROW()-4&gt;INDEX($U$4:$U$11,$AC$2+1,1)-INDEX($U$4:$U$11,$AC$2,1),ROW()-4&gt;$AD$2),NA(),COUNTIF(INDEX($CZ$5:$DF$201,INDEX($U$4:$U$11,1,1),$AC$2):INDEX($CZ$5:$DF$201,INDEX($U$4:$U$11,1,1)+ROW()-5,$AC$2),FR$3))</f>
        <v>#N/A</v>
      </c>
      <c r="FS30" t="e">
        <f>IF(OR(ROW()-4&gt;INDEX($U$4:$U$11,$AC$2+1,1)-INDEX($U$4:$U$11,$AC$2,1),ROW()-4&gt;$AD$2),NA(),COUNTIF(INDEX($CZ$5:$DF$201,INDEX($U$4:$U$11,1,1),$AC$2):INDEX($CZ$5:$DF$201,INDEX($U$4:$U$11,1,1)+ROW()-5,$AC$2),FS$3))</f>
        <v>#N/A</v>
      </c>
      <c r="FT30" t="e">
        <f>IF(OR(ROW()-4&gt;INDEX($U$4:$U$11,$AC$2+1,1)-INDEX($U$4:$U$11,$AC$2,1),ROW()-4&gt;$AD$2),NA(),COUNTIF(INDEX($CZ$5:$DF$201,INDEX($U$4:$U$11,1,1),$AC$2):INDEX($CZ$5:$DF$201,INDEX($U$4:$U$11,1,1)+ROW()-5,$AC$2),FT$3))</f>
        <v>#N/A</v>
      </c>
      <c r="FU30" t="e">
        <f>IF(OR(ROW()-4&gt;INDEX($U$4:$U$11,$AC$2+1,1)-INDEX($U$4:$U$11,$AC$2,1),ROW()-4&gt;$AD$2),NA(),COUNTIF(INDEX($CZ$5:$DF$201,INDEX($U$4:$U$11,1,1),$AC$2):INDEX($CZ$5:$DF$201,INDEX($U$4:$U$11,1,1)+ROW()-5,$AC$2),FU$3))</f>
        <v>#N/A</v>
      </c>
      <c r="FW30" t="e">
        <f>IF(OR(ROW()-4&gt;INDEX($U$4:$U$11,$AC$2+1,1)-INDEX($U$4:$U$11,$AC$2,1),ROW()-4&gt;$AD$2),NA(),COUNTIF(INDEX($CZ$5:$DF$201,INDEX($U$4:$U$11,1,1),$AC$2):INDEX($CZ$5:$DF$201,INDEX($U$4:$U$11,1,1)+ROW()-5,$AC$2),FW$3))</f>
        <v>#N/A</v>
      </c>
      <c r="FX30" t="e">
        <f>IF(OR(ROW()-4&gt;INDEX($U$4:$U$11,$AC$2+1,1)-INDEX($U$4:$U$11,$AC$2,1),ROW()-4&gt;$AD$2),NA(),COUNTIF(INDEX($CZ$5:$DF$201,INDEX($U$4:$U$11,1,1),$AC$2):INDEX($CZ$5:$DF$201,INDEX($U$4:$U$11,1,1)+ROW()-5,$AC$2),FX$3))</f>
        <v>#N/A</v>
      </c>
      <c r="FY30" t="e">
        <f>IF(OR(ROW()-4&gt;INDEX($U$4:$U$11,$AC$2+1,1)-INDEX($U$4:$U$11,$AC$2,1),ROW()-4&gt;$AD$2),NA(),COUNTIF(INDEX($CZ$5:$DF$201,INDEX($U$4:$U$11,1,1),$AC$2):INDEX($CZ$5:$DF$201,INDEX($U$4:$U$11,1,1)+ROW()-5,$AC$2),FY$3))</f>
        <v>#N/A</v>
      </c>
      <c r="FZ30" t="e">
        <f>IF(OR(ROW()-4&gt;INDEX($U$4:$U$11,$AC$2+1,1)-INDEX($U$4:$U$11,$AC$2,1),ROW()-4&gt;$AD$2),NA(),COUNTIF(INDEX($CZ$5:$DF$201,INDEX($U$4:$U$11,1,1),$AC$2):INDEX($CZ$5:$DF$201,INDEX($U$4:$U$11,1,1)+ROW()-5,$AC$2),FZ$3))</f>
        <v>#N/A</v>
      </c>
      <c r="GA30" t="e">
        <f>IF(OR(ROW()-4&gt;INDEX($U$4:$U$11,$AC$2+1,1)-INDEX($U$4:$U$11,$AC$2,1),ROW()-4&gt;$AD$2),NA(),COUNTIF(INDEX($CZ$5:$DF$201,INDEX($U$4:$U$11,1,1),$AC$2):INDEX($CZ$5:$DF$201,INDEX($U$4:$U$11,1,1)+ROW()-5,$AC$2),GA$3))</f>
        <v>#N/A</v>
      </c>
      <c r="GB30" t="e">
        <f>IF(OR(ROW()-4&gt;INDEX($U$4:$U$11,$AC$2+1,1)-INDEX($U$4:$U$11,$AC$2,1),ROW()-4&gt;$AD$2),NA(),COUNTIF(INDEX($CZ$5:$DF$201,INDEX($U$4:$U$11,1,1),$AC$2):INDEX($CZ$5:$DF$201,INDEX($U$4:$U$11,1,1)+ROW()-5,$AC$2),GB$3))</f>
        <v>#N/A</v>
      </c>
      <c r="GC30" t="e">
        <f>IF(OR(ROW()-4&gt;INDEX($U$4:$U$11,$AC$2+1,1)-INDEX($U$4:$U$11,$AC$2,1),ROW()-4&gt;$AD$2),NA(),COUNTIF(INDEX($CZ$5:$DF$201,INDEX($U$4:$U$11,1,1),$AC$2):INDEX($CZ$5:$DF$201,INDEX($U$4:$U$11,1,1)+ROW()-5,$AC$2),GC$3))</f>
        <v>#N/A</v>
      </c>
      <c r="GD30" t="e">
        <f>IF(OR(ROW()-4&gt;INDEX($U$4:$U$11,$AC$2+1,1)-INDEX($U$4:$U$11,$AC$2,1),ROW()-4&gt;$AD$2),NA(),COUNTIF(INDEX($CZ$5:$DF$201,INDEX($U$4:$U$11,1,1),$AC$2):INDEX($CZ$5:$DF$201,INDEX($U$4:$U$11,1,1)+ROW()-5,$AC$2),GD$3))</f>
        <v>#N/A</v>
      </c>
      <c r="GE30" t="e">
        <f>IF(OR(ROW()-4&gt;INDEX($U$4:$U$11,$AC$2+1,1)-INDEX($U$4:$U$11,$AC$2,1),ROW()-4&gt;$AD$2),NA(),COUNTIF(INDEX($CZ$5:$DF$201,INDEX($U$4:$U$11,1,1),$AC$2):INDEX($CZ$5:$DF$201,INDEX($U$4:$U$11,1,1)+ROW()-5,$AC$2),GE$3))</f>
        <v>#N/A</v>
      </c>
      <c r="GF30" t="e">
        <f>IF(OR(ROW()-4&gt;INDEX($U$4:$U$11,$AC$2+1,1)-INDEX($U$4:$U$11,$AC$2,1),ROW()-4&gt;$AD$2),NA(),COUNTIF(INDEX($CZ$5:$DF$201,INDEX($U$4:$U$11,1,1),$AC$2):INDEX($CZ$5:$DF$201,INDEX($U$4:$U$11,1,1)+ROW()-5,$AC$2),GF$3))</f>
        <v>#N/A</v>
      </c>
      <c r="GK30" t="s">
        <v>46</v>
      </c>
    </row>
    <row r="31" spans="1:224" x14ac:dyDescent="0.45">
      <c r="A31" t="str">
        <f>データの貼付!A29</f>
        <v>FENG Tianwei</v>
      </c>
      <c r="B31">
        <f>データの貼付!B29</f>
        <v>7.1962268518518521E-3</v>
      </c>
      <c r="C31">
        <f>データの貼付!C29</f>
        <v>7.3368055555555564E-5</v>
      </c>
      <c r="D31">
        <f>データの貼付!D29</f>
        <v>6.9444444444444447E-4</v>
      </c>
      <c r="E31" t="str">
        <f>データの貼付!F29</f>
        <v>FENG Tianwei</v>
      </c>
      <c r="F31">
        <f>データの貼付!E29</f>
        <v>0</v>
      </c>
      <c r="G31" t="str">
        <f>データの貼付!G29</f>
        <v>#05</v>
      </c>
      <c r="H31" t="str">
        <f>データの貼付!H29</f>
        <v>FENG Tianwei</v>
      </c>
      <c r="I31" t="str">
        <f>データの貼付!I29</f>
        <v>Back</v>
      </c>
      <c r="J31" t="str">
        <f>データの貼付!J29</f>
        <v>F</v>
      </c>
      <c r="K31" t="str">
        <f>データの貼付!K29</f>
        <v>FS</v>
      </c>
      <c r="L31" t="str">
        <f>データの貼付!L29</f>
        <v>F</v>
      </c>
      <c r="M31" t="str">
        <f>データの貼付!M29</f>
        <v>Push</v>
      </c>
      <c r="N31" t="str">
        <f>データの貼付!N29</f>
        <v>BM</v>
      </c>
      <c r="R31">
        <f t="shared" si="59"/>
        <v>0</v>
      </c>
      <c r="S31">
        <f>SUM(R$4:R31)</f>
        <v>2</v>
      </c>
      <c r="T31" t="str">
        <f t="shared" si="60"/>
        <v/>
      </c>
      <c r="W31" t="str">
        <f t="shared" si="57"/>
        <v>FENG Tianwei_FENG Tianwei</v>
      </c>
      <c r="X31" t="str">
        <f t="shared" si="58"/>
        <v>FENG Tianwei_#05</v>
      </c>
      <c r="AC31" s="8" t="e">
        <f>IF(OR(ROW()-4&gt;INDEX($U$4:$U$11,AC$2+1)-INDEX($U$4:$U$11,AC$2),ROW()-4&gt;AD$2),NA(),COUNTIF(INDEX($W$4:$W$200,INDEX($U$4:$U$11,AC$2)):INDEX($W$4:$W$200,INDEX($U$4:$U$11,AC$2)+ROW()-5),AC$3&amp;"_"&amp;AC$3)/(COUNTIF(INDEX($W$4:$W$200,INDEX($U$4:$U$11,AC$2)):INDEX($W$4:$W$200,INDEX($U$4:$U$11,AC$2)+ROW()-5),AC$3&amp;"_"&amp;AC$3)+COUNTIF(INDEX($W$4:$W$200,INDEX($U$4:$U$11,AC$2)):INDEX($W$4:$W$200,INDEX($U$4:$U$11,AC$2)+ROW()-5),AD$3&amp;"_"&amp;AC$3)))</f>
        <v>#N/A</v>
      </c>
      <c r="AD31" s="8" t="e">
        <f>IF(OR(ROW()-4&gt;INDEX($U$4:$U$11,AC$2+1)-INDEX($U$4:$U$11,AC$2),ROW()-4&gt;AD$2),NA(),COUNTIF(INDEX($W$4:$W$200,INDEX($U$4:$U$11,AC$2)):INDEX($W$4:$W$200,INDEX($U$4:$U$11,AC$2)+ROW()-5),AD$3&amp;"_"&amp;AD$3)/(COUNTIF(INDEX($W$4:$W$200,INDEX($U$4:$U$11,AC$2)):INDEX($W$4:$W$200,INDEX($U$4:$U$11,AC$2)+ROW()-5),AD$3&amp;"_"&amp;AD$3)+COUNTIF(INDEX($W$4:$W$200,INDEX($U$4:$U$11,AC$2)):INDEX($W$4:$W$200,INDEX($U$4:$U$11,AC$2)+ROW()-5),AC$3&amp;"_"&amp;AD$3)))</f>
        <v>#N/A</v>
      </c>
      <c r="AE31" s="10" t="e">
        <f>IF(OR(ROW()-4&gt;INDEX($U$4:$U$11,AC$2+1)-INDEX($U$4:$U$11,AC$2),ROW()-4&gt;AD$2),NA(),COUNTIF(INDEX($W$4:$W$200,INDEX($U$4:$U$11,AC$2)):INDEX($W$4:$W$200,INDEX($U$4:$U$11,AC$2)+ROW()-5),AC$3&amp;"_"&amp;AD$3)/(COUNTIF(INDEX($W$4:$W$200,INDEX($U$4:$U$11,AC$2)):INDEX($W$4:$W$200,INDEX($U$4:$U$11,AC$2)+ROW()-5),AC$3&amp;"_"&amp;AD$3)+COUNTIF(INDEX($W$4:$W$200,INDEX($U$4:$U$11,AC$2)):INDEX($W$4:$W$200,INDEX($U$4:$U$11,AC$2)+ROW()-5),AD$3&amp;"_"&amp;AD$3)))</f>
        <v>#N/A</v>
      </c>
      <c r="AF31" s="10" t="e">
        <f>IF(OR(ROW()-4&gt;INDEX($U$4:$U$11,AC$2+1)-INDEX($U$4:$U$11,AC$2),ROW()-4&gt;AD$2),NA(),COUNTIF(INDEX($W$4:$W$200,INDEX($U$4:$U$11,AC$2)):INDEX($W$4:$W$200,INDEX($U$4:$U$11,AC$2)+ROW()-5),AD$3&amp;"_"&amp;AC$3)/(COUNTIF(INDEX($W$4:$W$200,INDEX($U$4:$U$11,AC$2)):INDEX($W$4:$W$200,INDEX($U$4:$U$11,AC$2)+ROW()-5),AD$3&amp;"_"&amp;AC$3)+COUNTIF(INDEX($W$4:$W$200,INDEX($U$4:$U$11,AC$2)):INDEX($W$4:$W$200,INDEX($U$4:$U$11,AC$2)+ROW()-5),AC$3&amp;"_"&amp;AC$3)))</f>
        <v>#N/A</v>
      </c>
      <c r="AG31" s="10" t="e">
        <f>IF(OR(ROW()-4&gt;INDEX($U$4:$U$11,AC$2+1)-INDEX($U$4:$U$11,AC$2),ROW()-4&gt;AD$2),NA(),COUNTIF(INDEX($X$4:$X$200,INDEX($U$4:$U$11,AC$2)):INDEX($X$4:$X$200,INDEX($U$4:$U$11,AC$2)+ROW()-5),AC$3&amp;"_#03")/(COUNTIF(INDEX($W$4:$W$200,INDEX($U$4:$U$11,AC$2)):INDEX($W$4:$W$200,INDEX($U$4:$U$11,AC$2)+ROW()-5),AC$3&amp;"_"&amp;AC$3)+COUNTIF(INDEX($W$4:$W$200,INDEX($U$4:$U$11,AC$2)):INDEX($W$4:$W$200,INDEX($U$4:$U$11,AC$2)+ROW()-5),AD$3&amp;"_"&amp;AC$3)))</f>
        <v>#N/A</v>
      </c>
      <c r="AH31" s="10" t="e">
        <f>IF(OR(ROW()-4&gt;INDEX($U$4:$U$11,AC$2+1)-INDEX($U$4:$U$11,AC$2),ROW()-4&gt;AD$2),NA(),COUNTIF(INDEX($X$4:$X$200,INDEX($U$4:$U$11,AC$2)):INDEX($X$4:$X$200,INDEX($U$4:$U$11,AC$2)+ROW()-5),AD$3&amp;"_#03")/(COUNTIF(INDEX($W$4:$W$200,INDEX($U$4:$U$11,AC$2)):INDEX($W$4:$W$200,INDEX($U$4:$U$11,AC$2)+ROW()-5),AD$3&amp;"_"&amp;AD$3)+COUNTIF(INDEX($W$4:$W$200,INDEX($U$4:$U$11,AC$2)):INDEX($W$4:$W$200,INDEX($U$4:$U$11,AC$2)+ROW()-5),AC$3&amp;"_"&amp;AD$3)))</f>
        <v>#N/A</v>
      </c>
      <c r="AI31" s="10" t="e">
        <f>IF(OR(ROW()-4&gt;INDEX($U$4:$U$11,AC$2+1)-INDEX($U$4:$U$11,AC$2),ROW()-4&gt;AD$2),NA(),(COUNTIF(INDEX($X$4:$X$200,INDEX($U$4:$U$11,AC$2)):INDEX($X$4:$X$200,INDEX($U$4:$U$11,AC$2)+ROW()-5),AC$3&amp;"_#03")-COUNTIF(INDEX($X$4:$X$200,INDEX($U$4:$U$11,AC$2)):INDEX($X$4:$X$200,INDEX($U$4:$U$11,AC$2)+ROW()-5),AD$3&amp;"_#02"))/(COUNTIF(INDEX($W$4:$W$200,INDEX($U$4:$U$11,AC$2)):INDEX($W$4:$W$200,INDEX($U$4:$U$11,AC$2)+ROW()-5),AC$3&amp;"_"&amp;AC$3)+COUNTIF(INDEX($W$4:$W$200,INDEX($U$4:$U$11,AC$2)):INDEX($W$4:$W$200,INDEX($U$4:$U$11,AC$2)+ROW()-5),AD$3&amp;"_"&amp;AC$3)))</f>
        <v>#N/A</v>
      </c>
      <c r="AJ31" s="10" t="e">
        <f>IF(OR(ROW()-4&gt;INDEX($U$4:$U$11,AC$2+1)-INDEX($U$4:$U$11,AC$2),ROW()-4&gt;AD$2),NA(),(COUNTIF(INDEX($X$4:$X$200,INDEX($U$4:$U$11,AC$2)):INDEX($X$4:$X$200,INDEX($U$4:$U$11,AC$2)+ROW()-5),AD$3&amp;"_#03")-COUNTIF(INDEX($X$4:$X$200,INDEX($U$4:$U$11,AC$2)):INDEX($X$4:$X$200,INDEX($U$4:$U$11,AC$2)+ROW()-5),AC$3&amp;"_#02"))/(COUNTIF(INDEX($W$4:$W$200,INDEX($U$4:$U$11,AC$2)):INDEX($W$4:$W$200,INDEX($U$4:$U$11,AC$2)+ROW()-5),AD$3&amp;"_"&amp;AD$3)+COUNTIF(INDEX($W$4:$W$200,INDEX($U$4:$U$11,AC$2)):INDEX($W$4:$W$200,INDEX($U$4:$U$11,AC$2)+ROW()-5),AC$3&amp;"_"&amp;AD$3)))</f>
        <v>#N/A</v>
      </c>
      <c r="AK31" s="10" t="e">
        <f>IF(OR(ROW()-4&gt;INDEX($U$4:$U$11,AC$2+1)-INDEX($U$4:$U$11,AC$2),ROW()-4&gt;AD$2),NA(),(COUNTIF(INDEX($X$4:$X$200,INDEX($U$4:$U$11,AC$2)):INDEX($X$4:$X$200,INDEX($U$4:$U$11,AC$2)+ROW()-5),AC$3&amp;"_#01")+COUNTIF(INDEX($X$4:$X$200,INDEX($U$4:$U$11,AC$2)):INDEX($X$4:$X$200,INDEX($U$4:$U$11,AC$2)+ROW()-5),AC$3&amp;"_#03"))/(COUNTIF(INDEX($W$4:$W$200,INDEX($U$4:$U$11,AC$2)):INDEX($W$4:$W$200,INDEX($U$4:$U$11,AC$2)+ROW()-5),AC$3&amp;"_"&amp;AC$3)+COUNTIF(INDEX($W$4:$W$200,INDEX($U$4:$U$11,AC$2)):INDEX($W$4:$W$200,INDEX($U$4:$U$11,AC$2)+ROW()-5),AD$3&amp;"_"&amp;AC$3)))</f>
        <v>#N/A</v>
      </c>
      <c r="AL31" s="10" t="e">
        <f>IF(OR(ROW()-4&gt;INDEX($U$4:$U$11,AC$2+1)-INDEX($U$4:$U$11,AC$2),ROW()-4&gt;AD$2),NA(),(COUNTIF(INDEX($X$4:$X$200,INDEX($U$4:$U$11,AC$2)):INDEX($X$4:$X$200,INDEX($U$4:$U$11,AC$2)+ROW()-5),AD$3&amp;"_#01")+COUNTIF(INDEX($X$4:$X$200,INDEX($U$4:$U$11,AC$2)):INDEX($X$4:$X$200,INDEX($U$4:$U$11,AC$2)+ROW()-5),AD$3&amp;"_#03"))/(COUNTIF(INDEX($W$4:$W$200,INDEX($U$4:$U$11,AC$2)):INDEX($W$4:$W$200,INDEX($U$4:$U$11,AC$2)+ROW()-5),AD$3&amp;"_"&amp;AD$3)+COUNTIF(INDEX($W$4:$W$200,INDEX($U$4:$U$11,AC$2)):INDEX($W$4:$W$200,INDEX($U$4:$U$11,AC$2)+ROW()-5),AC$3&amp;"_"&amp;AD$3)))</f>
        <v>#N/A</v>
      </c>
      <c r="AN31" t="str">
        <f t="shared" si="125"/>
        <v/>
      </c>
      <c r="AO31" t="str">
        <f t="shared" si="111"/>
        <v/>
      </c>
      <c r="AP31" t="str">
        <f t="shared" si="112"/>
        <v/>
      </c>
      <c r="AQ31" t="str">
        <f t="shared" si="113"/>
        <v/>
      </c>
      <c r="AR31" t="str">
        <f t="shared" si="114"/>
        <v/>
      </c>
      <c r="AS31" t="e">
        <f t="shared" si="115"/>
        <v>#VALUE!</v>
      </c>
      <c r="AT31" t="e">
        <f t="shared" si="116"/>
        <v>#VALUE!</v>
      </c>
      <c r="AV31" t="e">
        <f t="shared" si="117"/>
        <v>#VALUE!</v>
      </c>
      <c r="AW31" t="e">
        <f t="shared" si="63"/>
        <v>#VALUE!</v>
      </c>
      <c r="AX31" t="e">
        <f t="shared" si="64"/>
        <v>#VALUE!</v>
      </c>
      <c r="AY31" t="e">
        <f t="shared" si="65"/>
        <v>#VALUE!</v>
      </c>
      <c r="AZ31" t="e">
        <f t="shared" si="66"/>
        <v>#VALUE!</v>
      </c>
      <c r="BA31" t="e">
        <f t="shared" si="67"/>
        <v>#VALUE!</v>
      </c>
      <c r="BB31" t="e">
        <f t="shared" si="68"/>
        <v>#VALUE!</v>
      </c>
      <c r="BD31" t="e">
        <f t="shared" si="118"/>
        <v>#VALUE!</v>
      </c>
      <c r="BE31" t="e">
        <f t="shared" si="69"/>
        <v>#VALUE!</v>
      </c>
      <c r="BF31" t="e">
        <f t="shared" si="70"/>
        <v>#VALUE!</v>
      </c>
      <c r="BG31" t="e">
        <f t="shared" si="71"/>
        <v>#VALUE!</v>
      </c>
      <c r="BH31" t="e">
        <f t="shared" si="72"/>
        <v>#VALUE!</v>
      </c>
      <c r="BI31" t="e">
        <f t="shared" si="73"/>
        <v>#VALUE!</v>
      </c>
      <c r="BJ31" t="e">
        <f t="shared" si="74"/>
        <v>#VALUE!</v>
      </c>
      <c r="BL31" t="e">
        <f t="shared" si="119"/>
        <v>#VALUE!</v>
      </c>
      <c r="BM31" t="e">
        <f t="shared" si="75"/>
        <v>#VALUE!</v>
      </c>
      <c r="BN31" t="e">
        <f t="shared" si="76"/>
        <v>#VALUE!</v>
      </c>
      <c r="BO31" t="e">
        <f t="shared" si="77"/>
        <v>#VALUE!</v>
      </c>
      <c r="BP31" t="e">
        <f t="shared" si="78"/>
        <v>#VALUE!</v>
      </c>
      <c r="BQ31" t="e">
        <f t="shared" si="79"/>
        <v>#VALUE!</v>
      </c>
      <c r="BR31" t="e">
        <f t="shared" si="80"/>
        <v>#VALUE!</v>
      </c>
      <c r="BT31" t="e">
        <f t="shared" si="120"/>
        <v>#VALUE!</v>
      </c>
      <c r="BU31" t="e">
        <f t="shared" si="81"/>
        <v>#VALUE!</v>
      </c>
      <c r="BV31" t="e">
        <f t="shared" si="82"/>
        <v>#VALUE!</v>
      </c>
      <c r="BW31" t="e">
        <f t="shared" si="83"/>
        <v>#VALUE!</v>
      </c>
      <c r="BX31" t="e">
        <f t="shared" si="84"/>
        <v>#VALUE!</v>
      </c>
      <c r="BY31" t="e">
        <f t="shared" si="85"/>
        <v>#VALUE!</v>
      </c>
      <c r="BZ31" t="e">
        <f t="shared" si="86"/>
        <v>#VALUE!</v>
      </c>
      <c r="CB31" t="e">
        <f t="shared" si="121"/>
        <v>#VALUE!</v>
      </c>
      <c r="CC31" t="e">
        <f t="shared" si="87"/>
        <v>#VALUE!</v>
      </c>
      <c r="CD31" t="e">
        <f t="shared" si="88"/>
        <v>#VALUE!</v>
      </c>
      <c r="CE31" t="e">
        <f t="shared" si="89"/>
        <v>#VALUE!</v>
      </c>
      <c r="CF31" t="e">
        <f t="shared" si="90"/>
        <v>#VALUE!</v>
      </c>
      <c r="CG31" t="e">
        <f t="shared" si="91"/>
        <v>#VALUE!</v>
      </c>
      <c r="CH31" t="e">
        <f t="shared" si="92"/>
        <v>#VALUE!</v>
      </c>
      <c r="CJ31" t="e">
        <f t="shared" si="122"/>
        <v>#VALUE!</v>
      </c>
      <c r="CK31" t="e">
        <f t="shared" si="93"/>
        <v>#VALUE!</v>
      </c>
      <c r="CL31" t="e">
        <f t="shared" si="94"/>
        <v>#VALUE!</v>
      </c>
      <c r="CM31" t="e">
        <f t="shared" si="95"/>
        <v>#VALUE!</v>
      </c>
      <c r="CN31" t="e">
        <f t="shared" si="96"/>
        <v>#VALUE!</v>
      </c>
      <c r="CO31" t="e">
        <f t="shared" si="97"/>
        <v>#VALUE!</v>
      </c>
      <c r="CP31" t="e">
        <f t="shared" si="98"/>
        <v>#VALUE!</v>
      </c>
      <c r="CR31" t="e">
        <f t="shared" si="123"/>
        <v>#VALUE!</v>
      </c>
      <c r="CS31" t="e">
        <f t="shared" si="99"/>
        <v>#VALUE!</v>
      </c>
      <c r="CT31" t="e">
        <f t="shared" si="100"/>
        <v>#VALUE!</v>
      </c>
      <c r="CU31" t="e">
        <f t="shared" si="101"/>
        <v>#VALUE!</v>
      </c>
      <c r="CV31" t="e">
        <f t="shared" si="102"/>
        <v>#VALUE!</v>
      </c>
      <c r="CW31" t="e">
        <f t="shared" si="103"/>
        <v>#VALUE!</v>
      </c>
      <c r="CX31" t="e">
        <f t="shared" si="104"/>
        <v>#VALUE!</v>
      </c>
      <c r="CZ31" t="e">
        <f t="shared" si="124"/>
        <v>#VALUE!</v>
      </c>
      <c r="DA31" t="e">
        <f t="shared" si="105"/>
        <v>#VALUE!</v>
      </c>
      <c r="DB31" t="e">
        <f t="shared" si="106"/>
        <v>#VALUE!</v>
      </c>
      <c r="DC31" t="e">
        <f t="shared" si="107"/>
        <v>#VALUE!</v>
      </c>
      <c r="DD31" t="e">
        <f t="shared" si="108"/>
        <v>#VALUE!</v>
      </c>
      <c r="DE31" t="e">
        <f t="shared" si="109"/>
        <v>#VALUE!</v>
      </c>
      <c r="DF31" t="e">
        <f t="shared" si="110"/>
        <v>#VALUE!</v>
      </c>
      <c r="DH31" t="e">
        <f>IF(OR(ROW()-4&gt;INDEX($U$4:$U$11,$AC$2+1,1)-INDEX($U$4:$U$11,$AC$2,1),ROW()-4&gt;$AD$2),NA(),COUNTIF(INDEX($BL$5:$BR$50,INDEX($U$4:$U$11,1,1),$AC$2):INDEX($BL$5:$BR$50,INDEX($U$4:$U$11,1,1)+ROW()-5,$AC$2),DH$3))</f>
        <v>#N/A</v>
      </c>
      <c r="DI31" t="e">
        <f>IF(OR(ROW()-4&gt;INDEX($U$4:$U$11,$AC$2+1,1)-INDEX($U$4:$U$11,$AC$2,1),ROW()-4&gt;$AD$2),NA(),COUNTIF(INDEX($BL$5:$BR$50,INDEX($U$4:$U$11,1,1),$AC$2):INDEX($BL$5:$BR$50,INDEX($U$4:$U$11,1,1)+ROW()-5,$AC$2),DI$3))</f>
        <v>#N/A</v>
      </c>
      <c r="DJ31" t="e">
        <f>IF(OR(ROW()-4&gt;INDEX($U$4:$U$11,$AC$2+1,1)-INDEX($U$4:$U$11,$AC$2,1),ROW()-4&gt;$AD$2),NA(),COUNTIF(INDEX($BL$5:$BR$50,INDEX($U$4:$U$11,1,1),$AC$2):INDEX($BL$5:$BR$50,INDEX($U$4:$U$11,1,1)+ROW()-5,$AC$2),DJ$3))</f>
        <v>#N/A</v>
      </c>
      <c r="DL31" t="e">
        <f>IF(OR(ROW()-4&gt;INDEX($U$4:$U$11,$AC$2+1,1)-INDEX($U$4:$U$11,$AC$2,1),ROW()-4&gt;$AD$2),NA(),COUNTIF(INDEX($BL$5:$BR$50,INDEX($U$4:$U$11,1,1),$AC$2):INDEX($BL$5:$BR$50,INDEX($U$4:$U$11,1,1)+ROW()-5,$AC$2),DL$3))</f>
        <v>#N/A</v>
      </c>
      <c r="DM31" t="e">
        <f>IF(OR(ROW()-4&gt;INDEX($U$4:$U$11,$AC$2+1,1)-INDEX($U$4:$U$11,$AC$2,1),ROW()-4&gt;$AD$2),NA(),COUNTIF(INDEX($BL$5:$BR$50,INDEX($U$4:$U$11,1,1),$AC$2):INDEX($BL$5:$BR$50,INDEX($U$4:$U$11,1,1)+ROW()-5,$AC$2),DM$3))</f>
        <v>#N/A</v>
      </c>
      <c r="DN31" t="e">
        <f>IF(OR(ROW()-4&gt;INDEX($U$4:$U$11,$AC$2+1,1)-INDEX($U$4:$U$11,$AC$2,1),ROW()-4&gt;$AD$2),NA(),COUNTIF(INDEX($BL$5:$BR$50,INDEX($U$4:$U$11,1,1),$AC$2):INDEX($BL$5:$BR$50,INDEX($U$4:$U$11,1,1)+ROW()-5,$AC$2),DN$3))</f>
        <v>#N/A</v>
      </c>
      <c r="DP31" t="e">
        <f>IF(OR(ROW()-4&gt;INDEX($U$4:$U$11,$AC$2+1,1)-INDEX($U$4:$U$11,$AC$2,1),ROW()-4&gt;$AD$2),NA(),COUNTIF(INDEX($BT$5:$BZ$201,INDEX($U$4:$U$11,1,1),$AC$2):INDEX($BT$5:$BZ$201,INDEX($U$4:$U$11,1,1)+ROW()-5,$AC$2),DP$3))</f>
        <v>#N/A</v>
      </c>
      <c r="DQ31" t="e">
        <f>IF(OR(ROW()-4&gt;INDEX($U$4:$U$11,$AC$2+1,1)-INDEX($U$4:$U$11,$AC$2,1),ROW()-4&gt;$AD$2),NA(),COUNTIF(INDEX($BT$5:$BZ$201,INDEX($U$4:$U$11,1,1),$AC$2):INDEX($BT$5:$BZ$201,INDEX($U$4:$U$11,1,1)+ROW()-5,$AC$2),DQ$3))</f>
        <v>#N/A</v>
      </c>
      <c r="DS31" t="e">
        <f>IF(OR(ROW()-4&gt;INDEX($U$4:$U$11,$AC$2+1,1)-INDEX($U$4:$U$11,$AC$2,1),ROW()-4&gt;$AD$2),NA(),COUNTIF(INDEX($BT$5:$BZ$201,INDEX($U$4:$U$11,1,1),$AC$2):INDEX($BT$5:$BZ$201,INDEX($U$4:$U$11,1,1)+ROW()-5,$AC$2),DS$3))</f>
        <v>#N/A</v>
      </c>
      <c r="DT31" t="e">
        <f>IF(OR(ROW()-4&gt;INDEX($U$4:$U$11,$AC$2+1,1)-INDEX($U$4:$U$11,$AC$2,1),ROW()-4&gt;$AD$2),NA(),COUNTIF(INDEX($BT$5:$BZ$201,INDEX($U$4:$U$11,1,1),$AC$2):INDEX($BT$5:$BZ$201,INDEX($U$4:$U$11,1,1)+ROW()-5,$AC$2),DT$3))</f>
        <v>#N/A</v>
      </c>
      <c r="DV31" t="e">
        <f>IF(OR(ROW()-4&gt;INDEX($U$4:$U$11,$AC$2+1,1)-INDEX($U$4:$U$11,$AC$2,1),ROW()-4&gt;$AD$2),NA(),COUNTIF(INDEX($CB$5:$CH$201,INDEX($U$4:$U$11,1,1),$AC$2):INDEX($CB$5:$CH$201,INDEX($U$4:$U$11,1,1)+ROW()-5,$AC$2),DV$3))</f>
        <v>#N/A</v>
      </c>
      <c r="DW31" t="e">
        <f>IF(OR(ROW()-4&gt;INDEX($U$4:$U$11,$AC$2+1,1)-INDEX($U$4:$U$11,$AC$2,1),ROW()-4&gt;$AD$2),NA(),COUNTIF(INDEX($CB$5:$CH$201,INDEX($U$4:$U$11,1,1),$AC$2):INDEX($CB$5:$CH$201,INDEX($U$4:$U$11,1,1)+ROW()-5,$AC$2),DW$3))</f>
        <v>#N/A</v>
      </c>
      <c r="DX31" t="e">
        <f>IF(OR(ROW()-4&gt;INDEX($U$4:$U$11,$AC$2+1,1)-INDEX($U$4:$U$11,$AC$2,1),ROW()-4&gt;$AD$2),NA(),COUNTIF(INDEX($CB$5:$CH$201,INDEX($U$4:$U$11,1,1),$AC$2):INDEX($CB$5:$CH$201,INDEX($U$4:$U$11,1,1)+ROW()-5,$AC$2),DX$3))</f>
        <v>#N/A</v>
      </c>
      <c r="DY31" t="e">
        <f>IF(OR(ROW()-4&gt;INDEX($U$4:$U$11,$AC$2+1,1)-INDEX($U$4:$U$11,$AC$2,1),ROW()-4&gt;$AD$2),NA(),COUNTIF(INDEX($CB$5:$CH$201,INDEX($U$4:$U$11,1,1),$AC$2):INDEX($CB$5:$CH$201,INDEX($U$4:$U$11,1,1)+ROW()-5,$AC$2),DY$3))</f>
        <v>#N/A</v>
      </c>
      <c r="DZ31" t="e">
        <f>IF(OR(ROW()-4&gt;INDEX($U$4:$U$11,$AC$2+1,1)-INDEX($U$4:$U$11,$AC$2,1),ROW()-4&gt;$AD$2),NA(),COUNTIF(INDEX($CB$5:$CH$201,INDEX($U$4:$U$11,1,1),$AC$2):INDEX($CB$5:$CH$201,INDEX($U$4:$U$11,1,1)+ROW()-5,$AC$2),DZ$3))</f>
        <v>#N/A</v>
      </c>
      <c r="EA31" t="e">
        <f>IF(OR(ROW()-4&gt;INDEX($U$4:$U$11,$AC$2+1,1)-INDEX($U$4:$U$11,$AC$2,1),ROW()-4&gt;$AD$2),NA(),COUNTIF(INDEX($CB$5:$CH$201,INDEX($U$4:$U$11,1,1),$AC$2):INDEX($CB$5:$CH$201,INDEX($U$4:$U$11,1,1)+ROW()-5,$AC$2),EA$3))</f>
        <v>#N/A</v>
      </c>
      <c r="EB31" t="e">
        <f>IF(OR(ROW()-4&gt;INDEX($U$4:$U$11,$AC$2+1,1)-INDEX($U$4:$U$11,$AC$2,1),ROW()-4&gt;$AD$2),NA(),COUNTIF(INDEX($CB$5:$CH$201,INDEX($U$4:$U$11,1,1),$AC$2):INDEX($CB$5:$CH$201,INDEX($U$4:$U$11,1,1)+ROW()-5,$AC$2),EB$3))</f>
        <v>#N/A</v>
      </c>
      <c r="EC31" t="e">
        <f>IF(OR(ROW()-4&gt;INDEX($U$4:$U$11,$AC$2+1,1)-INDEX($U$4:$U$11,$AC$2,1),ROW()-4&gt;$AD$2),NA(),COUNTIF(INDEX($CB$5:$CH$201,INDEX($U$4:$U$11,1,1),$AC$2):INDEX($CB$5:$CH$201,INDEX($U$4:$U$11,1,1)+ROW()-5,$AC$2),EC$3))</f>
        <v>#N/A</v>
      </c>
      <c r="EE31" t="e">
        <f>IF(OR(ROW()-4&gt;INDEX($U$4:$U$11,$AC$2+1,1)-INDEX($U$4:$U$11,$AC$2,1),ROW()-4&gt;$AD$2),NA(),COUNTIF(INDEX($CB$5:$CH$201,INDEX($U$4:$U$11,1,1),$AC$2):INDEX($CB$5:$CH$201,INDEX($U$4:$U$11,1,1)+ROW()-5,$AC$2),EE$3))</f>
        <v>#N/A</v>
      </c>
      <c r="EF31" t="e">
        <f>IF(OR(ROW()-4&gt;INDEX($U$4:$U$11,$AC$2+1,1)-INDEX($U$4:$U$11,$AC$2,1),ROW()-4&gt;$AD$2),NA(),COUNTIF(INDEX($CB$5:$CH$201,INDEX($U$4:$U$11,1,1),$AC$2):INDEX($CB$5:$CH$201,INDEX($U$4:$U$11,1,1)+ROW()-5,$AC$2),EF$3))</f>
        <v>#N/A</v>
      </c>
      <c r="EG31" t="e">
        <f>IF(OR(ROW()-4&gt;INDEX($U$4:$U$11,$AC$2+1,1)-INDEX($U$4:$U$11,$AC$2,1),ROW()-4&gt;$AD$2),NA(),COUNTIF(INDEX($CB$5:$CH$201,INDEX($U$4:$U$11,1,1),$AC$2):INDEX($CB$5:$CH$201,INDEX($U$4:$U$11,1,1)+ROW()-5,$AC$2),EG$3))</f>
        <v>#N/A</v>
      </c>
      <c r="EH31" t="e">
        <f>IF(OR(ROW()-4&gt;INDEX($U$4:$U$11,$AC$2+1,1)-INDEX($U$4:$U$11,$AC$2,1),ROW()-4&gt;$AD$2),NA(),COUNTIF(INDEX($CB$5:$CH$201,INDEX($U$4:$U$11,1,1),$AC$2):INDEX($CB$5:$CH$201,INDEX($U$4:$U$11,1,1)+ROW()-5,$AC$2),EH$3))</f>
        <v>#N/A</v>
      </c>
      <c r="EI31" t="e">
        <f>IF(OR(ROW()-4&gt;INDEX($U$4:$U$11,$AC$2+1,1)-INDEX($U$4:$U$11,$AC$2,1),ROW()-4&gt;$AD$2),NA(),COUNTIF(INDEX($CB$5:$CH$201,INDEX($U$4:$U$11,1,1),$AC$2):INDEX($CB$5:$CH$201,INDEX($U$4:$U$11,1,1)+ROW()-5,$AC$2),EI$3))</f>
        <v>#N/A</v>
      </c>
      <c r="EJ31" t="e">
        <f>IF(OR(ROW()-4&gt;INDEX($U$4:$U$11,$AC$2+1,1)-INDEX($U$4:$U$11,$AC$2,1),ROW()-4&gt;$AD$2),NA(),COUNTIF(INDEX($CB$5:$CH$201,INDEX($U$4:$U$11,1,1),$AC$2):INDEX($CB$5:$CH$201,INDEX($U$4:$U$11,1,1)+ROW()-5,$AC$2),EJ$3))</f>
        <v>#N/A</v>
      </c>
      <c r="EK31" t="e">
        <f>IF(OR(ROW()-4&gt;INDEX($U$4:$U$11,$AC$2+1,1)-INDEX($U$4:$U$11,$AC$2,1),ROW()-4&gt;$AD$2),NA(),COUNTIF(INDEX($CB$5:$CH$201,INDEX($U$4:$U$11,1,1),$AC$2):INDEX($CB$5:$CH$201,INDEX($U$4:$U$11,1,1)+ROW()-5,$AC$2),EK$3))</f>
        <v>#N/A</v>
      </c>
      <c r="EL31" t="e">
        <f>IF(OR(ROW()-4&gt;INDEX($U$4:$U$11,$AC$2+1,1)-INDEX($U$4:$U$11,$AC$2,1),ROW()-4&gt;$AD$2),NA(),COUNTIF(INDEX($CB$5:$CH$201,INDEX($U$4:$U$11,1,1),$AC$2):INDEX($CB$5:$CH$201,INDEX($U$4:$U$11,1,1)+ROW()-5,$AC$2),EL$3))</f>
        <v>#N/A</v>
      </c>
      <c r="EN31" t="e">
        <f>IF(OR(ROW()-4&gt;INDEX($U$4:$U$11,$AC$2+1,1)-INDEX($U$4:$U$11,$AC$2,1),ROW()-4&gt;$AD$2),NA(),COUNTIF(INDEX($CJ$5:$CP$201,INDEX($U$4:$U$11,1,1),$AC$2):INDEX($CJ$5:$CP$201,INDEX($U$4:$U$11,1,1)+ROW()-5,$AC$2),EN$3))</f>
        <v>#N/A</v>
      </c>
      <c r="EO31" t="e">
        <f>IF(OR(ROW()-4&gt;INDEX($U$4:$U$11,$AC$2+1,1)-INDEX($U$4:$U$11,$AC$2,1),ROW()-4&gt;$AD$2),NA(),COUNTIF(INDEX($CJ$5:$CP$201,INDEX($U$4:$U$11,1,1),$AC$2):INDEX($CJ$5:$CP$201,INDEX($U$4:$U$11,1,1)+ROW()-5,$AC$2),EO$3))</f>
        <v>#N/A</v>
      </c>
      <c r="EQ31" t="e">
        <f>IF(OR(ROW()-4&gt;INDEX($U$4:$U$11,$AC$2+1,1)-INDEX($U$4:$U$11,$AC$2,1),ROW()-4&gt;$AD$2),NA(),COUNTIF(INDEX($CJ$5:$CP$201,INDEX($U$4:$U$11,1,1),$AC$2):INDEX($CJ$5:$CP$201,INDEX($U$4:$U$11,1,1)+ROW()-5,$AC$2),EQ$3))</f>
        <v>#N/A</v>
      </c>
      <c r="ER31" t="e">
        <f>IF(OR(ROW()-4&gt;INDEX($U$4:$U$11,$AC$2+1,1)-INDEX($U$4:$U$11,$AC$2,1),ROW()-4&gt;$AD$2),NA(),COUNTIF(INDEX($CJ$5:$CP$201,INDEX($U$4:$U$11,1,1),$AC$2):INDEX($CJ$5:$CP$201,INDEX($U$4:$U$11,1,1)+ROW()-5,$AC$2),ER$3))</f>
        <v>#N/A</v>
      </c>
      <c r="ET31" t="e">
        <f>IF(OR(ROW()-4&gt;INDEX($U$4:$U$11,$AC$2+1,1)-INDEX($U$4:$U$11,$AC$2,1),ROW()-4&gt;$AD$2),NA(),COUNTIF(INDEX($CR$5:$CX$201,INDEX($U$4:$U$11,1,1),$AC$2):INDEX($CR$5:$CX$201,INDEX($U$4:$U$11,1,1)+ROW()-5,$AC$2),ET$3))</f>
        <v>#N/A</v>
      </c>
      <c r="EU31" t="e">
        <f>IF(OR(ROW()-4&gt;INDEX($U$4:$U$11,$AC$2+1,1)-INDEX($U$4:$U$11,$AC$2,1),ROW()-4&gt;$AD$2),NA(),COUNTIF(INDEX($CR$5:$CX$201,INDEX($U$4:$U$11,1,1),$AC$2):INDEX($CR$5:$CX$201,INDEX($U$4:$U$11,1,1)+ROW()-5,$AC$2),EU$3))</f>
        <v>#N/A</v>
      </c>
      <c r="EV31" t="e">
        <f>IF(OR(ROW()-4&gt;INDEX($U$4:$U$11,$AC$2+1,1)-INDEX($U$4:$U$11,$AC$2,1),ROW()-4&gt;$AD$2),NA(),COUNTIF(INDEX($CR$5:$CX$201,INDEX($U$4:$U$11,1,1),$AC$2):INDEX($CR$5:$CX$201,INDEX($U$4:$U$11,1,1)+ROW()-5,$AC$2),EV$3))</f>
        <v>#N/A</v>
      </c>
      <c r="EW31" t="e">
        <f>IF(OR(ROW()-4&gt;INDEX($U$4:$U$11,$AC$2+1,1)-INDEX($U$4:$U$11,$AC$2,1),ROW()-4&gt;$AD$2),NA(),COUNTIF(INDEX($CR$5:$CX$201,INDEX($U$4:$U$11,1,1),$AC$2):INDEX($CR$5:$CX$201,INDEX($U$4:$U$11,1,1)+ROW()-5,$AC$2),EW$3))</f>
        <v>#N/A</v>
      </c>
      <c r="EX31" t="e">
        <f>IF(OR(ROW()-4&gt;INDEX($U$4:$U$11,$AC$2+1,1)-INDEX($U$4:$U$11,$AC$2,1),ROW()-4&gt;$AD$2),NA(),COUNTIF(INDEX($CR$5:$CX$201,INDEX($U$4:$U$11,1,1),$AC$2):INDEX($CR$5:$CX$201,INDEX($U$4:$U$11,1,1)+ROW()-5,$AC$2),EX$3))</f>
        <v>#N/A</v>
      </c>
      <c r="EY31" t="e">
        <f>IF(OR(ROW()-4&gt;INDEX($U$4:$U$11,$AC$2+1,1)-INDEX($U$4:$U$11,$AC$2,1),ROW()-4&gt;$AD$2),NA(),COUNTIF(INDEX($CR$5:$CX$201,INDEX($U$4:$U$11,1,1),$AC$2):INDEX($CR$5:$CX$201,INDEX($U$4:$U$11,1,1)+ROW()-5,$AC$2),EY$3))</f>
        <v>#N/A</v>
      </c>
      <c r="EZ31" t="e">
        <f>IF(OR(ROW()-4&gt;INDEX($U$4:$U$11,$AC$2+1,1)-INDEX($U$4:$U$11,$AC$2,1),ROW()-4&gt;$AD$2),NA(),COUNTIF(INDEX($CR$5:$CX$201,INDEX($U$4:$U$11,1,1),$AC$2):INDEX($CR$5:$CX$201,INDEX($U$4:$U$11,1,1)+ROW()-5,$AC$2),EZ$3))</f>
        <v>#N/A</v>
      </c>
      <c r="FA31" t="e">
        <f>IF(OR(ROW()-4&gt;INDEX($U$4:$U$11,$AC$2+1,1)-INDEX($U$4:$U$11,$AC$2,1),ROW()-4&gt;$AD$2),NA(),COUNTIF(INDEX($CR$5:$CX$201,INDEX($U$4:$U$11,1,1),$AC$2):INDEX($CR$5:$CX$201,INDEX($U$4:$U$11,1,1)+ROW()-5,$AC$2),FA$3))</f>
        <v>#N/A</v>
      </c>
      <c r="FC31" t="e">
        <f>IF(OR(ROW()-4&gt;INDEX($U$4:$U$11,$AC$2+1,1)-INDEX($U$4:$U$11,$AC$2,1),ROW()-4&gt;$AD$2),NA(),COUNTIF(INDEX($CR$5:$CX$201,INDEX($U$4:$U$11,1,1),$AC$2):INDEX($CR$5:$CX$201,INDEX($U$4:$U$11,1,1)+ROW()-5,$AC$2),FC$3))</f>
        <v>#N/A</v>
      </c>
      <c r="FD31" t="e">
        <f>IF(OR(ROW()-4&gt;INDEX($U$4:$U$11,$AC$2+1,1)-INDEX($U$4:$U$11,$AC$2,1),ROW()-4&gt;$AD$2),NA(),COUNTIF(INDEX($CR$5:$CX$201,INDEX($U$4:$U$11,1,1),$AC$2):INDEX($CR$5:$CX$201,INDEX($U$4:$U$11,1,1)+ROW()-5,$AC$2),FD$3))</f>
        <v>#N/A</v>
      </c>
      <c r="FE31" t="e">
        <f>IF(OR(ROW()-4&gt;INDEX($U$4:$U$11,$AC$2+1,1)-INDEX($U$4:$U$11,$AC$2,1),ROW()-4&gt;$AD$2),NA(),COUNTIF(INDEX($CR$5:$CX$201,INDEX($U$4:$U$11,1,1),$AC$2):INDEX($CR$5:$CX$201,INDEX($U$4:$U$11,1,1)+ROW()-5,$AC$2),FE$3))</f>
        <v>#N/A</v>
      </c>
      <c r="FF31" t="e">
        <f>IF(OR(ROW()-4&gt;INDEX($U$4:$U$11,$AC$2+1,1)-INDEX($U$4:$U$11,$AC$2,1),ROW()-4&gt;$AD$2),NA(),COUNTIF(INDEX($CR$5:$CX$201,INDEX($U$4:$U$11,1,1),$AC$2):INDEX($CR$5:$CX$201,INDEX($U$4:$U$11,1,1)+ROW()-5,$AC$2),FF$3))</f>
        <v>#N/A</v>
      </c>
      <c r="FG31" t="e">
        <f>IF(OR(ROW()-4&gt;INDEX($U$4:$U$11,$AC$2+1,1)-INDEX($U$4:$U$11,$AC$2,1),ROW()-4&gt;$AD$2),NA(),COUNTIF(INDEX($CR$5:$CX$201,INDEX($U$4:$U$11,1,1),$AC$2):INDEX($CR$5:$CX$201,INDEX($U$4:$U$11,1,1)+ROW()-5,$AC$2),FG$3))</f>
        <v>#N/A</v>
      </c>
      <c r="FH31" t="e">
        <f>IF(OR(ROW()-4&gt;INDEX($U$4:$U$11,$AC$2+1,1)-INDEX($U$4:$U$11,$AC$2,1),ROW()-4&gt;$AD$2),NA(),COUNTIF(INDEX($CR$5:$CX$201,INDEX($U$4:$U$11,1,1),$AC$2):INDEX($CR$5:$CX$201,INDEX($U$4:$U$11,1,1)+ROW()-5,$AC$2),FH$3))</f>
        <v>#N/A</v>
      </c>
      <c r="FI31" t="e">
        <f>IF(OR(ROW()-4&gt;INDEX($U$4:$U$11,$AC$2+1,1)-INDEX($U$4:$U$11,$AC$2,1),ROW()-4&gt;$AD$2),NA(),COUNTIF(INDEX($CR$5:$CX$201,INDEX($U$4:$U$11,1,1),$AC$2):INDEX($CR$5:$CX$201,INDEX($U$4:$U$11,1,1)+ROW()-5,$AC$2),FI$3))</f>
        <v>#N/A</v>
      </c>
      <c r="FJ31" t="e">
        <f>IF(OR(ROW()-4&gt;INDEX($U$4:$U$11,$AC$2+1,1)-INDEX($U$4:$U$11,$AC$2,1),ROW()-4&gt;$AD$2),NA(),COUNTIF(INDEX($CR$5:$CX$201,INDEX($U$4:$U$11,1,1),$AC$2):INDEX($CR$5:$CX$201,INDEX($U$4:$U$11,1,1)+ROW()-5,$AC$2),FJ$3))</f>
        <v>#N/A</v>
      </c>
      <c r="FL31" t="e">
        <f>IF(OR(ROW()-4&gt;INDEX($U$4:$U$11,$AC$2+1,1)-INDEX($U$4:$U$11,$AC$2,1),ROW()-4&gt;$AD$2),NA(),COUNTIF(INDEX($CZ$5:$DF$201,INDEX($U$4:$U$11,1,1),$AC$2):INDEX($CZ$5:$DF$201,INDEX($U$4:$U$11,1,1)+ROW()-5,$AC$2),FL$3))</f>
        <v>#N/A</v>
      </c>
      <c r="FM31" t="e">
        <f>IF(OR(ROW()-4&gt;INDEX($U$4:$U$11,$AC$2+1,1)-INDEX($U$4:$U$11,$AC$2,1),ROW()-4&gt;$AD$2),NA(),COUNTIF(INDEX($CZ$5:$DF$201,INDEX($U$4:$U$11,1,1),$AC$2):INDEX($CZ$5:$DF$201,INDEX($U$4:$U$11,1,1)+ROW()-5,$AC$2),FM$3))</f>
        <v>#N/A</v>
      </c>
      <c r="FN31" t="e">
        <f>IF(OR(ROW()-4&gt;INDEX($U$4:$U$11,$AC$2+1,1)-INDEX($U$4:$U$11,$AC$2,1),ROW()-4&gt;$AD$2),NA(),COUNTIF(INDEX($CZ$5:$DF$201,INDEX($U$4:$U$11,1,1),$AC$2):INDEX($CZ$5:$DF$201,INDEX($U$4:$U$11,1,1)+ROW()-5,$AC$2),FN$3))</f>
        <v>#N/A</v>
      </c>
      <c r="FO31" t="e">
        <f>IF(OR(ROW()-4&gt;INDEX($U$4:$U$11,$AC$2+1,1)-INDEX($U$4:$U$11,$AC$2,1),ROW()-4&gt;$AD$2),NA(),COUNTIF(INDEX($CZ$5:$DF$201,INDEX($U$4:$U$11,1,1),$AC$2):INDEX($CZ$5:$DF$201,INDEX($U$4:$U$11,1,1)+ROW()-5,$AC$2),FO$3))</f>
        <v>#N/A</v>
      </c>
      <c r="FP31" t="e">
        <f>IF(OR(ROW()-4&gt;INDEX($U$4:$U$11,$AC$2+1,1)-INDEX($U$4:$U$11,$AC$2,1),ROW()-4&gt;$AD$2),NA(),COUNTIF(INDEX($CZ$5:$DF$201,INDEX($U$4:$U$11,1,1),$AC$2):INDEX($CZ$5:$DF$201,INDEX($U$4:$U$11,1,1)+ROW()-5,$AC$2),FP$3))</f>
        <v>#N/A</v>
      </c>
      <c r="FQ31" t="e">
        <f>IF(OR(ROW()-4&gt;INDEX($U$4:$U$11,$AC$2+1,1)-INDEX($U$4:$U$11,$AC$2,1),ROW()-4&gt;$AD$2),NA(),COUNTIF(INDEX($CZ$5:$DF$201,INDEX($U$4:$U$11,1,1),$AC$2):INDEX($CZ$5:$DF$201,INDEX($U$4:$U$11,1,1)+ROW()-5,$AC$2),FQ$3))</f>
        <v>#N/A</v>
      </c>
      <c r="FR31" t="e">
        <f>IF(OR(ROW()-4&gt;INDEX($U$4:$U$11,$AC$2+1,1)-INDEX($U$4:$U$11,$AC$2,1),ROW()-4&gt;$AD$2),NA(),COUNTIF(INDEX($CZ$5:$DF$201,INDEX($U$4:$U$11,1,1),$AC$2):INDEX($CZ$5:$DF$201,INDEX($U$4:$U$11,1,1)+ROW()-5,$AC$2),FR$3))</f>
        <v>#N/A</v>
      </c>
      <c r="FS31" t="e">
        <f>IF(OR(ROW()-4&gt;INDEX($U$4:$U$11,$AC$2+1,1)-INDEX($U$4:$U$11,$AC$2,1),ROW()-4&gt;$AD$2),NA(),COUNTIF(INDEX($CZ$5:$DF$201,INDEX($U$4:$U$11,1,1),$AC$2):INDEX($CZ$5:$DF$201,INDEX($U$4:$U$11,1,1)+ROW()-5,$AC$2),FS$3))</f>
        <v>#N/A</v>
      </c>
      <c r="FT31" t="e">
        <f>IF(OR(ROW()-4&gt;INDEX($U$4:$U$11,$AC$2+1,1)-INDEX($U$4:$U$11,$AC$2,1),ROW()-4&gt;$AD$2),NA(),COUNTIF(INDEX($CZ$5:$DF$201,INDEX($U$4:$U$11,1,1),$AC$2):INDEX($CZ$5:$DF$201,INDEX($U$4:$U$11,1,1)+ROW()-5,$AC$2),FT$3))</f>
        <v>#N/A</v>
      </c>
      <c r="FU31" t="e">
        <f>IF(OR(ROW()-4&gt;INDEX($U$4:$U$11,$AC$2+1,1)-INDEX($U$4:$U$11,$AC$2,1),ROW()-4&gt;$AD$2),NA(),COUNTIF(INDEX($CZ$5:$DF$201,INDEX($U$4:$U$11,1,1),$AC$2):INDEX($CZ$5:$DF$201,INDEX($U$4:$U$11,1,1)+ROW()-5,$AC$2),FU$3))</f>
        <v>#N/A</v>
      </c>
      <c r="FW31" t="e">
        <f>IF(OR(ROW()-4&gt;INDEX($U$4:$U$11,$AC$2+1,1)-INDEX($U$4:$U$11,$AC$2,1),ROW()-4&gt;$AD$2),NA(),COUNTIF(INDEX($CZ$5:$DF$201,INDEX($U$4:$U$11,1,1),$AC$2):INDEX($CZ$5:$DF$201,INDEX($U$4:$U$11,1,1)+ROW()-5,$AC$2),FW$3))</f>
        <v>#N/A</v>
      </c>
      <c r="FX31" t="e">
        <f>IF(OR(ROW()-4&gt;INDEX($U$4:$U$11,$AC$2+1,1)-INDEX($U$4:$U$11,$AC$2,1),ROW()-4&gt;$AD$2),NA(),COUNTIF(INDEX($CZ$5:$DF$201,INDEX($U$4:$U$11,1,1),$AC$2):INDEX($CZ$5:$DF$201,INDEX($U$4:$U$11,1,1)+ROW()-5,$AC$2),FX$3))</f>
        <v>#N/A</v>
      </c>
      <c r="FY31" t="e">
        <f>IF(OR(ROW()-4&gt;INDEX($U$4:$U$11,$AC$2+1,1)-INDEX($U$4:$U$11,$AC$2,1),ROW()-4&gt;$AD$2),NA(),COUNTIF(INDEX($CZ$5:$DF$201,INDEX($U$4:$U$11,1,1),$AC$2):INDEX($CZ$5:$DF$201,INDEX($U$4:$U$11,1,1)+ROW()-5,$AC$2),FY$3))</f>
        <v>#N/A</v>
      </c>
      <c r="FZ31" t="e">
        <f>IF(OR(ROW()-4&gt;INDEX($U$4:$U$11,$AC$2+1,1)-INDEX($U$4:$U$11,$AC$2,1),ROW()-4&gt;$AD$2),NA(),COUNTIF(INDEX($CZ$5:$DF$201,INDEX($U$4:$U$11,1,1),$AC$2):INDEX($CZ$5:$DF$201,INDEX($U$4:$U$11,1,1)+ROW()-5,$AC$2),FZ$3))</f>
        <v>#N/A</v>
      </c>
      <c r="GA31" t="e">
        <f>IF(OR(ROW()-4&gt;INDEX($U$4:$U$11,$AC$2+1,1)-INDEX($U$4:$U$11,$AC$2,1),ROW()-4&gt;$AD$2),NA(),COUNTIF(INDEX($CZ$5:$DF$201,INDEX($U$4:$U$11,1,1),$AC$2):INDEX($CZ$5:$DF$201,INDEX($U$4:$U$11,1,1)+ROW()-5,$AC$2),GA$3))</f>
        <v>#N/A</v>
      </c>
      <c r="GB31" t="e">
        <f>IF(OR(ROW()-4&gt;INDEX($U$4:$U$11,$AC$2+1,1)-INDEX($U$4:$U$11,$AC$2,1),ROW()-4&gt;$AD$2),NA(),COUNTIF(INDEX($CZ$5:$DF$201,INDEX($U$4:$U$11,1,1),$AC$2):INDEX($CZ$5:$DF$201,INDEX($U$4:$U$11,1,1)+ROW()-5,$AC$2),GB$3))</f>
        <v>#N/A</v>
      </c>
      <c r="GC31" t="e">
        <f>IF(OR(ROW()-4&gt;INDEX($U$4:$U$11,$AC$2+1,1)-INDEX($U$4:$U$11,$AC$2,1),ROW()-4&gt;$AD$2),NA(),COUNTIF(INDEX($CZ$5:$DF$201,INDEX($U$4:$U$11,1,1),$AC$2):INDEX($CZ$5:$DF$201,INDEX($U$4:$U$11,1,1)+ROW()-5,$AC$2),GC$3))</f>
        <v>#N/A</v>
      </c>
      <c r="GD31" t="e">
        <f>IF(OR(ROW()-4&gt;INDEX($U$4:$U$11,$AC$2+1,1)-INDEX($U$4:$U$11,$AC$2,1),ROW()-4&gt;$AD$2),NA(),COUNTIF(INDEX($CZ$5:$DF$201,INDEX($U$4:$U$11,1,1),$AC$2):INDEX($CZ$5:$DF$201,INDEX($U$4:$U$11,1,1)+ROW()-5,$AC$2),GD$3))</f>
        <v>#N/A</v>
      </c>
      <c r="GE31" t="e">
        <f>IF(OR(ROW()-4&gt;INDEX($U$4:$U$11,$AC$2+1,1)-INDEX($U$4:$U$11,$AC$2,1),ROW()-4&gt;$AD$2),NA(),COUNTIF(INDEX($CZ$5:$DF$201,INDEX($U$4:$U$11,1,1),$AC$2):INDEX($CZ$5:$DF$201,INDEX($U$4:$U$11,1,1)+ROW()-5,$AC$2),GE$3))</f>
        <v>#N/A</v>
      </c>
      <c r="GF31" t="e">
        <f>IF(OR(ROW()-4&gt;INDEX($U$4:$U$11,$AC$2+1,1)-INDEX($U$4:$U$11,$AC$2,1),ROW()-4&gt;$AD$2),NA(),COUNTIF(INDEX($CZ$5:$DF$201,INDEX($U$4:$U$11,1,1),$AC$2):INDEX($CZ$5:$DF$201,INDEX($U$4:$U$11,1,1)+ROW()-5,$AC$2),GF$3))</f>
        <v>#N/A</v>
      </c>
      <c r="GK31" t="s">
        <v>47</v>
      </c>
    </row>
    <row r="32" spans="1:224" x14ac:dyDescent="0.45">
      <c r="A32" t="str">
        <f>データの貼付!A30</f>
        <v>FENG Tianwei</v>
      </c>
      <c r="B32">
        <f>データの貼付!B30</f>
        <v>7.4167361111111109E-3</v>
      </c>
      <c r="C32">
        <f>データの貼付!C30</f>
        <v>7.4143518518518512E-5</v>
      </c>
      <c r="D32">
        <f>データの貼付!D30</f>
        <v>6.9444444444444447E-4</v>
      </c>
      <c r="E32" t="str">
        <f>データの貼付!F30</f>
        <v>KIHARA Miyuu</v>
      </c>
      <c r="F32">
        <f>データの貼付!E30</f>
        <v>0</v>
      </c>
      <c r="G32" t="str">
        <f>データの貼付!G30</f>
        <v>#04</v>
      </c>
      <c r="H32" t="str">
        <f>データの貼付!H30</f>
        <v>FENG Tianwei</v>
      </c>
      <c r="I32" t="str">
        <f>データの貼付!I30</f>
        <v>Side</v>
      </c>
      <c r="J32" t="str">
        <f>データの貼付!J30</f>
        <v>F</v>
      </c>
      <c r="K32" t="str">
        <f>データの貼付!K30</f>
        <v>B</v>
      </c>
      <c r="L32" t="str">
        <f>データの貼付!L30</f>
        <v>B</v>
      </c>
      <c r="M32" t="str">
        <f>データの貼付!M30</f>
        <v>ドライブ</v>
      </c>
      <c r="N32" t="str">
        <f>データの貼付!N30</f>
        <v>BM</v>
      </c>
      <c r="R32">
        <f t="shared" si="59"/>
        <v>0</v>
      </c>
      <c r="S32">
        <f>SUM(R$4:R32)</f>
        <v>2</v>
      </c>
      <c r="T32" t="str">
        <f t="shared" si="60"/>
        <v/>
      </c>
      <c r="W32" t="str">
        <f t="shared" si="57"/>
        <v>KIHARA Miyuu_FENG Tianwei</v>
      </c>
      <c r="X32" t="str">
        <f t="shared" si="58"/>
        <v>KIHARA Miyuu_#04</v>
      </c>
      <c r="AC32" s="8" t="e">
        <f>IF(OR(ROW()-4&gt;INDEX($U$4:$U$11,AC$2+1)-INDEX($U$4:$U$11,AC$2),ROW()-4&gt;AD$2),NA(),COUNTIF(INDEX($W$4:$W$200,INDEX($U$4:$U$11,AC$2)):INDEX($W$4:$W$200,INDEX($U$4:$U$11,AC$2)+ROW()-5),AC$3&amp;"_"&amp;AC$3)/(COUNTIF(INDEX($W$4:$W$200,INDEX($U$4:$U$11,AC$2)):INDEX($W$4:$W$200,INDEX($U$4:$U$11,AC$2)+ROW()-5),AC$3&amp;"_"&amp;AC$3)+COUNTIF(INDEX($W$4:$W$200,INDEX($U$4:$U$11,AC$2)):INDEX($W$4:$W$200,INDEX($U$4:$U$11,AC$2)+ROW()-5),AD$3&amp;"_"&amp;AC$3)))</f>
        <v>#N/A</v>
      </c>
      <c r="AD32" s="8" t="e">
        <f>IF(OR(ROW()-4&gt;INDEX($U$4:$U$11,AC$2+1)-INDEX($U$4:$U$11,AC$2),ROW()-4&gt;AD$2),NA(),COUNTIF(INDEX($W$4:$W$200,INDEX($U$4:$U$11,AC$2)):INDEX($W$4:$W$200,INDEX($U$4:$U$11,AC$2)+ROW()-5),AD$3&amp;"_"&amp;AD$3)/(COUNTIF(INDEX($W$4:$W$200,INDEX($U$4:$U$11,AC$2)):INDEX($W$4:$W$200,INDEX($U$4:$U$11,AC$2)+ROW()-5),AD$3&amp;"_"&amp;AD$3)+COUNTIF(INDEX($W$4:$W$200,INDEX($U$4:$U$11,AC$2)):INDEX($W$4:$W$200,INDEX($U$4:$U$11,AC$2)+ROW()-5),AC$3&amp;"_"&amp;AD$3)))</f>
        <v>#N/A</v>
      </c>
      <c r="AE32" s="10" t="e">
        <f>IF(OR(ROW()-4&gt;INDEX($U$4:$U$11,AC$2+1)-INDEX($U$4:$U$11,AC$2),ROW()-4&gt;AD$2),NA(),COUNTIF(INDEX($W$4:$W$200,INDEX($U$4:$U$11,AC$2)):INDEX($W$4:$W$200,INDEX($U$4:$U$11,AC$2)+ROW()-5),AC$3&amp;"_"&amp;AD$3)/(COUNTIF(INDEX($W$4:$W$200,INDEX($U$4:$U$11,AC$2)):INDEX($W$4:$W$200,INDEX($U$4:$U$11,AC$2)+ROW()-5),AC$3&amp;"_"&amp;AD$3)+COUNTIF(INDEX($W$4:$W$200,INDEX($U$4:$U$11,AC$2)):INDEX($W$4:$W$200,INDEX($U$4:$U$11,AC$2)+ROW()-5),AD$3&amp;"_"&amp;AD$3)))</f>
        <v>#N/A</v>
      </c>
      <c r="AF32" s="10" t="e">
        <f>IF(OR(ROW()-4&gt;INDEX($U$4:$U$11,AC$2+1)-INDEX($U$4:$U$11,AC$2),ROW()-4&gt;AD$2),NA(),COUNTIF(INDEX($W$4:$W$200,INDEX($U$4:$U$11,AC$2)):INDEX($W$4:$W$200,INDEX($U$4:$U$11,AC$2)+ROW()-5),AD$3&amp;"_"&amp;AC$3)/(COUNTIF(INDEX($W$4:$W$200,INDEX($U$4:$U$11,AC$2)):INDEX($W$4:$W$200,INDEX($U$4:$U$11,AC$2)+ROW()-5),AD$3&amp;"_"&amp;AC$3)+COUNTIF(INDEX($W$4:$W$200,INDEX($U$4:$U$11,AC$2)):INDEX($W$4:$W$200,INDEX($U$4:$U$11,AC$2)+ROW()-5),AC$3&amp;"_"&amp;AC$3)))</f>
        <v>#N/A</v>
      </c>
      <c r="AG32" s="10" t="e">
        <f>IF(OR(ROW()-4&gt;INDEX($U$4:$U$11,AC$2+1)-INDEX($U$4:$U$11,AC$2),ROW()-4&gt;AD$2),NA(),COUNTIF(INDEX($X$4:$X$200,INDEX($U$4:$U$11,AC$2)):INDEX($X$4:$X$200,INDEX($U$4:$U$11,AC$2)+ROW()-5),AC$3&amp;"_#03")/(COUNTIF(INDEX($W$4:$W$200,INDEX($U$4:$U$11,AC$2)):INDEX($W$4:$W$200,INDEX($U$4:$U$11,AC$2)+ROW()-5),AC$3&amp;"_"&amp;AC$3)+COUNTIF(INDEX($W$4:$W$200,INDEX($U$4:$U$11,AC$2)):INDEX($W$4:$W$200,INDEX($U$4:$U$11,AC$2)+ROW()-5),AD$3&amp;"_"&amp;AC$3)))</f>
        <v>#N/A</v>
      </c>
      <c r="AH32" s="10" t="e">
        <f>IF(OR(ROW()-4&gt;INDEX($U$4:$U$11,AC$2+1)-INDEX($U$4:$U$11,AC$2),ROW()-4&gt;AD$2),NA(),COUNTIF(INDEX($X$4:$X$200,INDEX($U$4:$U$11,AC$2)):INDEX($X$4:$X$200,INDEX($U$4:$U$11,AC$2)+ROW()-5),AD$3&amp;"_#03")/(COUNTIF(INDEX($W$4:$W$200,INDEX($U$4:$U$11,AC$2)):INDEX($W$4:$W$200,INDEX($U$4:$U$11,AC$2)+ROW()-5),AD$3&amp;"_"&amp;AD$3)+COUNTIF(INDEX($W$4:$W$200,INDEX($U$4:$U$11,AC$2)):INDEX($W$4:$W$200,INDEX($U$4:$U$11,AC$2)+ROW()-5),AC$3&amp;"_"&amp;AD$3)))</f>
        <v>#N/A</v>
      </c>
      <c r="AI32" s="10" t="e">
        <f>IF(OR(ROW()-4&gt;INDEX($U$4:$U$11,AC$2+1)-INDEX($U$4:$U$11,AC$2),ROW()-4&gt;AD$2),NA(),(COUNTIF(INDEX($X$4:$X$200,INDEX($U$4:$U$11,AC$2)):INDEX($X$4:$X$200,INDEX($U$4:$U$11,AC$2)+ROW()-5),AC$3&amp;"_#03")-COUNTIF(INDEX($X$4:$X$200,INDEX($U$4:$U$11,AC$2)):INDEX($X$4:$X$200,INDEX($U$4:$U$11,AC$2)+ROW()-5),AD$3&amp;"_#02"))/(COUNTIF(INDEX($W$4:$W$200,INDEX($U$4:$U$11,AC$2)):INDEX($W$4:$W$200,INDEX($U$4:$U$11,AC$2)+ROW()-5),AC$3&amp;"_"&amp;AC$3)+COUNTIF(INDEX($W$4:$W$200,INDEX($U$4:$U$11,AC$2)):INDEX($W$4:$W$200,INDEX($U$4:$U$11,AC$2)+ROW()-5),AD$3&amp;"_"&amp;AC$3)))</f>
        <v>#N/A</v>
      </c>
      <c r="AJ32" s="10" t="e">
        <f>IF(OR(ROW()-4&gt;INDEX($U$4:$U$11,AC$2+1)-INDEX($U$4:$U$11,AC$2),ROW()-4&gt;AD$2),NA(),(COUNTIF(INDEX($X$4:$X$200,INDEX($U$4:$U$11,AC$2)):INDEX($X$4:$X$200,INDEX($U$4:$U$11,AC$2)+ROW()-5),AD$3&amp;"_#03")-COUNTIF(INDEX($X$4:$X$200,INDEX($U$4:$U$11,AC$2)):INDEX($X$4:$X$200,INDEX($U$4:$U$11,AC$2)+ROW()-5),AC$3&amp;"_#02"))/(COUNTIF(INDEX($W$4:$W$200,INDEX($U$4:$U$11,AC$2)):INDEX($W$4:$W$200,INDEX($U$4:$U$11,AC$2)+ROW()-5),AD$3&amp;"_"&amp;AD$3)+COUNTIF(INDEX($W$4:$W$200,INDEX($U$4:$U$11,AC$2)):INDEX($W$4:$W$200,INDEX($U$4:$U$11,AC$2)+ROW()-5),AC$3&amp;"_"&amp;AD$3)))</f>
        <v>#N/A</v>
      </c>
      <c r="AK32" s="10" t="e">
        <f>IF(OR(ROW()-4&gt;INDEX($U$4:$U$11,AC$2+1)-INDEX($U$4:$U$11,AC$2),ROW()-4&gt;AD$2),NA(),(COUNTIF(INDEX($X$4:$X$200,INDEX($U$4:$U$11,AC$2)):INDEX($X$4:$X$200,INDEX($U$4:$U$11,AC$2)+ROW()-5),AC$3&amp;"_#01")+COUNTIF(INDEX($X$4:$X$200,INDEX($U$4:$U$11,AC$2)):INDEX($X$4:$X$200,INDEX($U$4:$U$11,AC$2)+ROW()-5),AC$3&amp;"_#03"))/(COUNTIF(INDEX($W$4:$W$200,INDEX($U$4:$U$11,AC$2)):INDEX($W$4:$W$200,INDEX($U$4:$U$11,AC$2)+ROW()-5),AC$3&amp;"_"&amp;AC$3)+COUNTIF(INDEX($W$4:$W$200,INDEX($U$4:$U$11,AC$2)):INDEX($W$4:$W$200,INDEX($U$4:$U$11,AC$2)+ROW()-5),AD$3&amp;"_"&amp;AC$3)))</f>
        <v>#N/A</v>
      </c>
      <c r="AL32" s="10" t="e">
        <f>IF(OR(ROW()-4&gt;INDEX($U$4:$U$11,AC$2+1)-INDEX($U$4:$U$11,AC$2),ROW()-4&gt;AD$2),NA(),(COUNTIF(INDEX($X$4:$X$200,INDEX($U$4:$U$11,AC$2)):INDEX($X$4:$X$200,INDEX($U$4:$U$11,AC$2)+ROW()-5),AD$3&amp;"_#01")+COUNTIF(INDEX($X$4:$X$200,INDEX($U$4:$U$11,AC$2)):INDEX($X$4:$X$200,INDEX($U$4:$U$11,AC$2)+ROW()-5),AD$3&amp;"_#03"))/(COUNTIF(INDEX($W$4:$W$200,INDEX($U$4:$U$11,AC$2)):INDEX($W$4:$W$200,INDEX($U$4:$U$11,AC$2)+ROW()-5),AD$3&amp;"_"&amp;AD$3)+COUNTIF(INDEX($W$4:$W$200,INDEX($U$4:$U$11,AC$2)):INDEX($W$4:$W$200,INDEX($U$4:$U$11,AC$2)+ROW()-5),AC$3&amp;"_"&amp;AD$3)))</f>
        <v>#N/A</v>
      </c>
      <c r="AN32" t="str">
        <f t="shared" si="125"/>
        <v/>
      </c>
      <c r="AO32" t="str">
        <f t="shared" si="111"/>
        <v/>
      </c>
      <c r="AP32" t="str">
        <f t="shared" si="112"/>
        <v/>
      </c>
      <c r="AQ32" t="str">
        <f t="shared" si="113"/>
        <v/>
      </c>
      <c r="AR32" t="str">
        <f t="shared" si="114"/>
        <v/>
      </c>
      <c r="AS32" t="e">
        <f t="shared" si="115"/>
        <v>#VALUE!</v>
      </c>
      <c r="AT32" t="e">
        <f t="shared" si="116"/>
        <v>#VALUE!</v>
      </c>
      <c r="AV32" t="e">
        <f t="shared" si="117"/>
        <v>#VALUE!</v>
      </c>
      <c r="AW32" t="e">
        <f t="shared" si="63"/>
        <v>#VALUE!</v>
      </c>
      <c r="AX32" t="e">
        <f t="shared" si="64"/>
        <v>#VALUE!</v>
      </c>
      <c r="AY32" t="e">
        <f t="shared" si="65"/>
        <v>#VALUE!</v>
      </c>
      <c r="AZ32" t="e">
        <f t="shared" si="66"/>
        <v>#VALUE!</v>
      </c>
      <c r="BA32" t="e">
        <f t="shared" si="67"/>
        <v>#VALUE!</v>
      </c>
      <c r="BB32" t="e">
        <f t="shared" si="68"/>
        <v>#VALUE!</v>
      </c>
      <c r="BD32" t="e">
        <f t="shared" si="118"/>
        <v>#VALUE!</v>
      </c>
      <c r="BE32" t="e">
        <f t="shared" si="69"/>
        <v>#VALUE!</v>
      </c>
      <c r="BF32" t="e">
        <f t="shared" si="70"/>
        <v>#VALUE!</v>
      </c>
      <c r="BG32" t="e">
        <f t="shared" si="71"/>
        <v>#VALUE!</v>
      </c>
      <c r="BH32" t="e">
        <f t="shared" si="72"/>
        <v>#VALUE!</v>
      </c>
      <c r="BI32" t="e">
        <f t="shared" si="73"/>
        <v>#VALUE!</v>
      </c>
      <c r="BJ32" t="e">
        <f t="shared" si="74"/>
        <v>#VALUE!</v>
      </c>
      <c r="BL32" t="e">
        <f t="shared" si="119"/>
        <v>#VALUE!</v>
      </c>
      <c r="BM32" t="e">
        <f t="shared" si="75"/>
        <v>#VALUE!</v>
      </c>
      <c r="BN32" t="e">
        <f t="shared" si="76"/>
        <v>#VALUE!</v>
      </c>
      <c r="BO32" t="e">
        <f t="shared" si="77"/>
        <v>#VALUE!</v>
      </c>
      <c r="BP32" t="e">
        <f t="shared" si="78"/>
        <v>#VALUE!</v>
      </c>
      <c r="BQ32" t="e">
        <f t="shared" si="79"/>
        <v>#VALUE!</v>
      </c>
      <c r="BR32" t="e">
        <f t="shared" si="80"/>
        <v>#VALUE!</v>
      </c>
      <c r="BT32" t="e">
        <f t="shared" si="120"/>
        <v>#VALUE!</v>
      </c>
      <c r="BU32" t="e">
        <f t="shared" si="81"/>
        <v>#VALUE!</v>
      </c>
      <c r="BV32" t="e">
        <f t="shared" si="82"/>
        <v>#VALUE!</v>
      </c>
      <c r="BW32" t="e">
        <f t="shared" si="83"/>
        <v>#VALUE!</v>
      </c>
      <c r="BX32" t="e">
        <f t="shared" si="84"/>
        <v>#VALUE!</v>
      </c>
      <c r="BY32" t="e">
        <f t="shared" si="85"/>
        <v>#VALUE!</v>
      </c>
      <c r="BZ32" t="e">
        <f t="shared" si="86"/>
        <v>#VALUE!</v>
      </c>
      <c r="CB32" t="e">
        <f t="shared" si="121"/>
        <v>#VALUE!</v>
      </c>
      <c r="CC32" t="e">
        <f t="shared" si="87"/>
        <v>#VALUE!</v>
      </c>
      <c r="CD32" t="e">
        <f t="shared" si="88"/>
        <v>#VALUE!</v>
      </c>
      <c r="CE32" t="e">
        <f t="shared" si="89"/>
        <v>#VALUE!</v>
      </c>
      <c r="CF32" t="e">
        <f t="shared" si="90"/>
        <v>#VALUE!</v>
      </c>
      <c r="CG32" t="e">
        <f t="shared" si="91"/>
        <v>#VALUE!</v>
      </c>
      <c r="CH32" t="e">
        <f t="shared" si="92"/>
        <v>#VALUE!</v>
      </c>
      <c r="CJ32" t="e">
        <f t="shared" si="122"/>
        <v>#VALUE!</v>
      </c>
      <c r="CK32" t="e">
        <f t="shared" si="93"/>
        <v>#VALUE!</v>
      </c>
      <c r="CL32" t="e">
        <f t="shared" si="94"/>
        <v>#VALUE!</v>
      </c>
      <c r="CM32" t="e">
        <f t="shared" si="95"/>
        <v>#VALUE!</v>
      </c>
      <c r="CN32" t="e">
        <f t="shared" si="96"/>
        <v>#VALUE!</v>
      </c>
      <c r="CO32" t="e">
        <f t="shared" si="97"/>
        <v>#VALUE!</v>
      </c>
      <c r="CP32" t="e">
        <f t="shared" si="98"/>
        <v>#VALUE!</v>
      </c>
      <c r="CR32" t="e">
        <f t="shared" si="123"/>
        <v>#VALUE!</v>
      </c>
      <c r="CS32" t="e">
        <f t="shared" si="99"/>
        <v>#VALUE!</v>
      </c>
      <c r="CT32" t="e">
        <f t="shared" si="100"/>
        <v>#VALUE!</v>
      </c>
      <c r="CU32" t="e">
        <f t="shared" si="101"/>
        <v>#VALUE!</v>
      </c>
      <c r="CV32" t="e">
        <f t="shared" si="102"/>
        <v>#VALUE!</v>
      </c>
      <c r="CW32" t="e">
        <f t="shared" si="103"/>
        <v>#VALUE!</v>
      </c>
      <c r="CX32" t="e">
        <f t="shared" si="104"/>
        <v>#VALUE!</v>
      </c>
      <c r="CZ32" t="e">
        <f t="shared" si="124"/>
        <v>#VALUE!</v>
      </c>
      <c r="DA32" t="e">
        <f t="shared" si="105"/>
        <v>#VALUE!</v>
      </c>
      <c r="DB32" t="e">
        <f t="shared" si="106"/>
        <v>#VALUE!</v>
      </c>
      <c r="DC32" t="e">
        <f t="shared" si="107"/>
        <v>#VALUE!</v>
      </c>
      <c r="DD32" t="e">
        <f t="shared" si="108"/>
        <v>#VALUE!</v>
      </c>
      <c r="DE32" t="e">
        <f t="shared" si="109"/>
        <v>#VALUE!</v>
      </c>
      <c r="DF32" t="e">
        <f t="shared" si="110"/>
        <v>#VALUE!</v>
      </c>
      <c r="DH32" t="e">
        <f>IF(OR(ROW()-4&gt;INDEX($U$4:$U$11,$AC$2+1,1)-INDEX($U$4:$U$11,$AC$2,1),ROW()-4&gt;$AD$2),NA(),COUNTIF(INDEX($BL$5:$BR$50,INDEX($U$4:$U$11,1,1),$AC$2):INDEX($BL$5:$BR$50,INDEX($U$4:$U$11,1,1)+ROW()-5,$AC$2),DH$3))</f>
        <v>#N/A</v>
      </c>
      <c r="DI32" t="e">
        <f>IF(OR(ROW()-4&gt;INDEX($U$4:$U$11,$AC$2+1,1)-INDEX($U$4:$U$11,$AC$2,1),ROW()-4&gt;$AD$2),NA(),COUNTIF(INDEX($BL$5:$BR$50,INDEX($U$4:$U$11,1,1),$AC$2):INDEX($BL$5:$BR$50,INDEX($U$4:$U$11,1,1)+ROW()-5,$AC$2),DI$3))</f>
        <v>#N/A</v>
      </c>
      <c r="DJ32" t="e">
        <f>IF(OR(ROW()-4&gt;INDEX($U$4:$U$11,$AC$2+1,1)-INDEX($U$4:$U$11,$AC$2,1),ROW()-4&gt;$AD$2),NA(),COUNTIF(INDEX($BL$5:$BR$50,INDEX($U$4:$U$11,1,1),$AC$2):INDEX($BL$5:$BR$50,INDEX($U$4:$U$11,1,1)+ROW()-5,$AC$2),DJ$3))</f>
        <v>#N/A</v>
      </c>
      <c r="DL32" t="e">
        <f>IF(OR(ROW()-4&gt;INDEX($U$4:$U$11,$AC$2+1,1)-INDEX($U$4:$U$11,$AC$2,1),ROW()-4&gt;$AD$2),NA(),COUNTIF(INDEX($BL$5:$BR$50,INDEX($U$4:$U$11,1,1),$AC$2):INDEX($BL$5:$BR$50,INDEX($U$4:$U$11,1,1)+ROW()-5,$AC$2),DL$3))</f>
        <v>#N/A</v>
      </c>
      <c r="DM32" t="e">
        <f>IF(OR(ROW()-4&gt;INDEX($U$4:$U$11,$AC$2+1,1)-INDEX($U$4:$U$11,$AC$2,1),ROW()-4&gt;$AD$2),NA(),COUNTIF(INDEX($BL$5:$BR$50,INDEX($U$4:$U$11,1,1),$AC$2):INDEX($BL$5:$BR$50,INDEX($U$4:$U$11,1,1)+ROW()-5,$AC$2),DM$3))</f>
        <v>#N/A</v>
      </c>
      <c r="DN32" t="e">
        <f>IF(OR(ROW()-4&gt;INDEX($U$4:$U$11,$AC$2+1,1)-INDEX($U$4:$U$11,$AC$2,1),ROW()-4&gt;$AD$2),NA(),COUNTIF(INDEX($BL$5:$BR$50,INDEX($U$4:$U$11,1,1),$AC$2):INDEX($BL$5:$BR$50,INDEX($U$4:$U$11,1,1)+ROW()-5,$AC$2),DN$3))</f>
        <v>#N/A</v>
      </c>
      <c r="DP32" t="e">
        <f>IF(OR(ROW()-4&gt;INDEX($U$4:$U$11,$AC$2+1,1)-INDEX($U$4:$U$11,$AC$2,1),ROW()-4&gt;$AD$2),NA(),COUNTIF(INDEX($BT$5:$BZ$201,INDEX($U$4:$U$11,1,1),$AC$2):INDEX($BT$5:$BZ$201,INDEX($U$4:$U$11,1,1)+ROW()-5,$AC$2),DP$3))</f>
        <v>#N/A</v>
      </c>
      <c r="DQ32" t="e">
        <f>IF(OR(ROW()-4&gt;INDEX($U$4:$U$11,$AC$2+1,1)-INDEX($U$4:$U$11,$AC$2,1),ROW()-4&gt;$AD$2),NA(),COUNTIF(INDEX($BT$5:$BZ$201,INDEX($U$4:$U$11,1,1),$AC$2):INDEX($BT$5:$BZ$201,INDEX($U$4:$U$11,1,1)+ROW()-5,$AC$2),DQ$3))</f>
        <v>#N/A</v>
      </c>
      <c r="DS32" t="e">
        <f>IF(OR(ROW()-4&gt;INDEX($U$4:$U$11,$AC$2+1,1)-INDEX($U$4:$U$11,$AC$2,1),ROW()-4&gt;$AD$2),NA(),COUNTIF(INDEX($BT$5:$BZ$201,INDEX($U$4:$U$11,1,1),$AC$2):INDEX($BT$5:$BZ$201,INDEX($U$4:$U$11,1,1)+ROW()-5,$AC$2),DS$3))</f>
        <v>#N/A</v>
      </c>
      <c r="DT32" t="e">
        <f>IF(OR(ROW()-4&gt;INDEX($U$4:$U$11,$AC$2+1,1)-INDEX($U$4:$U$11,$AC$2,1),ROW()-4&gt;$AD$2),NA(),COUNTIF(INDEX($BT$5:$BZ$201,INDEX($U$4:$U$11,1,1),$AC$2):INDEX($BT$5:$BZ$201,INDEX($U$4:$U$11,1,1)+ROW()-5,$AC$2),DT$3))</f>
        <v>#N/A</v>
      </c>
      <c r="DV32" t="e">
        <f>IF(OR(ROW()-4&gt;INDEX($U$4:$U$11,$AC$2+1,1)-INDEX($U$4:$U$11,$AC$2,1),ROW()-4&gt;$AD$2),NA(),COUNTIF(INDEX($CB$5:$CH$201,INDEX($U$4:$U$11,1,1),$AC$2):INDEX($CB$5:$CH$201,INDEX($U$4:$U$11,1,1)+ROW()-5,$AC$2),DV$3))</f>
        <v>#N/A</v>
      </c>
      <c r="DW32" t="e">
        <f>IF(OR(ROW()-4&gt;INDEX($U$4:$U$11,$AC$2+1,1)-INDEX($U$4:$U$11,$AC$2,1),ROW()-4&gt;$AD$2),NA(),COUNTIF(INDEX($CB$5:$CH$201,INDEX($U$4:$U$11,1,1),$AC$2):INDEX($CB$5:$CH$201,INDEX($U$4:$U$11,1,1)+ROW()-5,$AC$2),DW$3))</f>
        <v>#N/A</v>
      </c>
      <c r="DX32" t="e">
        <f>IF(OR(ROW()-4&gt;INDEX($U$4:$U$11,$AC$2+1,1)-INDEX($U$4:$U$11,$AC$2,1),ROW()-4&gt;$AD$2),NA(),COUNTIF(INDEX($CB$5:$CH$201,INDEX($U$4:$U$11,1,1),$AC$2):INDEX($CB$5:$CH$201,INDEX($U$4:$U$11,1,1)+ROW()-5,$AC$2),DX$3))</f>
        <v>#N/A</v>
      </c>
      <c r="DY32" t="e">
        <f>IF(OR(ROW()-4&gt;INDEX($U$4:$U$11,$AC$2+1,1)-INDEX($U$4:$U$11,$AC$2,1),ROW()-4&gt;$AD$2),NA(),COUNTIF(INDEX($CB$5:$CH$201,INDEX($U$4:$U$11,1,1),$AC$2):INDEX($CB$5:$CH$201,INDEX($U$4:$U$11,1,1)+ROW()-5,$AC$2),DY$3))</f>
        <v>#N/A</v>
      </c>
      <c r="DZ32" t="e">
        <f>IF(OR(ROW()-4&gt;INDEX($U$4:$U$11,$AC$2+1,1)-INDEX($U$4:$U$11,$AC$2,1),ROW()-4&gt;$AD$2),NA(),COUNTIF(INDEX($CB$5:$CH$201,INDEX($U$4:$U$11,1,1),$AC$2):INDEX($CB$5:$CH$201,INDEX($U$4:$U$11,1,1)+ROW()-5,$AC$2),DZ$3))</f>
        <v>#N/A</v>
      </c>
      <c r="EA32" t="e">
        <f>IF(OR(ROW()-4&gt;INDEX($U$4:$U$11,$AC$2+1,1)-INDEX($U$4:$U$11,$AC$2,1),ROW()-4&gt;$AD$2),NA(),COUNTIF(INDEX($CB$5:$CH$201,INDEX($U$4:$U$11,1,1),$AC$2):INDEX($CB$5:$CH$201,INDEX($U$4:$U$11,1,1)+ROW()-5,$AC$2),EA$3))</f>
        <v>#N/A</v>
      </c>
      <c r="EB32" t="e">
        <f>IF(OR(ROW()-4&gt;INDEX($U$4:$U$11,$AC$2+1,1)-INDEX($U$4:$U$11,$AC$2,1),ROW()-4&gt;$AD$2),NA(),COUNTIF(INDEX($CB$5:$CH$201,INDEX($U$4:$U$11,1,1),$AC$2):INDEX($CB$5:$CH$201,INDEX($U$4:$U$11,1,1)+ROW()-5,$AC$2),EB$3))</f>
        <v>#N/A</v>
      </c>
      <c r="EC32" t="e">
        <f>IF(OR(ROW()-4&gt;INDEX($U$4:$U$11,$AC$2+1,1)-INDEX($U$4:$U$11,$AC$2,1),ROW()-4&gt;$AD$2),NA(),COUNTIF(INDEX($CB$5:$CH$201,INDEX($U$4:$U$11,1,1),$AC$2):INDEX($CB$5:$CH$201,INDEX($U$4:$U$11,1,1)+ROW()-5,$AC$2),EC$3))</f>
        <v>#N/A</v>
      </c>
      <c r="EE32" t="e">
        <f>IF(OR(ROW()-4&gt;INDEX($U$4:$U$11,$AC$2+1,1)-INDEX($U$4:$U$11,$AC$2,1),ROW()-4&gt;$AD$2),NA(),COUNTIF(INDEX($CB$5:$CH$201,INDEX($U$4:$U$11,1,1),$AC$2):INDEX($CB$5:$CH$201,INDEX($U$4:$U$11,1,1)+ROW()-5,$AC$2),EE$3))</f>
        <v>#N/A</v>
      </c>
      <c r="EF32" t="e">
        <f>IF(OR(ROW()-4&gt;INDEX($U$4:$U$11,$AC$2+1,1)-INDEX($U$4:$U$11,$AC$2,1),ROW()-4&gt;$AD$2),NA(),COUNTIF(INDEX($CB$5:$CH$201,INDEX($U$4:$U$11,1,1),$AC$2):INDEX($CB$5:$CH$201,INDEX($U$4:$U$11,1,1)+ROW()-5,$AC$2),EF$3))</f>
        <v>#N/A</v>
      </c>
      <c r="EG32" t="e">
        <f>IF(OR(ROW()-4&gt;INDEX($U$4:$U$11,$AC$2+1,1)-INDEX($U$4:$U$11,$AC$2,1),ROW()-4&gt;$AD$2),NA(),COUNTIF(INDEX($CB$5:$CH$201,INDEX($U$4:$U$11,1,1),$AC$2):INDEX($CB$5:$CH$201,INDEX($U$4:$U$11,1,1)+ROW()-5,$AC$2),EG$3))</f>
        <v>#N/A</v>
      </c>
      <c r="EH32" t="e">
        <f>IF(OR(ROW()-4&gt;INDEX($U$4:$U$11,$AC$2+1,1)-INDEX($U$4:$U$11,$AC$2,1),ROW()-4&gt;$AD$2),NA(),COUNTIF(INDEX($CB$5:$CH$201,INDEX($U$4:$U$11,1,1),$AC$2):INDEX($CB$5:$CH$201,INDEX($U$4:$U$11,1,1)+ROW()-5,$AC$2),EH$3))</f>
        <v>#N/A</v>
      </c>
      <c r="EI32" t="e">
        <f>IF(OR(ROW()-4&gt;INDEX($U$4:$U$11,$AC$2+1,1)-INDEX($U$4:$U$11,$AC$2,1),ROW()-4&gt;$AD$2),NA(),COUNTIF(INDEX($CB$5:$CH$201,INDEX($U$4:$U$11,1,1),$AC$2):INDEX($CB$5:$CH$201,INDEX($U$4:$U$11,1,1)+ROW()-5,$AC$2),EI$3))</f>
        <v>#N/A</v>
      </c>
      <c r="EJ32" t="e">
        <f>IF(OR(ROW()-4&gt;INDEX($U$4:$U$11,$AC$2+1,1)-INDEX($U$4:$U$11,$AC$2,1),ROW()-4&gt;$AD$2),NA(),COUNTIF(INDEX($CB$5:$CH$201,INDEX($U$4:$U$11,1,1),$AC$2):INDEX($CB$5:$CH$201,INDEX($U$4:$U$11,1,1)+ROW()-5,$AC$2),EJ$3))</f>
        <v>#N/A</v>
      </c>
      <c r="EK32" t="e">
        <f>IF(OR(ROW()-4&gt;INDEX($U$4:$U$11,$AC$2+1,1)-INDEX($U$4:$U$11,$AC$2,1),ROW()-4&gt;$AD$2),NA(),COUNTIF(INDEX($CB$5:$CH$201,INDEX($U$4:$U$11,1,1),$AC$2):INDEX($CB$5:$CH$201,INDEX($U$4:$U$11,1,1)+ROW()-5,$AC$2),EK$3))</f>
        <v>#N/A</v>
      </c>
      <c r="EL32" t="e">
        <f>IF(OR(ROW()-4&gt;INDEX($U$4:$U$11,$AC$2+1,1)-INDEX($U$4:$U$11,$AC$2,1),ROW()-4&gt;$AD$2),NA(),COUNTIF(INDEX($CB$5:$CH$201,INDEX($U$4:$U$11,1,1),$AC$2):INDEX($CB$5:$CH$201,INDEX($U$4:$U$11,1,1)+ROW()-5,$AC$2),EL$3))</f>
        <v>#N/A</v>
      </c>
      <c r="EN32" t="e">
        <f>IF(OR(ROW()-4&gt;INDEX($U$4:$U$11,$AC$2+1,1)-INDEX($U$4:$U$11,$AC$2,1),ROW()-4&gt;$AD$2),NA(),COUNTIF(INDEX($CJ$5:$CP$201,INDEX($U$4:$U$11,1,1),$AC$2):INDEX($CJ$5:$CP$201,INDEX($U$4:$U$11,1,1)+ROW()-5,$AC$2),EN$3))</f>
        <v>#N/A</v>
      </c>
      <c r="EO32" t="e">
        <f>IF(OR(ROW()-4&gt;INDEX($U$4:$U$11,$AC$2+1,1)-INDEX($U$4:$U$11,$AC$2,1),ROW()-4&gt;$AD$2),NA(),COUNTIF(INDEX($CJ$5:$CP$201,INDEX($U$4:$U$11,1,1),$AC$2):INDEX($CJ$5:$CP$201,INDEX($U$4:$U$11,1,1)+ROW()-5,$AC$2),EO$3))</f>
        <v>#N/A</v>
      </c>
      <c r="EQ32" t="e">
        <f>IF(OR(ROW()-4&gt;INDEX($U$4:$U$11,$AC$2+1,1)-INDEX($U$4:$U$11,$AC$2,1),ROW()-4&gt;$AD$2),NA(),COUNTIF(INDEX($CJ$5:$CP$201,INDEX($U$4:$U$11,1,1),$AC$2):INDEX($CJ$5:$CP$201,INDEX($U$4:$U$11,1,1)+ROW()-5,$AC$2),EQ$3))</f>
        <v>#N/A</v>
      </c>
      <c r="ER32" t="e">
        <f>IF(OR(ROW()-4&gt;INDEX($U$4:$U$11,$AC$2+1,1)-INDEX($U$4:$U$11,$AC$2,1),ROW()-4&gt;$AD$2),NA(),COUNTIF(INDEX($CJ$5:$CP$201,INDEX($U$4:$U$11,1,1),$AC$2):INDEX($CJ$5:$CP$201,INDEX($U$4:$U$11,1,1)+ROW()-5,$AC$2),ER$3))</f>
        <v>#N/A</v>
      </c>
      <c r="ET32" t="e">
        <f>IF(OR(ROW()-4&gt;INDEX($U$4:$U$11,$AC$2+1,1)-INDEX($U$4:$U$11,$AC$2,1),ROW()-4&gt;$AD$2),NA(),COUNTIF(INDEX($CR$5:$CX$201,INDEX($U$4:$U$11,1,1),$AC$2):INDEX($CR$5:$CX$201,INDEX($U$4:$U$11,1,1)+ROW()-5,$AC$2),ET$3))</f>
        <v>#N/A</v>
      </c>
      <c r="EU32" t="e">
        <f>IF(OR(ROW()-4&gt;INDEX($U$4:$U$11,$AC$2+1,1)-INDEX($U$4:$U$11,$AC$2,1),ROW()-4&gt;$AD$2),NA(),COUNTIF(INDEX($CR$5:$CX$201,INDEX($U$4:$U$11,1,1),$AC$2):INDEX($CR$5:$CX$201,INDEX($U$4:$U$11,1,1)+ROW()-5,$AC$2),EU$3))</f>
        <v>#N/A</v>
      </c>
      <c r="EV32" t="e">
        <f>IF(OR(ROW()-4&gt;INDEX($U$4:$U$11,$AC$2+1,1)-INDEX($U$4:$U$11,$AC$2,1),ROW()-4&gt;$AD$2),NA(),COUNTIF(INDEX($CR$5:$CX$201,INDEX($U$4:$U$11,1,1),$AC$2):INDEX($CR$5:$CX$201,INDEX($U$4:$U$11,1,1)+ROW()-5,$AC$2),EV$3))</f>
        <v>#N/A</v>
      </c>
      <c r="EW32" t="e">
        <f>IF(OR(ROW()-4&gt;INDEX($U$4:$U$11,$AC$2+1,1)-INDEX($U$4:$U$11,$AC$2,1),ROW()-4&gt;$AD$2),NA(),COUNTIF(INDEX($CR$5:$CX$201,INDEX($U$4:$U$11,1,1),$AC$2):INDEX($CR$5:$CX$201,INDEX($U$4:$U$11,1,1)+ROW()-5,$AC$2),EW$3))</f>
        <v>#N/A</v>
      </c>
      <c r="EX32" t="e">
        <f>IF(OR(ROW()-4&gt;INDEX($U$4:$U$11,$AC$2+1,1)-INDEX($U$4:$U$11,$AC$2,1),ROW()-4&gt;$AD$2),NA(),COUNTIF(INDEX($CR$5:$CX$201,INDEX($U$4:$U$11,1,1),$AC$2):INDEX($CR$5:$CX$201,INDEX($U$4:$U$11,1,1)+ROW()-5,$AC$2),EX$3))</f>
        <v>#N/A</v>
      </c>
      <c r="EY32" t="e">
        <f>IF(OR(ROW()-4&gt;INDEX($U$4:$U$11,$AC$2+1,1)-INDEX($U$4:$U$11,$AC$2,1),ROW()-4&gt;$AD$2),NA(),COUNTIF(INDEX($CR$5:$CX$201,INDEX($U$4:$U$11,1,1),$AC$2):INDEX($CR$5:$CX$201,INDEX($U$4:$U$11,1,1)+ROW()-5,$AC$2),EY$3))</f>
        <v>#N/A</v>
      </c>
      <c r="EZ32" t="e">
        <f>IF(OR(ROW()-4&gt;INDEX($U$4:$U$11,$AC$2+1,1)-INDEX($U$4:$U$11,$AC$2,1),ROW()-4&gt;$AD$2),NA(),COUNTIF(INDEX($CR$5:$CX$201,INDEX($U$4:$U$11,1,1),$AC$2):INDEX($CR$5:$CX$201,INDEX($U$4:$U$11,1,1)+ROW()-5,$AC$2),EZ$3))</f>
        <v>#N/A</v>
      </c>
      <c r="FA32" t="e">
        <f>IF(OR(ROW()-4&gt;INDEX($U$4:$U$11,$AC$2+1,1)-INDEX($U$4:$U$11,$AC$2,1),ROW()-4&gt;$AD$2),NA(),COUNTIF(INDEX($CR$5:$CX$201,INDEX($U$4:$U$11,1,1),$AC$2):INDEX($CR$5:$CX$201,INDEX($U$4:$U$11,1,1)+ROW()-5,$AC$2),FA$3))</f>
        <v>#N/A</v>
      </c>
      <c r="FC32" t="e">
        <f>IF(OR(ROW()-4&gt;INDEX($U$4:$U$11,$AC$2+1,1)-INDEX($U$4:$U$11,$AC$2,1),ROW()-4&gt;$AD$2),NA(),COUNTIF(INDEX($CR$5:$CX$201,INDEX($U$4:$U$11,1,1),$AC$2):INDEX($CR$5:$CX$201,INDEX($U$4:$U$11,1,1)+ROW()-5,$AC$2),FC$3))</f>
        <v>#N/A</v>
      </c>
      <c r="FD32" t="e">
        <f>IF(OR(ROW()-4&gt;INDEX($U$4:$U$11,$AC$2+1,1)-INDEX($U$4:$U$11,$AC$2,1),ROW()-4&gt;$AD$2),NA(),COUNTIF(INDEX($CR$5:$CX$201,INDEX($U$4:$U$11,1,1),$AC$2):INDEX($CR$5:$CX$201,INDEX($U$4:$U$11,1,1)+ROW()-5,$AC$2),FD$3))</f>
        <v>#N/A</v>
      </c>
      <c r="FE32" t="e">
        <f>IF(OR(ROW()-4&gt;INDEX($U$4:$U$11,$AC$2+1,1)-INDEX($U$4:$U$11,$AC$2,1),ROW()-4&gt;$AD$2),NA(),COUNTIF(INDEX($CR$5:$CX$201,INDEX($U$4:$U$11,1,1),$AC$2):INDEX($CR$5:$CX$201,INDEX($U$4:$U$11,1,1)+ROW()-5,$AC$2),FE$3))</f>
        <v>#N/A</v>
      </c>
      <c r="FF32" t="e">
        <f>IF(OR(ROW()-4&gt;INDEX($U$4:$U$11,$AC$2+1,1)-INDEX($U$4:$U$11,$AC$2,1),ROW()-4&gt;$AD$2),NA(),COUNTIF(INDEX($CR$5:$CX$201,INDEX($U$4:$U$11,1,1),$AC$2):INDEX($CR$5:$CX$201,INDEX($U$4:$U$11,1,1)+ROW()-5,$AC$2),FF$3))</f>
        <v>#N/A</v>
      </c>
      <c r="FG32" t="e">
        <f>IF(OR(ROW()-4&gt;INDEX($U$4:$U$11,$AC$2+1,1)-INDEX($U$4:$U$11,$AC$2,1),ROW()-4&gt;$AD$2),NA(),COUNTIF(INDEX($CR$5:$CX$201,INDEX($U$4:$U$11,1,1),$AC$2):INDEX($CR$5:$CX$201,INDEX($U$4:$U$11,1,1)+ROW()-5,$AC$2),FG$3))</f>
        <v>#N/A</v>
      </c>
      <c r="FH32" t="e">
        <f>IF(OR(ROW()-4&gt;INDEX($U$4:$U$11,$AC$2+1,1)-INDEX($U$4:$U$11,$AC$2,1),ROW()-4&gt;$AD$2),NA(),COUNTIF(INDEX($CR$5:$CX$201,INDEX($U$4:$U$11,1,1),$AC$2):INDEX($CR$5:$CX$201,INDEX($U$4:$U$11,1,1)+ROW()-5,$AC$2),FH$3))</f>
        <v>#N/A</v>
      </c>
      <c r="FI32" t="e">
        <f>IF(OR(ROW()-4&gt;INDEX($U$4:$U$11,$AC$2+1,1)-INDEX($U$4:$U$11,$AC$2,1),ROW()-4&gt;$AD$2),NA(),COUNTIF(INDEX($CR$5:$CX$201,INDEX($U$4:$U$11,1,1),$AC$2):INDEX($CR$5:$CX$201,INDEX($U$4:$U$11,1,1)+ROW()-5,$AC$2),FI$3))</f>
        <v>#N/A</v>
      </c>
      <c r="FJ32" t="e">
        <f>IF(OR(ROW()-4&gt;INDEX($U$4:$U$11,$AC$2+1,1)-INDEX($U$4:$U$11,$AC$2,1),ROW()-4&gt;$AD$2),NA(),COUNTIF(INDEX($CR$5:$CX$201,INDEX($U$4:$U$11,1,1),$AC$2):INDEX($CR$5:$CX$201,INDEX($U$4:$U$11,1,1)+ROW()-5,$AC$2),FJ$3))</f>
        <v>#N/A</v>
      </c>
      <c r="FL32" t="e">
        <f>IF(OR(ROW()-4&gt;INDEX($U$4:$U$11,$AC$2+1,1)-INDEX($U$4:$U$11,$AC$2,1),ROW()-4&gt;$AD$2),NA(),COUNTIF(INDEX($CZ$5:$DF$201,INDEX($U$4:$U$11,1,1),$AC$2):INDEX($CZ$5:$DF$201,INDEX($U$4:$U$11,1,1)+ROW()-5,$AC$2),FL$3))</f>
        <v>#N/A</v>
      </c>
      <c r="FM32" t="e">
        <f>IF(OR(ROW()-4&gt;INDEX($U$4:$U$11,$AC$2+1,1)-INDEX($U$4:$U$11,$AC$2,1),ROW()-4&gt;$AD$2),NA(),COUNTIF(INDEX($CZ$5:$DF$201,INDEX($U$4:$U$11,1,1),$AC$2):INDEX($CZ$5:$DF$201,INDEX($U$4:$U$11,1,1)+ROW()-5,$AC$2),FM$3))</f>
        <v>#N/A</v>
      </c>
      <c r="FN32" t="e">
        <f>IF(OR(ROW()-4&gt;INDEX($U$4:$U$11,$AC$2+1,1)-INDEX($U$4:$U$11,$AC$2,1),ROW()-4&gt;$AD$2),NA(),COUNTIF(INDEX($CZ$5:$DF$201,INDEX($U$4:$U$11,1,1),$AC$2):INDEX($CZ$5:$DF$201,INDEX($U$4:$U$11,1,1)+ROW()-5,$AC$2),FN$3))</f>
        <v>#N/A</v>
      </c>
      <c r="FO32" t="e">
        <f>IF(OR(ROW()-4&gt;INDEX($U$4:$U$11,$AC$2+1,1)-INDEX($U$4:$U$11,$AC$2,1),ROW()-4&gt;$AD$2),NA(),COUNTIF(INDEX($CZ$5:$DF$201,INDEX($U$4:$U$11,1,1),$AC$2):INDEX($CZ$5:$DF$201,INDEX($U$4:$U$11,1,1)+ROW()-5,$AC$2),FO$3))</f>
        <v>#N/A</v>
      </c>
      <c r="FP32" t="e">
        <f>IF(OR(ROW()-4&gt;INDEX($U$4:$U$11,$AC$2+1,1)-INDEX($U$4:$U$11,$AC$2,1),ROW()-4&gt;$AD$2),NA(),COUNTIF(INDEX($CZ$5:$DF$201,INDEX($U$4:$U$11,1,1),$AC$2):INDEX($CZ$5:$DF$201,INDEX($U$4:$U$11,1,1)+ROW()-5,$AC$2),FP$3))</f>
        <v>#N/A</v>
      </c>
      <c r="FQ32" t="e">
        <f>IF(OR(ROW()-4&gt;INDEX($U$4:$U$11,$AC$2+1,1)-INDEX($U$4:$U$11,$AC$2,1),ROW()-4&gt;$AD$2),NA(),COUNTIF(INDEX($CZ$5:$DF$201,INDEX($U$4:$U$11,1,1),$AC$2):INDEX($CZ$5:$DF$201,INDEX($U$4:$U$11,1,1)+ROW()-5,$AC$2),FQ$3))</f>
        <v>#N/A</v>
      </c>
      <c r="FR32" t="e">
        <f>IF(OR(ROW()-4&gt;INDEX($U$4:$U$11,$AC$2+1,1)-INDEX($U$4:$U$11,$AC$2,1),ROW()-4&gt;$AD$2),NA(),COUNTIF(INDEX($CZ$5:$DF$201,INDEX($U$4:$U$11,1,1),$AC$2):INDEX($CZ$5:$DF$201,INDEX($U$4:$U$11,1,1)+ROW()-5,$AC$2),FR$3))</f>
        <v>#N/A</v>
      </c>
      <c r="FS32" t="e">
        <f>IF(OR(ROW()-4&gt;INDEX($U$4:$U$11,$AC$2+1,1)-INDEX($U$4:$U$11,$AC$2,1),ROW()-4&gt;$AD$2),NA(),COUNTIF(INDEX($CZ$5:$DF$201,INDEX($U$4:$U$11,1,1),$AC$2):INDEX($CZ$5:$DF$201,INDEX($U$4:$U$11,1,1)+ROW()-5,$AC$2),FS$3))</f>
        <v>#N/A</v>
      </c>
      <c r="FT32" t="e">
        <f>IF(OR(ROW()-4&gt;INDEX($U$4:$U$11,$AC$2+1,1)-INDEX($U$4:$U$11,$AC$2,1),ROW()-4&gt;$AD$2),NA(),COUNTIF(INDEX($CZ$5:$DF$201,INDEX($U$4:$U$11,1,1),$AC$2):INDEX($CZ$5:$DF$201,INDEX($U$4:$U$11,1,1)+ROW()-5,$AC$2),FT$3))</f>
        <v>#N/A</v>
      </c>
      <c r="FU32" t="e">
        <f>IF(OR(ROW()-4&gt;INDEX($U$4:$U$11,$AC$2+1,1)-INDEX($U$4:$U$11,$AC$2,1),ROW()-4&gt;$AD$2),NA(),COUNTIF(INDEX($CZ$5:$DF$201,INDEX($U$4:$U$11,1,1),$AC$2):INDEX($CZ$5:$DF$201,INDEX($U$4:$U$11,1,1)+ROW()-5,$AC$2),FU$3))</f>
        <v>#N/A</v>
      </c>
      <c r="FW32" t="e">
        <f>IF(OR(ROW()-4&gt;INDEX($U$4:$U$11,$AC$2+1,1)-INDEX($U$4:$U$11,$AC$2,1),ROW()-4&gt;$AD$2),NA(),COUNTIF(INDEX($CZ$5:$DF$201,INDEX($U$4:$U$11,1,1),$AC$2):INDEX($CZ$5:$DF$201,INDEX($U$4:$U$11,1,1)+ROW()-5,$AC$2),FW$3))</f>
        <v>#N/A</v>
      </c>
      <c r="FX32" t="e">
        <f>IF(OR(ROW()-4&gt;INDEX($U$4:$U$11,$AC$2+1,1)-INDEX($U$4:$U$11,$AC$2,1),ROW()-4&gt;$AD$2),NA(),COUNTIF(INDEX($CZ$5:$DF$201,INDEX($U$4:$U$11,1,1),$AC$2):INDEX($CZ$5:$DF$201,INDEX($U$4:$U$11,1,1)+ROW()-5,$AC$2),FX$3))</f>
        <v>#N/A</v>
      </c>
      <c r="FY32" t="e">
        <f>IF(OR(ROW()-4&gt;INDEX($U$4:$U$11,$AC$2+1,1)-INDEX($U$4:$U$11,$AC$2,1),ROW()-4&gt;$AD$2),NA(),COUNTIF(INDEX($CZ$5:$DF$201,INDEX($U$4:$U$11,1,1),$AC$2):INDEX($CZ$5:$DF$201,INDEX($U$4:$U$11,1,1)+ROW()-5,$AC$2),FY$3))</f>
        <v>#N/A</v>
      </c>
      <c r="FZ32" t="e">
        <f>IF(OR(ROW()-4&gt;INDEX($U$4:$U$11,$AC$2+1,1)-INDEX($U$4:$U$11,$AC$2,1),ROW()-4&gt;$AD$2),NA(),COUNTIF(INDEX($CZ$5:$DF$201,INDEX($U$4:$U$11,1,1),$AC$2):INDEX($CZ$5:$DF$201,INDEX($U$4:$U$11,1,1)+ROW()-5,$AC$2),FZ$3))</f>
        <v>#N/A</v>
      </c>
      <c r="GA32" t="e">
        <f>IF(OR(ROW()-4&gt;INDEX($U$4:$U$11,$AC$2+1,1)-INDEX($U$4:$U$11,$AC$2,1),ROW()-4&gt;$AD$2),NA(),COUNTIF(INDEX($CZ$5:$DF$201,INDEX($U$4:$U$11,1,1),$AC$2):INDEX($CZ$5:$DF$201,INDEX($U$4:$U$11,1,1)+ROW()-5,$AC$2),GA$3))</f>
        <v>#N/A</v>
      </c>
      <c r="GB32" t="e">
        <f>IF(OR(ROW()-4&gt;INDEX($U$4:$U$11,$AC$2+1,1)-INDEX($U$4:$U$11,$AC$2,1),ROW()-4&gt;$AD$2),NA(),COUNTIF(INDEX($CZ$5:$DF$201,INDEX($U$4:$U$11,1,1),$AC$2):INDEX($CZ$5:$DF$201,INDEX($U$4:$U$11,1,1)+ROW()-5,$AC$2),GB$3))</f>
        <v>#N/A</v>
      </c>
      <c r="GC32" t="e">
        <f>IF(OR(ROW()-4&gt;INDEX($U$4:$U$11,$AC$2+1,1)-INDEX($U$4:$U$11,$AC$2,1),ROW()-4&gt;$AD$2),NA(),COUNTIF(INDEX($CZ$5:$DF$201,INDEX($U$4:$U$11,1,1),$AC$2):INDEX($CZ$5:$DF$201,INDEX($U$4:$U$11,1,1)+ROW()-5,$AC$2),GC$3))</f>
        <v>#N/A</v>
      </c>
      <c r="GD32" t="e">
        <f>IF(OR(ROW()-4&gt;INDEX($U$4:$U$11,$AC$2+1,1)-INDEX($U$4:$U$11,$AC$2,1),ROW()-4&gt;$AD$2),NA(),COUNTIF(INDEX($CZ$5:$DF$201,INDEX($U$4:$U$11,1,1),$AC$2):INDEX($CZ$5:$DF$201,INDEX($U$4:$U$11,1,1)+ROW()-5,$AC$2),GD$3))</f>
        <v>#N/A</v>
      </c>
      <c r="GE32" t="e">
        <f>IF(OR(ROW()-4&gt;INDEX($U$4:$U$11,$AC$2+1,1)-INDEX($U$4:$U$11,$AC$2,1),ROW()-4&gt;$AD$2),NA(),COUNTIF(INDEX($CZ$5:$DF$201,INDEX($U$4:$U$11,1,1),$AC$2):INDEX($CZ$5:$DF$201,INDEX($U$4:$U$11,1,1)+ROW()-5,$AC$2),GE$3))</f>
        <v>#N/A</v>
      </c>
      <c r="GF32" t="e">
        <f>IF(OR(ROW()-4&gt;INDEX($U$4:$U$11,$AC$2+1,1)-INDEX($U$4:$U$11,$AC$2,1),ROW()-4&gt;$AD$2),NA(),COUNTIF(INDEX($CZ$5:$DF$201,INDEX($U$4:$U$11,1,1),$AC$2):INDEX($CZ$5:$DF$201,INDEX($U$4:$U$11,1,1)+ROW()-5,$AC$2),GF$3))</f>
        <v>#N/A</v>
      </c>
      <c r="GK32" t="s">
        <v>48</v>
      </c>
    </row>
    <row r="33" spans="1:221" ht="18.600000000000001" thickBot="1" x14ac:dyDescent="0.5">
      <c r="A33" t="str">
        <f>データの貼付!A31</f>
        <v>KIHARA Miyuu</v>
      </c>
      <c r="B33">
        <f>データの貼付!B31</f>
        <v>7.623356481481481E-3</v>
      </c>
      <c r="C33">
        <f>データの貼付!C31</f>
        <v>5.483796296296296E-5</v>
      </c>
      <c r="D33">
        <f>データの貼付!D31</f>
        <v>6.9444444444444447E-4</v>
      </c>
      <c r="E33" t="str">
        <f>データの貼付!F31</f>
        <v>KIHARA Miyuu</v>
      </c>
      <c r="F33">
        <f>データの貼付!E31</f>
        <v>0</v>
      </c>
      <c r="G33" t="str">
        <f>データの貼付!G31</f>
        <v>#01</v>
      </c>
      <c r="H33" t="str">
        <f>データの貼付!H31</f>
        <v>KIHARA Miyuu</v>
      </c>
      <c r="I33" t="str">
        <f>データの貼付!I31</f>
        <v>(Side)</v>
      </c>
      <c r="J33" t="str">
        <f>データの貼付!J31</f>
        <v>B</v>
      </c>
      <c r="K33" t="str">
        <f>データの貼付!K31</f>
        <v>FMS</v>
      </c>
      <c r="L33" t="str">
        <f>データの貼付!L31</f>
        <v>F</v>
      </c>
      <c r="M33" t="str">
        <f>データの貼付!M31</f>
        <v>Push</v>
      </c>
      <c r="N33" t="str">
        <f>データの貼付!N31</f>
        <v>オーバーミス</v>
      </c>
      <c r="R33">
        <f t="shared" si="59"/>
        <v>0</v>
      </c>
      <c r="S33">
        <f>SUM(R$4:R33)</f>
        <v>2</v>
      </c>
      <c r="T33" t="str">
        <f t="shared" si="60"/>
        <v/>
      </c>
      <c r="W33" t="str">
        <f t="shared" si="57"/>
        <v>KIHARA Miyuu_KIHARA Miyuu</v>
      </c>
      <c r="X33" t="str">
        <f t="shared" si="58"/>
        <v>KIHARA Miyuu_#01</v>
      </c>
      <c r="AC33" s="8" t="e">
        <f>IF(OR(ROW()-4&gt;INDEX($U$4:$U$11,AC$2+1)-INDEX($U$4:$U$11,AC$2),ROW()-4&gt;AD$2),NA(),COUNTIF(INDEX($W$4:$W$200,INDEX($U$4:$U$11,AC$2)):INDEX($W$4:$W$200,INDEX($U$4:$U$11,AC$2)+ROW()-5),AC$3&amp;"_"&amp;AC$3)/(COUNTIF(INDEX($W$4:$W$200,INDEX($U$4:$U$11,AC$2)):INDEX($W$4:$W$200,INDEX($U$4:$U$11,AC$2)+ROW()-5),AC$3&amp;"_"&amp;AC$3)+COUNTIF(INDEX($W$4:$W$200,INDEX($U$4:$U$11,AC$2)):INDEX($W$4:$W$200,INDEX($U$4:$U$11,AC$2)+ROW()-5),AD$3&amp;"_"&amp;AC$3)))</f>
        <v>#N/A</v>
      </c>
      <c r="AD33" s="8" t="e">
        <f>IF(OR(ROW()-4&gt;INDEX($U$4:$U$11,AC$2+1)-INDEX($U$4:$U$11,AC$2),ROW()-4&gt;AD$2),NA(),COUNTIF(INDEX($W$4:$W$200,INDEX($U$4:$U$11,AC$2)):INDEX($W$4:$W$200,INDEX($U$4:$U$11,AC$2)+ROW()-5),AD$3&amp;"_"&amp;AD$3)/(COUNTIF(INDEX($W$4:$W$200,INDEX($U$4:$U$11,AC$2)):INDEX($W$4:$W$200,INDEX($U$4:$U$11,AC$2)+ROW()-5),AD$3&amp;"_"&amp;AD$3)+COUNTIF(INDEX($W$4:$W$200,INDEX($U$4:$U$11,AC$2)):INDEX($W$4:$W$200,INDEX($U$4:$U$11,AC$2)+ROW()-5),AC$3&amp;"_"&amp;AD$3)))</f>
        <v>#N/A</v>
      </c>
      <c r="AE33" s="10" t="e">
        <f>IF(OR(ROW()-4&gt;INDEX($U$4:$U$11,AC$2+1)-INDEX($U$4:$U$11,AC$2),ROW()-4&gt;AD$2),NA(),COUNTIF(INDEX($W$4:$W$200,INDEX($U$4:$U$11,AC$2)):INDEX($W$4:$W$200,INDEX($U$4:$U$11,AC$2)+ROW()-5),AC$3&amp;"_"&amp;AD$3)/(COUNTIF(INDEX($W$4:$W$200,INDEX($U$4:$U$11,AC$2)):INDEX($W$4:$W$200,INDEX($U$4:$U$11,AC$2)+ROW()-5),AC$3&amp;"_"&amp;AD$3)+COUNTIF(INDEX($W$4:$W$200,INDEX($U$4:$U$11,AC$2)):INDEX($W$4:$W$200,INDEX($U$4:$U$11,AC$2)+ROW()-5),AD$3&amp;"_"&amp;AD$3)))</f>
        <v>#N/A</v>
      </c>
      <c r="AF33" s="10" t="e">
        <f>IF(OR(ROW()-4&gt;INDEX($U$4:$U$11,AC$2+1)-INDEX($U$4:$U$11,AC$2),ROW()-4&gt;AD$2),NA(),COUNTIF(INDEX($W$4:$W$200,INDEX($U$4:$U$11,AC$2)):INDEX($W$4:$W$200,INDEX($U$4:$U$11,AC$2)+ROW()-5),AD$3&amp;"_"&amp;AC$3)/(COUNTIF(INDEX($W$4:$W$200,INDEX($U$4:$U$11,AC$2)):INDEX($W$4:$W$200,INDEX($U$4:$U$11,AC$2)+ROW()-5),AD$3&amp;"_"&amp;AC$3)+COUNTIF(INDEX($W$4:$W$200,INDEX($U$4:$U$11,AC$2)):INDEX($W$4:$W$200,INDEX($U$4:$U$11,AC$2)+ROW()-5),AC$3&amp;"_"&amp;AC$3)))</f>
        <v>#N/A</v>
      </c>
      <c r="AG33" s="10" t="e">
        <f>IF(OR(ROW()-4&gt;INDEX($U$4:$U$11,AC$2+1)-INDEX($U$4:$U$11,AC$2),ROW()-4&gt;AD$2),NA(),COUNTIF(INDEX($X$4:$X$200,INDEX($U$4:$U$11,AC$2)):INDEX($X$4:$X$200,INDEX($U$4:$U$11,AC$2)+ROW()-5),AC$3&amp;"_#03")/(COUNTIF(INDEX($W$4:$W$200,INDEX($U$4:$U$11,AC$2)):INDEX($W$4:$W$200,INDEX($U$4:$U$11,AC$2)+ROW()-5),AC$3&amp;"_"&amp;AC$3)+COUNTIF(INDEX($W$4:$W$200,INDEX($U$4:$U$11,AC$2)):INDEX($W$4:$W$200,INDEX($U$4:$U$11,AC$2)+ROW()-5),AD$3&amp;"_"&amp;AC$3)))</f>
        <v>#N/A</v>
      </c>
      <c r="AH33" s="10" t="e">
        <f>IF(OR(ROW()-4&gt;INDEX($U$4:$U$11,AC$2+1)-INDEX($U$4:$U$11,AC$2),ROW()-4&gt;AD$2),NA(),COUNTIF(INDEX($X$4:$X$200,INDEX($U$4:$U$11,AC$2)):INDEX($X$4:$X$200,INDEX($U$4:$U$11,AC$2)+ROW()-5),AD$3&amp;"_#03")/(COUNTIF(INDEX($W$4:$W$200,INDEX($U$4:$U$11,AC$2)):INDEX($W$4:$W$200,INDEX($U$4:$U$11,AC$2)+ROW()-5),AD$3&amp;"_"&amp;AD$3)+COUNTIF(INDEX($W$4:$W$200,INDEX($U$4:$U$11,AC$2)):INDEX($W$4:$W$200,INDEX($U$4:$U$11,AC$2)+ROW()-5),AC$3&amp;"_"&amp;AD$3)))</f>
        <v>#N/A</v>
      </c>
      <c r="AI33" s="10" t="e">
        <f>IF(OR(ROW()-4&gt;INDEX($U$4:$U$11,AC$2+1)-INDEX($U$4:$U$11,AC$2),ROW()-4&gt;AD$2),NA(),(COUNTIF(INDEX($X$4:$X$200,INDEX($U$4:$U$11,AC$2)):INDEX($X$4:$X$200,INDEX($U$4:$U$11,AC$2)+ROW()-5),AC$3&amp;"_#03")-COUNTIF(INDEX($X$4:$X$200,INDEX($U$4:$U$11,AC$2)):INDEX($X$4:$X$200,INDEX($U$4:$U$11,AC$2)+ROW()-5),AD$3&amp;"_#02"))/(COUNTIF(INDEX($W$4:$W$200,INDEX($U$4:$U$11,AC$2)):INDEX($W$4:$W$200,INDEX($U$4:$U$11,AC$2)+ROW()-5),AC$3&amp;"_"&amp;AC$3)+COUNTIF(INDEX($W$4:$W$200,INDEX($U$4:$U$11,AC$2)):INDEX($W$4:$W$200,INDEX($U$4:$U$11,AC$2)+ROW()-5),AD$3&amp;"_"&amp;AC$3)))</f>
        <v>#N/A</v>
      </c>
      <c r="AJ33" s="10" t="e">
        <f>IF(OR(ROW()-4&gt;INDEX($U$4:$U$11,AC$2+1)-INDEX($U$4:$U$11,AC$2),ROW()-4&gt;AD$2),NA(),(COUNTIF(INDEX($X$4:$X$200,INDEX($U$4:$U$11,AC$2)):INDEX($X$4:$X$200,INDEX($U$4:$U$11,AC$2)+ROW()-5),AD$3&amp;"_#03")-COUNTIF(INDEX($X$4:$X$200,INDEX($U$4:$U$11,AC$2)):INDEX($X$4:$X$200,INDEX($U$4:$U$11,AC$2)+ROW()-5),AC$3&amp;"_#02"))/(COUNTIF(INDEX($W$4:$W$200,INDEX($U$4:$U$11,AC$2)):INDEX($W$4:$W$200,INDEX($U$4:$U$11,AC$2)+ROW()-5),AD$3&amp;"_"&amp;AD$3)+COUNTIF(INDEX($W$4:$W$200,INDEX($U$4:$U$11,AC$2)):INDEX($W$4:$W$200,INDEX($U$4:$U$11,AC$2)+ROW()-5),AC$3&amp;"_"&amp;AD$3)))</f>
        <v>#N/A</v>
      </c>
      <c r="AK33" s="10" t="e">
        <f>IF(OR(ROW()-4&gt;INDEX($U$4:$U$11,AC$2+1)-INDEX($U$4:$U$11,AC$2),ROW()-4&gt;AD$2),NA(),(COUNTIF(INDEX($X$4:$X$200,INDEX($U$4:$U$11,AC$2)):INDEX($X$4:$X$200,INDEX($U$4:$U$11,AC$2)+ROW()-5),AC$3&amp;"_#01")+COUNTIF(INDEX($X$4:$X$200,INDEX($U$4:$U$11,AC$2)):INDEX($X$4:$X$200,INDEX($U$4:$U$11,AC$2)+ROW()-5),AC$3&amp;"_#03"))/(COUNTIF(INDEX($W$4:$W$200,INDEX($U$4:$U$11,AC$2)):INDEX($W$4:$W$200,INDEX($U$4:$U$11,AC$2)+ROW()-5),AC$3&amp;"_"&amp;AC$3)+COUNTIF(INDEX($W$4:$W$200,INDEX($U$4:$U$11,AC$2)):INDEX($W$4:$W$200,INDEX($U$4:$U$11,AC$2)+ROW()-5),AD$3&amp;"_"&amp;AC$3)))</f>
        <v>#N/A</v>
      </c>
      <c r="AL33" s="10" t="e">
        <f>IF(OR(ROW()-4&gt;INDEX($U$4:$U$11,AC$2+1)-INDEX($U$4:$U$11,AC$2),ROW()-4&gt;AD$2),NA(),(COUNTIF(INDEX($X$4:$X$200,INDEX($U$4:$U$11,AC$2)):INDEX($X$4:$X$200,INDEX($U$4:$U$11,AC$2)+ROW()-5),AD$3&amp;"_#01")+COUNTIF(INDEX($X$4:$X$200,INDEX($U$4:$U$11,AC$2)):INDEX($X$4:$X$200,INDEX($U$4:$U$11,AC$2)+ROW()-5),AD$3&amp;"_#03"))/(COUNTIF(INDEX($W$4:$W$200,INDEX($U$4:$U$11,AC$2)):INDEX($W$4:$W$200,INDEX($U$4:$U$11,AC$2)+ROW()-5),AD$3&amp;"_"&amp;AD$3)+COUNTIF(INDEX($W$4:$W$200,INDEX($U$4:$U$11,AC$2)):INDEX($W$4:$W$200,INDEX($U$4:$U$11,AC$2)+ROW()-5),AC$3&amp;"_"&amp;AD$3)))</f>
        <v>#N/A</v>
      </c>
      <c r="AN33" t="str">
        <f t="shared" si="125"/>
        <v/>
      </c>
      <c r="AO33" t="str">
        <f t="shared" si="111"/>
        <v/>
      </c>
      <c r="AP33" t="str">
        <f t="shared" si="112"/>
        <v/>
      </c>
      <c r="AQ33" t="str">
        <f t="shared" si="113"/>
        <v/>
      </c>
      <c r="AR33" t="str">
        <f t="shared" si="114"/>
        <v/>
      </c>
      <c r="AS33" t="e">
        <f t="shared" si="115"/>
        <v>#VALUE!</v>
      </c>
      <c r="AT33" t="e">
        <f t="shared" si="116"/>
        <v>#VALUE!</v>
      </c>
      <c r="AV33" t="e">
        <f t="shared" si="117"/>
        <v>#VALUE!</v>
      </c>
      <c r="AW33" t="e">
        <f t="shared" si="63"/>
        <v>#VALUE!</v>
      </c>
      <c r="AX33" t="e">
        <f t="shared" si="64"/>
        <v>#VALUE!</v>
      </c>
      <c r="AY33" t="e">
        <f t="shared" si="65"/>
        <v>#VALUE!</v>
      </c>
      <c r="AZ33" t="e">
        <f t="shared" si="66"/>
        <v>#VALUE!</v>
      </c>
      <c r="BA33" t="e">
        <f t="shared" si="67"/>
        <v>#VALUE!</v>
      </c>
      <c r="BB33" t="e">
        <f t="shared" si="68"/>
        <v>#VALUE!</v>
      </c>
      <c r="BD33" t="e">
        <f t="shared" si="118"/>
        <v>#VALUE!</v>
      </c>
      <c r="BE33" t="e">
        <f t="shared" si="69"/>
        <v>#VALUE!</v>
      </c>
      <c r="BF33" t="e">
        <f t="shared" si="70"/>
        <v>#VALUE!</v>
      </c>
      <c r="BG33" t="e">
        <f t="shared" si="71"/>
        <v>#VALUE!</v>
      </c>
      <c r="BH33" t="e">
        <f t="shared" si="72"/>
        <v>#VALUE!</v>
      </c>
      <c r="BI33" t="e">
        <f t="shared" si="73"/>
        <v>#VALUE!</v>
      </c>
      <c r="BJ33" t="e">
        <f t="shared" si="74"/>
        <v>#VALUE!</v>
      </c>
      <c r="BL33" t="e">
        <f t="shared" si="119"/>
        <v>#VALUE!</v>
      </c>
      <c r="BM33" t="e">
        <f t="shared" si="75"/>
        <v>#VALUE!</v>
      </c>
      <c r="BN33" t="e">
        <f t="shared" si="76"/>
        <v>#VALUE!</v>
      </c>
      <c r="BO33" t="e">
        <f t="shared" si="77"/>
        <v>#VALUE!</v>
      </c>
      <c r="BP33" t="e">
        <f t="shared" si="78"/>
        <v>#VALUE!</v>
      </c>
      <c r="BQ33" t="e">
        <f t="shared" si="79"/>
        <v>#VALUE!</v>
      </c>
      <c r="BR33" t="e">
        <f t="shared" si="80"/>
        <v>#VALUE!</v>
      </c>
      <c r="BT33" t="e">
        <f t="shared" si="120"/>
        <v>#VALUE!</v>
      </c>
      <c r="BU33" t="e">
        <f t="shared" si="81"/>
        <v>#VALUE!</v>
      </c>
      <c r="BV33" t="e">
        <f t="shared" si="82"/>
        <v>#VALUE!</v>
      </c>
      <c r="BW33" t="e">
        <f t="shared" si="83"/>
        <v>#VALUE!</v>
      </c>
      <c r="BX33" t="e">
        <f t="shared" si="84"/>
        <v>#VALUE!</v>
      </c>
      <c r="BY33" t="e">
        <f t="shared" si="85"/>
        <v>#VALUE!</v>
      </c>
      <c r="BZ33" t="e">
        <f t="shared" si="86"/>
        <v>#VALUE!</v>
      </c>
      <c r="CB33" t="e">
        <f t="shared" si="121"/>
        <v>#VALUE!</v>
      </c>
      <c r="CC33" t="e">
        <f t="shared" si="87"/>
        <v>#VALUE!</v>
      </c>
      <c r="CD33" t="e">
        <f t="shared" si="88"/>
        <v>#VALUE!</v>
      </c>
      <c r="CE33" t="e">
        <f t="shared" si="89"/>
        <v>#VALUE!</v>
      </c>
      <c r="CF33" t="e">
        <f t="shared" si="90"/>
        <v>#VALUE!</v>
      </c>
      <c r="CG33" t="e">
        <f t="shared" si="91"/>
        <v>#VALUE!</v>
      </c>
      <c r="CH33" t="e">
        <f t="shared" si="92"/>
        <v>#VALUE!</v>
      </c>
      <c r="CJ33" t="e">
        <f t="shared" si="122"/>
        <v>#VALUE!</v>
      </c>
      <c r="CK33" t="e">
        <f t="shared" si="93"/>
        <v>#VALUE!</v>
      </c>
      <c r="CL33" t="e">
        <f t="shared" si="94"/>
        <v>#VALUE!</v>
      </c>
      <c r="CM33" t="e">
        <f t="shared" si="95"/>
        <v>#VALUE!</v>
      </c>
      <c r="CN33" t="e">
        <f t="shared" si="96"/>
        <v>#VALUE!</v>
      </c>
      <c r="CO33" t="e">
        <f t="shared" si="97"/>
        <v>#VALUE!</v>
      </c>
      <c r="CP33" t="e">
        <f t="shared" si="98"/>
        <v>#VALUE!</v>
      </c>
      <c r="CR33" t="e">
        <f t="shared" si="123"/>
        <v>#VALUE!</v>
      </c>
      <c r="CS33" t="e">
        <f t="shared" si="99"/>
        <v>#VALUE!</v>
      </c>
      <c r="CT33" t="e">
        <f t="shared" si="100"/>
        <v>#VALUE!</v>
      </c>
      <c r="CU33" t="e">
        <f t="shared" si="101"/>
        <v>#VALUE!</v>
      </c>
      <c r="CV33" t="e">
        <f t="shared" si="102"/>
        <v>#VALUE!</v>
      </c>
      <c r="CW33" t="e">
        <f t="shared" si="103"/>
        <v>#VALUE!</v>
      </c>
      <c r="CX33" t="e">
        <f t="shared" si="104"/>
        <v>#VALUE!</v>
      </c>
      <c r="CZ33" t="e">
        <f t="shared" si="124"/>
        <v>#VALUE!</v>
      </c>
      <c r="DA33" t="e">
        <f t="shared" si="105"/>
        <v>#VALUE!</v>
      </c>
      <c r="DB33" t="e">
        <f t="shared" si="106"/>
        <v>#VALUE!</v>
      </c>
      <c r="DC33" t="e">
        <f t="shared" si="107"/>
        <v>#VALUE!</v>
      </c>
      <c r="DD33" t="e">
        <f t="shared" si="108"/>
        <v>#VALUE!</v>
      </c>
      <c r="DE33" t="e">
        <f t="shared" si="109"/>
        <v>#VALUE!</v>
      </c>
      <c r="DF33" t="e">
        <f t="shared" si="110"/>
        <v>#VALUE!</v>
      </c>
      <c r="DH33" t="e">
        <f>IF(OR(ROW()-4&gt;INDEX($U$4:$U$11,$AC$2+1,1)-INDEX($U$4:$U$11,$AC$2,1),ROW()-4&gt;$AD$2),NA(),COUNTIF(INDEX($BL$5:$BR$50,INDEX($U$4:$U$11,1,1),$AC$2):INDEX($BL$5:$BR$50,INDEX($U$4:$U$11,1,1)+ROW()-5,$AC$2),DH$3))</f>
        <v>#N/A</v>
      </c>
      <c r="DI33" t="e">
        <f>IF(OR(ROW()-4&gt;INDEX($U$4:$U$11,$AC$2+1,1)-INDEX($U$4:$U$11,$AC$2,1),ROW()-4&gt;$AD$2),NA(),COUNTIF(INDEX($BL$5:$BR$50,INDEX($U$4:$U$11,1,1),$AC$2):INDEX($BL$5:$BR$50,INDEX($U$4:$U$11,1,1)+ROW()-5,$AC$2),DI$3))</f>
        <v>#N/A</v>
      </c>
      <c r="DJ33" t="e">
        <f>IF(OR(ROW()-4&gt;INDEX($U$4:$U$11,$AC$2+1,1)-INDEX($U$4:$U$11,$AC$2,1),ROW()-4&gt;$AD$2),NA(),COUNTIF(INDEX($BL$5:$BR$50,INDEX($U$4:$U$11,1,1),$AC$2):INDEX($BL$5:$BR$50,INDEX($U$4:$U$11,1,1)+ROW()-5,$AC$2),DJ$3))</f>
        <v>#N/A</v>
      </c>
      <c r="DL33" t="e">
        <f>IF(OR(ROW()-4&gt;INDEX($U$4:$U$11,$AC$2+1,1)-INDEX($U$4:$U$11,$AC$2,1),ROW()-4&gt;$AD$2),NA(),COUNTIF(INDEX($BL$5:$BR$50,INDEX($U$4:$U$11,1,1),$AC$2):INDEX($BL$5:$BR$50,INDEX($U$4:$U$11,1,1)+ROW()-5,$AC$2),DL$3))</f>
        <v>#N/A</v>
      </c>
      <c r="DM33" t="e">
        <f>IF(OR(ROW()-4&gt;INDEX($U$4:$U$11,$AC$2+1,1)-INDEX($U$4:$U$11,$AC$2,1),ROW()-4&gt;$AD$2),NA(),COUNTIF(INDEX($BL$5:$BR$50,INDEX($U$4:$U$11,1,1),$AC$2):INDEX($BL$5:$BR$50,INDEX($U$4:$U$11,1,1)+ROW()-5,$AC$2),DM$3))</f>
        <v>#N/A</v>
      </c>
      <c r="DN33" t="e">
        <f>IF(OR(ROW()-4&gt;INDEX($U$4:$U$11,$AC$2+1,1)-INDEX($U$4:$U$11,$AC$2,1),ROW()-4&gt;$AD$2),NA(),COUNTIF(INDEX($BL$5:$BR$50,INDEX($U$4:$U$11,1,1),$AC$2):INDEX($BL$5:$BR$50,INDEX($U$4:$U$11,1,1)+ROW()-5,$AC$2),DN$3))</f>
        <v>#N/A</v>
      </c>
      <c r="DP33" t="e">
        <f>IF(OR(ROW()-4&gt;INDEX($U$4:$U$11,$AC$2+1,1)-INDEX($U$4:$U$11,$AC$2,1),ROW()-4&gt;$AD$2),NA(),COUNTIF(INDEX($BT$5:$BZ$201,INDEX($U$4:$U$11,1,1),$AC$2):INDEX($BT$5:$BZ$201,INDEX($U$4:$U$11,1,1)+ROW()-5,$AC$2),DP$3))</f>
        <v>#N/A</v>
      </c>
      <c r="DQ33" t="e">
        <f>IF(OR(ROW()-4&gt;INDEX($U$4:$U$11,$AC$2+1,1)-INDEX($U$4:$U$11,$AC$2,1),ROW()-4&gt;$AD$2),NA(),COUNTIF(INDEX($BT$5:$BZ$201,INDEX($U$4:$U$11,1,1),$AC$2):INDEX($BT$5:$BZ$201,INDEX($U$4:$U$11,1,1)+ROW()-5,$AC$2),DQ$3))</f>
        <v>#N/A</v>
      </c>
      <c r="DS33" t="e">
        <f>IF(OR(ROW()-4&gt;INDEX($U$4:$U$11,$AC$2+1,1)-INDEX($U$4:$U$11,$AC$2,1),ROW()-4&gt;$AD$2),NA(),COUNTIF(INDEX($BT$5:$BZ$201,INDEX($U$4:$U$11,1,1),$AC$2):INDEX($BT$5:$BZ$201,INDEX($U$4:$U$11,1,1)+ROW()-5,$AC$2),DS$3))</f>
        <v>#N/A</v>
      </c>
      <c r="DT33" t="e">
        <f>IF(OR(ROW()-4&gt;INDEX($U$4:$U$11,$AC$2+1,1)-INDEX($U$4:$U$11,$AC$2,1),ROW()-4&gt;$AD$2),NA(),COUNTIF(INDEX($BT$5:$BZ$201,INDEX($U$4:$U$11,1,1),$AC$2):INDEX($BT$5:$BZ$201,INDEX($U$4:$U$11,1,1)+ROW()-5,$AC$2),DT$3))</f>
        <v>#N/A</v>
      </c>
      <c r="DV33" t="e">
        <f>IF(OR(ROW()-4&gt;INDEX($U$4:$U$11,$AC$2+1,1)-INDEX($U$4:$U$11,$AC$2,1),ROW()-4&gt;$AD$2),NA(),COUNTIF(INDEX($CB$5:$CH$201,INDEX($U$4:$U$11,1,1),$AC$2):INDEX($CB$5:$CH$201,INDEX($U$4:$U$11,1,1)+ROW()-5,$AC$2),DV$3))</f>
        <v>#N/A</v>
      </c>
      <c r="DW33" t="e">
        <f>IF(OR(ROW()-4&gt;INDEX($U$4:$U$11,$AC$2+1,1)-INDEX($U$4:$U$11,$AC$2,1),ROW()-4&gt;$AD$2),NA(),COUNTIF(INDEX($CB$5:$CH$201,INDEX($U$4:$U$11,1,1),$AC$2):INDEX($CB$5:$CH$201,INDEX($U$4:$U$11,1,1)+ROW()-5,$AC$2),DW$3))</f>
        <v>#N/A</v>
      </c>
      <c r="DX33" t="e">
        <f>IF(OR(ROW()-4&gt;INDEX($U$4:$U$11,$AC$2+1,1)-INDEX($U$4:$U$11,$AC$2,1),ROW()-4&gt;$AD$2),NA(),COUNTIF(INDEX($CB$5:$CH$201,INDEX($U$4:$U$11,1,1),$AC$2):INDEX($CB$5:$CH$201,INDEX($U$4:$U$11,1,1)+ROW()-5,$AC$2),DX$3))</f>
        <v>#N/A</v>
      </c>
      <c r="DY33" t="e">
        <f>IF(OR(ROW()-4&gt;INDEX($U$4:$U$11,$AC$2+1,1)-INDEX($U$4:$U$11,$AC$2,1),ROW()-4&gt;$AD$2),NA(),COUNTIF(INDEX($CB$5:$CH$201,INDEX($U$4:$U$11,1,1),$AC$2):INDEX($CB$5:$CH$201,INDEX($U$4:$U$11,1,1)+ROW()-5,$AC$2),DY$3))</f>
        <v>#N/A</v>
      </c>
      <c r="DZ33" t="e">
        <f>IF(OR(ROW()-4&gt;INDEX($U$4:$U$11,$AC$2+1,1)-INDEX($U$4:$U$11,$AC$2,1),ROW()-4&gt;$AD$2),NA(),COUNTIF(INDEX($CB$5:$CH$201,INDEX($U$4:$U$11,1,1),$AC$2):INDEX($CB$5:$CH$201,INDEX($U$4:$U$11,1,1)+ROW()-5,$AC$2),DZ$3))</f>
        <v>#N/A</v>
      </c>
      <c r="EA33" t="e">
        <f>IF(OR(ROW()-4&gt;INDEX($U$4:$U$11,$AC$2+1,1)-INDEX($U$4:$U$11,$AC$2,1),ROW()-4&gt;$AD$2),NA(),COUNTIF(INDEX($CB$5:$CH$201,INDEX($U$4:$U$11,1,1),$AC$2):INDEX($CB$5:$CH$201,INDEX($U$4:$U$11,1,1)+ROW()-5,$AC$2),EA$3))</f>
        <v>#N/A</v>
      </c>
      <c r="EB33" t="e">
        <f>IF(OR(ROW()-4&gt;INDEX($U$4:$U$11,$AC$2+1,1)-INDEX($U$4:$U$11,$AC$2,1),ROW()-4&gt;$AD$2),NA(),COUNTIF(INDEX($CB$5:$CH$201,INDEX($U$4:$U$11,1,1),$AC$2):INDEX($CB$5:$CH$201,INDEX($U$4:$U$11,1,1)+ROW()-5,$AC$2),EB$3))</f>
        <v>#N/A</v>
      </c>
      <c r="EC33" t="e">
        <f>IF(OR(ROW()-4&gt;INDEX($U$4:$U$11,$AC$2+1,1)-INDEX($U$4:$U$11,$AC$2,1),ROW()-4&gt;$AD$2),NA(),COUNTIF(INDEX($CB$5:$CH$201,INDEX($U$4:$U$11,1,1),$AC$2):INDEX($CB$5:$CH$201,INDEX($U$4:$U$11,1,1)+ROW()-5,$AC$2),EC$3))</f>
        <v>#N/A</v>
      </c>
      <c r="EE33" t="e">
        <f>IF(OR(ROW()-4&gt;INDEX($U$4:$U$11,$AC$2+1,1)-INDEX($U$4:$U$11,$AC$2,1),ROW()-4&gt;$AD$2),NA(),COUNTIF(INDEX($CB$5:$CH$201,INDEX($U$4:$U$11,1,1),$AC$2):INDEX($CB$5:$CH$201,INDEX($U$4:$U$11,1,1)+ROW()-5,$AC$2),EE$3))</f>
        <v>#N/A</v>
      </c>
      <c r="EF33" t="e">
        <f>IF(OR(ROW()-4&gt;INDEX($U$4:$U$11,$AC$2+1,1)-INDEX($U$4:$U$11,$AC$2,1),ROW()-4&gt;$AD$2),NA(),COUNTIF(INDEX($CB$5:$CH$201,INDEX($U$4:$U$11,1,1),$AC$2):INDEX($CB$5:$CH$201,INDEX($U$4:$U$11,1,1)+ROW()-5,$AC$2),EF$3))</f>
        <v>#N/A</v>
      </c>
      <c r="EG33" t="e">
        <f>IF(OR(ROW()-4&gt;INDEX($U$4:$U$11,$AC$2+1,1)-INDEX($U$4:$U$11,$AC$2,1),ROW()-4&gt;$AD$2),NA(),COUNTIF(INDEX($CB$5:$CH$201,INDEX($U$4:$U$11,1,1),$AC$2):INDEX($CB$5:$CH$201,INDEX($U$4:$U$11,1,1)+ROW()-5,$AC$2),EG$3))</f>
        <v>#N/A</v>
      </c>
      <c r="EH33" t="e">
        <f>IF(OR(ROW()-4&gt;INDEX($U$4:$U$11,$AC$2+1,1)-INDEX($U$4:$U$11,$AC$2,1),ROW()-4&gt;$AD$2),NA(),COUNTIF(INDEX($CB$5:$CH$201,INDEX($U$4:$U$11,1,1),$AC$2):INDEX($CB$5:$CH$201,INDEX($U$4:$U$11,1,1)+ROW()-5,$AC$2),EH$3))</f>
        <v>#N/A</v>
      </c>
      <c r="EI33" t="e">
        <f>IF(OR(ROW()-4&gt;INDEX($U$4:$U$11,$AC$2+1,1)-INDEX($U$4:$U$11,$AC$2,1),ROW()-4&gt;$AD$2),NA(),COUNTIF(INDEX($CB$5:$CH$201,INDEX($U$4:$U$11,1,1),$AC$2):INDEX($CB$5:$CH$201,INDEX($U$4:$U$11,1,1)+ROW()-5,$AC$2),EI$3))</f>
        <v>#N/A</v>
      </c>
      <c r="EJ33" t="e">
        <f>IF(OR(ROW()-4&gt;INDEX($U$4:$U$11,$AC$2+1,1)-INDEX($U$4:$U$11,$AC$2,1),ROW()-4&gt;$AD$2),NA(),COUNTIF(INDEX($CB$5:$CH$201,INDEX($U$4:$U$11,1,1),$AC$2):INDEX($CB$5:$CH$201,INDEX($U$4:$U$11,1,1)+ROW()-5,$AC$2),EJ$3))</f>
        <v>#N/A</v>
      </c>
      <c r="EK33" t="e">
        <f>IF(OR(ROW()-4&gt;INDEX($U$4:$U$11,$AC$2+1,1)-INDEX($U$4:$U$11,$AC$2,1),ROW()-4&gt;$AD$2),NA(),COUNTIF(INDEX($CB$5:$CH$201,INDEX($U$4:$U$11,1,1),$AC$2):INDEX($CB$5:$CH$201,INDEX($U$4:$U$11,1,1)+ROW()-5,$AC$2),EK$3))</f>
        <v>#N/A</v>
      </c>
      <c r="EL33" t="e">
        <f>IF(OR(ROW()-4&gt;INDEX($U$4:$U$11,$AC$2+1,1)-INDEX($U$4:$U$11,$AC$2,1),ROW()-4&gt;$AD$2),NA(),COUNTIF(INDEX($CB$5:$CH$201,INDEX($U$4:$U$11,1,1),$AC$2):INDEX($CB$5:$CH$201,INDEX($U$4:$U$11,1,1)+ROW()-5,$AC$2),EL$3))</f>
        <v>#N/A</v>
      </c>
      <c r="EN33" t="e">
        <f>IF(OR(ROW()-4&gt;INDEX($U$4:$U$11,$AC$2+1,1)-INDEX($U$4:$U$11,$AC$2,1),ROW()-4&gt;$AD$2),NA(),COUNTIF(INDEX($CJ$5:$CP$201,INDEX($U$4:$U$11,1,1),$AC$2):INDEX($CJ$5:$CP$201,INDEX($U$4:$U$11,1,1)+ROW()-5,$AC$2),EN$3))</f>
        <v>#N/A</v>
      </c>
      <c r="EO33" t="e">
        <f>IF(OR(ROW()-4&gt;INDEX($U$4:$U$11,$AC$2+1,1)-INDEX($U$4:$U$11,$AC$2,1),ROW()-4&gt;$AD$2),NA(),COUNTIF(INDEX($CJ$5:$CP$201,INDEX($U$4:$U$11,1,1),$AC$2):INDEX($CJ$5:$CP$201,INDEX($U$4:$U$11,1,1)+ROW()-5,$AC$2),EO$3))</f>
        <v>#N/A</v>
      </c>
      <c r="EQ33" t="e">
        <f>IF(OR(ROW()-4&gt;INDEX($U$4:$U$11,$AC$2+1,1)-INDEX($U$4:$U$11,$AC$2,1),ROW()-4&gt;$AD$2),NA(),COUNTIF(INDEX($CJ$5:$CP$201,INDEX($U$4:$U$11,1,1),$AC$2):INDEX($CJ$5:$CP$201,INDEX($U$4:$U$11,1,1)+ROW()-5,$AC$2),EQ$3))</f>
        <v>#N/A</v>
      </c>
      <c r="ER33" t="e">
        <f>IF(OR(ROW()-4&gt;INDEX($U$4:$U$11,$AC$2+1,1)-INDEX($U$4:$U$11,$AC$2,1),ROW()-4&gt;$AD$2),NA(),COUNTIF(INDEX($CJ$5:$CP$201,INDEX($U$4:$U$11,1,1),$AC$2):INDEX($CJ$5:$CP$201,INDEX($U$4:$U$11,1,1)+ROW()-5,$AC$2),ER$3))</f>
        <v>#N/A</v>
      </c>
      <c r="ET33" t="e">
        <f>IF(OR(ROW()-4&gt;INDEX($U$4:$U$11,$AC$2+1,1)-INDEX($U$4:$U$11,$AC$2,1),ROW()-4&gt;$AD$2),NA(),COUNTIF(INDEX($CR$5:$CX$201,INDEX($U$4:$U$11,1,1),$AC$2):INDEX($CR$5:$CX$201,INDEX($U$4:$U$11,1,1)+ROW()-5,$AC$2),ET$3))</f>
        <v>#N/A</v>
      </c>
      <c r="EU33" t="e">
        <f>IF(OR(ROW()-4&gt;INDEX($U$4:$U$11,$AC$2+1,1)-INDEX($U$4:$U$11,$AC$2,1),ROW()-4&gt;$AD$2),NA(),COUNTIF(INDEX($CR$5:$CX$201,INDEX($U$4:$U$11,1,1),$AC$2):INDEX($CR$5:$CX$201,INDEX($U$4:$U$11,1,1)+ROW()-5,$AC$2),EU$3))</f>
        <v>#N/A</v>
      </c>
      <c r="EV33" t="e">
        <f>IF(OR(ROW()-4&gt;INDEX($U$4:$U$11,$AC$2+1,1)-INDEX($U$4:$U$11,$AC$2,1),ROW()-4&gt;$AD$2),NA(),COUNTIF(INDEX($CR$5:$CX$201,INDEX($U$4:$U$11,1,1),$AC$2):INDEX($CR$5:$CX$201,INDEX($U$4:$U$11,1,1)+ROW()-5,$AC$2),EV$3))</f>
        <v>#N/A</v>
      </c>
      <c r="EW33" t="e">
        <f>IF(OR(ROW()-4&gt;INDEX($U$4:$U$11,$AC$2+1,1)-INDEX($U$4:$U$11,$AC$2,1),ROW()-4&gt;$AD$2),NA(),COUNTIF(INDEX($CR$5:$CX$201,INDEX($U$4:$U$11,1,1),$AC$2):INDEX($CR$5:$CX$201,INDEX($U$4:$U$11,1,1)+ROW()-5,$AC$2),EW$3))</f>
        <v>#N/A</v>
      </c>
      <c r="EX33" t="e">
        <f>IF(OR(ROW()-4&gt;INDEX($U$4:$U$11,$AC$2+1,1)-INDEX($U$4:$U$11,$AC$2,1),ROW()-4&gt;$AD$2),NA(),COUNTIF(INDEX($CR$5:$CX$201,INDEX($U$4:$U$11,1,1),$AC$2):INDEX($CR$5:$CX$201,INDEX($U$4:$U$11,1,1)+ROW()-5,$AC$2),EX$3))</f>
        <v>#N/A</v>
      </c>
      <c r="EY33" t="e">
        <f>IF(OR(ROW()-4&gt;INDEX($U$4:$U$11,$AC$2+1,1)-INDEX($U$4:$U$11,$AC$2,1),ROW()-4&gt;$AD$2),NA(),COUNTIF(INDEX($CR$5:$CX$201,INDEX($U$4:$U$11,1,1),$AC$2):INDEX($CR$5:$CX$201,INDEX($U$4:$U$11,1,1)+ROW()-5,$AC$2),EY$3))</f>
        <v>#N/A</v>
      </c>
      <c r="EZ33" t="e">
        <f>IF(OR(ROW()-4&gt;INDEX($U$4:$U$11,$AC$2+1,1)-INDEX($U$4:$U$11,$AC$2,1),ROW()-4&gt;$AD$2),NA(),COUNTIF(INDEX($CR$5:$CX$201,INDEX($U$4:$U$11,1,1),$AC$2):INDEX($CR$5:$CX$201,INDEX($U$4:$U$11,1,1)+ROW()-5,$AC$2),EZ$3))</f>
        <v>#N/A</v>
      </c>
      <c r="FA33" t="e">
        <f>IF(OR(ROW()-4&gt;INDEX($U$4:$U$11,$AC$2+1,1)-INDEX($U$4:$U$11,$AC$2,1),ROW()-4&gt;$AD$2),NA(),COUNTIF(INDEX($CR$5:$CX$201,INDEX($U$4:$U$11,1,1),$AC$2):INDEX($CR$5:$CX$201,INDEX($U$4:$U$11,1,1)+ROW()-5,$AC$2),FA$3))</f>
        <v>#N/A</v>
      </c>
      <c r="FC33" t="e">
        <f>IF(OR(ROW()-4&gt;INDEX($U$4:$U$11,$AC$2+1,1)-INDEX($U$4:$U$11,$AC$2,1),ROW()-4&gt;$AD$2),NA(),COUNTIF(INDEX($CR$5:$CX$201,INDEX($U$4:$U$11,1,1),$AC$2):INDEX($CR$5:$CX$201,INDEX($U$4:$U$11,1,1)+ROW()-5,$AC$2),FC$3))</f>
        <v>#N/A</v>
      </c>
      <c r="FD33" t="e">
        <f>IF(OR(ROW()-4&gt;INDEX($U$4:$U$11,$AC$2+1,1)-INDEX($U$4:$U$11,$AC$2,1),ROW()-4&gt;$AD$2),NA(),COUNTIF(INDEX($CR$5:$CX$201,INDEX($U$4:$U$11,1,1),$AC$2):INDEX($CR$5:$CX$201,INDEX($U$4:$U$11,1,1)+ROW()-5,$AC$2),FD$3))</f>
        <v>#N/A</v>
      </c>
      <c r="FE33" t="e">
        <f>IF(OR(ROW()-4&gt;INDEX($U$4:$U$11,$AC$2+1,1)-INDEX($U$4:$U$11,$AC$2,1),ROW()-4&gt;$AD$2),NA(),COUNTIF(INDEX($CR$5:$CX$201,INDEX($U$4:$U$11,1,1),$AC$2):INDEX($CR$5:$CX$201,INDEX($U$4:$U$11,1,1)+ROW()-5,$AC$2),FE$3))</f>
        <v>#N/A</v>
      </c>
      <c r="FF33" t="e">
        <f>IF(OR(ROW()-4&gt;INDEX($U$4:$U$11,$AC$2+1,1)-INDEX($U$4:$U$11,$AC$2,1),ROW()-4&gt;$AD$2),NA(),COUNTIF(INDEX($CR$5:$CX$201,INDEX($U$4:$U$11,1,1),$AC$2):INDEX($CR$5:$CX$201,INDEX($U$4:$U$11,1,1)+ROW()-5,$AC$2),FF$3))</f>
        <v>#N/A</v>
      </c>
      <c r="FG33" t="e">
        <f>IF(OR(ROW()-4&gt;INDEX($U$4:$U$11,$AC$2+1,1)-INDEX($U$4:$U$11,$AC$2,1),ROW()-4&gt;$AD$2),NA(),COUNTIF(INDEX($CR$5:$CX$201,INDEX($U$4:$U$11,1,1),$AC$2):INDEX($CR$5:$CX$201,INDEX($U$4:$U$11,1,1)+ROW()-5,$AC$2),FG$3))</f>
        <v>#N/A</v>
      </c>
      <c r="FH33" t="e">
        <f>IF(OR(ROW()-4&gt;INDEX($U$4:$U$11,$AC$2+1,1)-INDEX($U$4:$U$11,$AC$2,1),ROW()-4&gt;$AD$2),NA(),COUNTIF(INDEX($CR$5:$CX$201,INDEX($U$4:$U$11,1,1),$AC$2):INDEX($CR$5:$CX$201,INDEX($U$4:$U$11,1,1)+ROW()-5,$AC$2),FH$3))</f>
        <v>#N/A</v>
      </c>
      <c r="FI33" t="e">
        <f>IF(OR(ROW()-4&gt;INDEX($U$4:$U$11,$AC$2+1,1)-INDEX($U$4:$U$11,$AC$2,1),ROW()-4&gt;$AD$2),NA(),COUNTIF(INDEX($CR$5:$CX$201,INDEX($U$4:$U$11,1,1),$AC$2):INDEX($CR$5:$CX$201,INDEX($U$4:$U$11,1,1)+ROW()-5,$AC$2),FI$3))</f>
        <v>#N/A</v>
      </c>
      <c r="FJ33" t="e">
        <f>IF(OR(ROW()-4&gt;INDEX($U$4:$U$11,$AC$2+1,1)-INDEX($U$4:$U$11,$AC$2,1),ROW()-4&gt;$AD$2),NA(),COUNTIF(INDEX($CR$5:$CX$201,INDEX($U$4:$U$11,1,1),$AC$2):INDEX($CR$5:$CX$201,INDEX($U$4:$U$11,1,1)+ROW()-5,$AC$2),FJ$3))</f>
        <v>#N/A</v>
      </c>
      <c r="FL33" t="e">
        <f>IF(OR(ROW()-4&gt;INDEX($U$4:$U$11,$AC$2+1,1)-INDEX($U$4:$U$11,$AC$2,1),ROW()-4&gt;$AD$2),NA(),COUNTIF(INDEX($CZ$5:$DF$201,INDEX($U$4:$U$11,1,1),$AC$2):INDEX($CZ$5:$DF$201,INDEX($U$4:$U$11,1,1)+ROW()-5,$AC$2),FL$3))</f>
        <v>#N/A</v>
      </c>
      <c r="FM33" t="e">
        <f>IF(OR(ROW()-4&gt;INDEX($U$4:$U$11,$AC$2+1,1)-INDEX($U$4:$U$11,$AC$2,1),ROW()-4&gt;$AD$2),NA(),COUNTIF(INDEX($CZ$5:$DF$201,INDEX($U$4:$U$11,1,1),$AC$2):INDEX($CZ$5:$DF$201,INDEX($U$4:$U$11,1,1)+ROW()-5,$AC$2),FM$3))</f>
        <v>#N/A</v>
      </c>
      <c r="FN33" t="e">
        <f>IF(OR(ROW()-4&gt;INDEX($U$4:$U$11,$AC$2+1,1)-INDEX($U$4:$U$11,$AC$2,1),ROW()-4&gt;$AD$2),NA(),COUNTIF(INDEX($CZ$5:$DF$201,INDEX($U$4:$U$11,1,1),$AC$2):INDEX($CZ$5:$DF$201,INDEX($U$4:$U$11,1,1)+ROW()-5,$AC$2),FN$3))</f>
        <v>#N/A</v>
      </c>
      <c r="FO33" t="e">
        <f>IF(OR(ROW()-4&gt;INDEX($U$4:$U$11,$AC$2+1,1)-INDEX($U$4:$U$11,$AC$2,1),ROW()-4&gt;$AD$2),NA(),COUNTIF(INDEX($CZ$5:$DF$201,INDEX($U$4:$U$11,1,1),$AC$2):INDEX($CZ$5:$DF$201,INDEX($U$4:$U$11,1,1)+ROW()-5,$AC$2),FO$3))</f>
        <v>#N/A</v>
      </c>
      <c r="FP33" t="e">
        <f>IF(OR(ROW()-4&gt;INDEX($U$4:$U$11,$AC$2+1,1)-INDEX($U$4:$U$11,$AC$2,1),ROW()-4&gt;$AD$2),NA(),COUNTIF(INDEX($CZ$5:$DF$201,INDEX($U$4:$U$11,1,1),$AC$2):INDEX($CZ$5:$DF$201,INDEX($U$4:$U$11,1,1)+ROW()-5,$AC$2),FP$3))</f>
        <v>#N/A</v>
      </c>
      <c r="FQ33" t="e">
        <f>IF(OR(ROW()-4&gt;INDEX($U$4:$U$11,$AC$2+1,1)-INDEX($U$4:$U$11,$AC$2,1),ROW()-4&gt;$AD$2),NA(),COUNTIF(INDEX($CZ$5:$DF$201,INDEX($U$4:$U$11,1,1),$AC$2):INDEX($CZ$5:$DF$201,INDEX($U$4:$U$11,1,1)+ROW()-5,$AC$2),FQ$3))</f>
        <v>#N/A</v>
      </c>
      <c r="FR33" t="e">
        <f>IF(OR(ROW()-4&gt;INDEX($U$4:$U$11,$AC$2+1,1)-INDEX($U$4:$U$11,$AC$2,1),ROW()-4&gt;$AD$2),NA(),COUNTIF(INDEX($CZ$5:$DF$201,INDEX($U$4:$U$11,1,1),$AC$2):INDEX($CZ$5:$DF$201,INDEX($U$4:$U$11,1,1)+ROW()-5,$AC$2),FR$3))</f>
        <v>#N/A</v>
      </c>
      <c r="FS33" t="e">
        <f>IF(OR(ROW()-4&gt;INDEX($U$4:$U$11,$AC$2+1,1)-INDEX($U$4:$U$11,$AC$2,1),ROW()-4&gt;$AD$2),NA(),COUNTIF(INDEX($CZ$5:$DF$201,INDEX($U$4:$U$11,1,1),$AC$2):INDEX($CZ$5:$DF$201,INDEX($U$4:$U$11,1,1)+ROW()-5,$AC$2),FS$3))</f>
        <v>#N/A</v>
      </c>
      <c r="FT33" t="e">
        <f>IF(OR(ROW()-4&gt;INDEX($U$4:$U$11,$AC$2+1,1)-INDEX($U$4:$U$11,$AC$2,1),ROW()-4&gt;$AD$2),NA(),COUNTIF(INDEX($CZ$5:$DF$201,INDEX($U$4:$U$11,1,1),$AC$2):INDEX($CZ$5:$DF$201,INDEX($U$4:$U$11,1,1)+ROW()-5,$AC$2),FT$3))</f>
        <v>#N/A</v>
      </c>
      <c r="FU33" t="e">
        <f>IF(OR(ROW()-4&gt;INDEX($U$4:$U$11,$AC$2+1,1)-INDEX($U$4:$U$11,$AC$2,1),ROW()-4&gt;$AD$2),NA(),COUNTIF(INDEX($CZ$5:$DF$201,INDEX($U$4:$U$11,1,1),$AC$2):INDEX($CZ$5:$DF$201,INDEX($U$4:$U$11,1,1)+ROW()-5,$AC$2),FU$3))</f>
        <v>#N/A</v>
      </c>
      <c r="FW33" t="e">
        <f>IF(OR(ROW()-4&gt;INDEX($U$4:$U$11,$AC$2+1,1)-INDEX($U$4:$U$11,$AC$2,1),ROW()-4&gt;$AD$2),NA(),COUNTIF(INDEX($CZ$5:$DF$201,INDEX($U$4:$U$11,1,1),$AC$2):INDEX($CZ$5:$DF$201,INDEX($U$4:$U$11,1,1)+ROW()-5,$AC$2),FW$3))</f>
        <v>#N/A</v>
      </c>
      <c r="FX33" t="e">
        <f>IF(OR(ROW()-4&gt;INDEX($U$4:$U$11,$AC$2+1,1)-INDEX($U$4:$U$11,$AC$2,1),ROW()-4&gt;$AD$2),NA(),COUNTIF(INDEX($CZ$5:$DF$201,INDEX($U$4:$U$11,1,1),$AC$2):INDEX($CZ$5:$DF$201,INDEX($U$4:$U$11,1,1)+ROW()-5,$AC$2),FX$3))</f>
        <v>#N/A</v>
      </c>
      <c r="FY33" t="e">
        <f>IF(OR(ROW()-4&gt;INDEX($U$4:$U$11,$AC$2+1,1)-INDEX($U$4:$U$11,$AC$2,1),ROW()-4&gt;$AD$2),NA(),COUNTIF(INDEX($CZ$5:$DF$201,INDEX($U$4:$U$11,1,1),$AC$2):INDEX($CZ$5:$DF$201,INDEX($U$4:$U$11,1,1)+ROW()-5,$AC$2),FY$3))</f>
        <v>#N/A</v>
      </c>
      <c r="FZ33" t="e">
        <f>IF(OR(ROW()-4&gt;INDEX($U$4:$U$11,$AC$2+1,1)-INDEX($U$4:$U$11,$AC$2,1),ROW()-4&gt;$AD$2),NA(),COUNTIF(INDEX($CZ$5:$DF$201,INDEX($U$4:$U$11,1,1),$AC$2):INDEX($CZ$5:$DF$201,INDEX($U$4:$U$11,1,1)+ROW()-5,$AC$2),FZ$3))</f>
        <v>#N/A</v>
      </c>
      <c r="GA33" t="e">
        <f>IF(OR(ROW()-4&gt;INDEX($U$4:$U$11,$AC$2+1,1)-INDEX($U$4:$U$11,$AC$2,1),ROW()-4&gt;$AD$2),NA(),COUNTIF(INDEX($CZ$5:$DF$201,INDEX($U$4:$U$11,1,1),$AC$2):INDEX($CZ$5:$DF$201,INDEX($U$4:$U$11,1,1)+ROW()-5,$AC$2),GA$3))</f>
        <v>#N/A</v>
      </c>
      <c r="GB33" t="e">
        <f>IF(OR(ROW()-4&gt;INDEX($U$4:$U$11,$AC$2+1,1)-INDEX($U$4:$U$11,$AC$2,1),ROW()-4&gt;$AD$2),NA(),COUNTIF(INDEX($CZ$5:$DF$201,INDEX($U$4:$U$11,1,1),$AC$2):INDEX($CZ$5:$DF$201,INDEX($U$4:$U$11,1,1)+ROW()-5,$AC$2),GB$3))</f>
        <v>#N/A</v>
      </c>
      <c r="GC33" t="e">
        <f>IF(OR(ROW()-4&gt;INDEX($U$4:$U$11,$AC$2+1,1)-INDEX($U$4:$U$11,$AC$2,1),ROW()-4&gt;$AD$2),NA(),COUNTIF(INDEX($CZ$5:$DF$201,INDEX($U$4:$U$11,1,1),$AC$2):INDEX($CZ$5:$DF$201,INDEX($U$4:$U$11,1,1)+ROW()-5,$AC$2),GC$3))</f>
        <v>#N/A</v>
      </c>
      <c r="GD33" t="e">
        <f>IF(OR(ROW()-4&gt;INDEX($U$4:$U$11,$AC$2+1,1)-INDEX($U$4:$U$11,$AC$2,1),ROW()-4&gt;$AD$2),NA(),COUNTIF(INDEX($CZ$5:$DF$201,INDEX($U$4:$U$11,1,1),$AC$2):INDEX($CZ$5:$DF$201,INDEX($U$4:$U$11,1,1)+ROW()-5,$AC$2),GD$3))</f>
        <v>#N/A</v>
      </c>
      <c r="GE33" t="e">
        <f>IF(OR(ROW()-4&gt;INDEX($U$4:$U$11,$AC$2+1,1)-INDEX($U$4:$U$11,$AC$2,1),ROW()-4&gt;$AD$2),NA(),COUNTIF(INDEX($CZ$5:$DF$201,INDEX($U$4:$U$11,1,1),$AC$2):INDEX($CZ$5:$DF$201,INDEX($U$4:$U$11,1,1)+ROW()-5,$AC$2),GE$3))</f>
        <v>#N/A</v>
      </c>
      <c r="GF33" t="e">
        <f>IF(OR(ROW()-4&gt;INDEX($U$4:$U$11,$AC$2+1,1)-INDEX($U$4:$U$11,$AC$2,1),ROW()-4&gt;$AD$2),NA(),COUNTIF(INDEX($CZ$5:$DF$201,INDEX($U$4:$U$11,1,1),$AC$2):INDEX($CZ$5:$DF$201,INDEX($U$4:$U$11,1,1)+ROW()-5,$AC$2),GF$3))</f>
        <v>#N/A</v>
      </c>
    </row>
    <row r="34" spans="1:221" x14ac:dyDescent="0.45">
      <c r="A34" t="str">
        <f>データの貼付!A32</f>
        <v>KIHARA Miyuu</v>
      </c>
      <c r="B34">
        <f>データの貼付!B32</f>
        <v>7.7419097222222221E-3</v>
      </c>
      <c r="C34">
        <f>データの貼付!C32</f>
        <v>5.3287037037037039E-5</v>
      </c>
      <c r="D34">
        <f>データの貼付!D32</f>
        <v>6.9444444444444447E-4</v>
      </c>
      <c r="E34" t="str">
        <f>データの貼付!F32</f>
        <v>FENG Tianwei</v>
      </c>
      <c r="F34">
        <f>データの貼付!E32</f>
        <v>0</v>
      </c>
      <c r="G34" t="str">
        <f>データの貼付!G32</f>
        <v>#02</v>
      </c>
      <c r="H34" t="str">
        <f>データの貼付!H32</f>
        <v>KIHARA Miyuu</v>
      </c>
      <c r="I34" t="str">
        <f>データの貼付!I32</f>
        <v>(Side)</v>
      </c>
      <c r="J34" t="str">
        <f>データの貼付!J32</f>
        <v>B</v>
      </c>
      <c r="K34" t="str">
        <f>データの貼付!K32</f>
        <v>FMS</v>
      </c>
      <c r="L34" t="str">
        <f>データの貼付!L32</f>
        <v>B</v>
      </c>
      <c r="M34" t="str">
        <f>データの貼付!M32</f>
        <v>Chiquita</v>
      </c>
      <c r="N34" t="str">
        <f>データの貼付!N32</f>
        <v>B</v>
      </c>
      <c r="R34">
        <f t="shared" si="59"/>
        <v>0</v>
      </c>
      <c r="S34">
        <f>SUM(R$4:R34)</f>
        <v>2</v>
      </c>
      <c r="T34" t="str">
        <f t="shared" si="60"/>
        <v/>
      </c>
      <c r="W34" t="str">
        <f t="shared" si="57"/>
        <v>FENG Tianwei_KIHARA Miyuu</v>
      </c>
      <c r="X34" t="str">
        <f t="shared" si="58"/>
        <v>FENG Tianwei_#02</v>
      </c>
      <c r="AC34" s="8" t="e">
        <f>IF(OR(ROW()-4&gt;INDEX($U$4:$U$11,AC$2+1)-INDEX($U$4:$U$11,AC$2),ROW()-4&gt;AD$2),NA(),COUNTIF(INDEX($W$4:$W$200,INDEX($U$4:$U$11,AC$2)):INDEX($W$4:$W$200,INDEX($U$4:$U$11,AC$2)+ROW()-5),AC$3&amp;"_"&amp;AC$3)/(COUNTIF(INDEX($W$4:$W$200,INDEX($U$4:$U$11,AC$2)):INDEX($W$4:$W$200,INDEX($U$4:$U$11,AC$2)+ROW()-5),AC$3&amp;"_"&amp;AC$3)+COUNTIF(INDEX($W$4:$W$200,INDEX($U$4:$U$11,AC$2)):INDEX($W$4:$W$200,INDEX($U$4:$U$11,AC$2)+ROW()-5),AD$3&amp;"_"&amp;AC$3)))</f>
        <v>#N/A</v>
      </c>
      <c r="AD34" s="8" t="e">
        <f>IF(OR(ROW()-4&gt;INDEX($U$4:$U$11,AC$2+1)-INDEX($U$4:$U$11,AC$2),ROW()-4&gt;AD$2),NA(),COUNTIF(INDEX($W$4:$W$200,INDEX($U$4:$U$11,AC$2)):INDEX($W$4:$W$200,INDEX($U$4:$U$11,AC$2)+ROW()-5),AD$3&amp;"_"&amp;AD$3)/(COUNTIF(INDEX($W$4:$W$200,INDEX($U$4:$U$11,AC$2)):INDEX($W$4:$W$200,INDEX($U$4:$U$11,AC$2)+ROW()-5),AD$3&amp;"_"&amp;AD$3)+COUNTIF(INDEX($W$4:$W$200,INDEX($U$4:$U$11,AC$2)):INDEX($W$4:$W$200,INDEX($U$4:$U$11,AC$2)+ROW()-5),AC$3&amp;"_"&amp;AD$3)))</f>
        <v>#N/A</v>
      </c>
      <c r="AE34" s="10" t="e">
        <f>IF(OR(ROW()-4&gt;INDEX($U$4:$U$11,AC$2+1)-INDEX($U$4:$U$11,AC$2),ROW()-4&gt;AD$2),NA(),COUNTIF(INDEX($W$4:$W$200,INDEX($U$4:$U$11,AC$2)):INDEX($W$4:$W$200,INDEX($U$4:$U$11,AC$2)+ROW()-5),AC$3&amp;"_"&amp;AD$3)/(COUNTIF(INDEX($W$4:$W$200,INDEX($U$4:$U$11,AC$2)):INDEX($W$4:$W$200,INDEX($U$4:$U$11,AC$2)+ROW()-5),AC$3&amp;"_"&amp;AD$3)+COUNTIF(INDEX($W$4:$W$200,INDEX($U$4:$U$11,AC$2)):INDEX($W$4:$W$200,INDEX($U$4:$U$11,AC$2)+ROW()-5),AD$3&amp;"_"&amp;AD$3)))</f>
        <v>#N/A</v>
      </c>
      <c r="AF34" s="10" t="e">
        <f>IF(OR(ROW()-4&gt;INDEX($U$4:$U$11,AC$2+1)-INDEX($U$4:$U$11,AC$2),ROW()-4&gt;AD$2),NA(),COUNTIF(INDEX($W$4:$W$200,INDEX($U$4:$U$11,AC$2)):INDEX($W$4:$W$200,INDEX($U$4:$U$11,AC$2)+ROW()-5),AD$3&amp;"_"&amp;AC$3)/(COUNTIF(INDEX($W$4:$W$200,INDEX($U$4:$U$11,AC$2)):INDEX($W$4:$W$200,INDEX($U$4:$U$11,AC$2)+ROW()-5),AD$3&amp;"_"&amp;AC$3)+COUNTIF(INDEX($W$4:$W$200,INDEX($U$4:$U$11,AC$2)):INDEX($W$4:$W$200,INDEX($U$4:$U$11,AC$2)+ROW()-5),AC$3&amp;"_"&amp;AC$3)))</f>
        <v>#N/A</v>
      </c>
      <c r="AG34" s="10" t="e">
        <f>IF(OR(ROW()-4&gt;INDEX($U$4:$U$11,AC$2+1)-INDEX($U$4:$U$11,AC$2),ROW()-4&gt;AD$2),NA(),COUNTIF(INDEX($X$4:$X$200,INDEX($U$4:$U$11,AC$2)):INDEX($X$4:$X$200,INDEX($U$4:$U$11,AC$2)+ROW()-5),AC$3&amp;"_#03")/(COUNTIF(INDEX($W$4:$W$200,INDEX($U$4:$U$11,AC$2)):INDEX($W$4:$W$200,INDEX($U$4:$U$11,AC$2)+ROW()-5),AC$3&amp;"_"&amp;AC$3)+COUNTIF(INDEX($W$4:$W$200,INDEX($U$4:$U$11,AC$2)):INDEX($W$4:$W$200,INDEX($U$4:$U$11,AC$2)+ROW()-5),AD$3&amp;"_"&amp;AC$3)))</f>
        <v>#N/A</v>
      </c>
      <c r="AH34" s="10" t="e">
        <f>IF(OR(ROW()-4&gt;INDEX($U$4:$U$11,AC$2+1)-INDEX($U$4:$U$11,AC$2),ROW()-4&gt;AD$2),NA(),COUNTIF(INDEX($X$4:$X$200,INDEX($U$4:$U$11,AC$2)):INDEX($X$4:$X$200,INDEX($U$4:$U$11,AC$2)+ROW()-5),AD$3&amp;"_#03")/(COUNTIF(INDEX($W$4:$W$200,INDEX($U$4:$U$11,AC$2)):INDEX($W$4:$W$200,INDEX($U$4:$U$11,AC$2)+ROW()-5),AD$3&amp;"_"&amp;AD$3)+COUNTIF(INDEX($W$4:$W$200,INDEX($U$4:$U$11,AC$2)):INDEX($W$4:$W$200,INDEX($U$4:$U$11,AC$2)+ROW()-5),AC$3&amp;"_"&amp;AD$3)))</f>
        <v>#N/A</v>
      </c>
      <c r="AI34" s="10" t="e">
        <f>IF(OR(ROW()-4&gt;INDEX($U$4:$U$11,AC$2+1)-INDEX($U$4:$U$11,AC$2),ROW()-4&gt;AD$2),NA(),(COUNTIF(INDEX($X$4:$X$200,INDEX($U$4:$U$11,AC$2)):INDEX($X$4:$X$200,INDEX($U$4:$U$11,AC$2)+ROW()-5),AC$3&amp;"_#03")-COUNTIF(INDEX($X$4:$X$200,INDEX($U$4:$U$11,AC$2)):INDEX($X$4:$X$200,INDEX($U$4:$U$11,AC$2)+ROW()-5),AD$3&amp;"_#02"))/(COUNTIF(INDEX($W$4:$W$200,INDEX($U$4:$U$11,AC$2)):INDEX($W$4:$W$200,INDEX($U$4:$U$11,AC$2)+ROW()-5),AC$3&amp;"_"&amp;AC$3)+COUNTIF(INDEX($W$4:$W$200,INDEX($U$4:$U$11,AC$2)):INDEX($W$4:$W$200,INDEX($U$4:$U$11,AC$2)+ROW()-5),AD$3&amp;"_"&amp;AC$3)))</f>
        <v>#N/A</v>
      </c>
      <c r="AJ34" s="10" t="e">
        <f>IF(OR(ROW()-4&gt;INDEX($U$4:$U$11,AC$2+1)-INDEX($U$4:$U$11,AC$2),ROW()-4&gt;AD$2),NA(),(COUNTIF(INDEX($X$4:$X$200,INDEX($U$4:$U$11,AC$2)):INDEX($X$4:$X$200,INDEX($U$4:$U$11,AC$2)+ROW()-5),AD$3&amp;"_#03")-COUNTIF(INDEX($X$4:$X$200,INDEX($U$4:$U$11,AC$2)):INDEX($X$4:$X$200,INDEX($U$4:$U$11,AC$2)+ROW()-5),AC$3&amp;"_#02"))/(COUNTIF(INDEX($W$4:$W$200,INDEX($U$4:$U$11,AC$2)):INDEX($W$4:$W$200,INDEX($U$4:$U$11,AC$2)+ROW()-5),AD$3&amp;"_"&amp;AD$3)+COUNTIF(INDEX($W$4:$W$200,INDEX($U$4:$U$11,AC$2)):INDEX($W$4:$W$200,INDEX($U$4:$U$11,AC$2)+ROW()-5),AC$3&amp;"_"&amp;AD$3)))</f>
        <v>#N/A</v>
      </c>
      <c r="AK34" s="10" t="e">
        <f>IF(OR(ROW()-4&gt;INDEX($U$4:$U$11,AC$2+1)-INDEX($U$4:$U$11,AC$2),ROW()-4&gt;AD$2),NA(),(COUNTIF(INDEX($X$4:$X$200,INDEX($U$4:$U$11,AC$2)):INDEX($X$4:$X$200,INDEX($U$4:$U$11,AC$2)+ROW()-5),AC$3&amp;"_#01")+COUNTIF(INDEX($X$4:$X$200,INDEX($U$4:$U$11,AC$2)):INDEX($X$4:$X$200,INDEX($U$4:$U$11,AC$2)+ROW()-5),AC$3&amp;"_#03"))/(COUNTIF(INDEX($W$4:$W$200,INDEX($U$4:$U$11,AC$2)):INDEX($W$4:$W$200,INDEX($U$4:$U$11,AC$2)+ROW()-5),AC$3&amp;"_"&amp;AC$3)+COUNTIF(INDEX($W$4:$W$200,INDEX($U$4:$U$11,AC$2)):INDEX($W$4:$W$200,INDEX($U$4:$U$11,AC$2)+ROW()-5),AD$3&amp;"_"&amp;AC$3)))</f>
        <v>#N/A</v>
      </c>
      <c r="AL34" s="10" t="e">
        <f>IF(OR(ROW()-4&gt;INDEX($U$4:$U$11,AC$2+1)-INDEX($U$4:$U$11,AC$2),ROW()-4&gt;AD$2),NA(),(COUNTIF(INDEX($X$4:$X$200,INDEX($U$4:$U$11,AC$2)):INDEX($X$4:$X$200,INDEX($U$4:$U$11,AC$2)+ROW()-5),AD$3&amp;"_#01")+COUNTIF(INDEX($X$4:$X$200,INDEX($U$4:$U$11,AC$2)):INDEX($X$4:$X$200,INDEX($U$4:$U$11,AC$2)+ROW()-5),AD$3&amp;"_#03"))/(COUNTIF(INDEX($W$4:$W$200,INDEX($U$4:$U$11,AC$2)):INDEX($W$4:$W$200,INDEX($U$4:$U$11,AC$2)+ROW()-5),AD$3&amp;"_"&amp;AD$3)+COUNTIF(INDEX($W$4:$W$200,INDEX($U$4:$U$11,AC$2)):INDEX($W$4:$W$200,INDEX($U$4:$U$11,AC$2)+ROW()-5),AC$3&amp;"_"&amp;AD$3)))</f>
        <v>#N/A</v>
      </c>
      <c r="AN34" t="str">
        <f t="shared" si="125"/>
        <v/>
      </c>
      <c r="AO34" t="str">
        <f t="shared" si="111"/>
        <v/>
      </c>
      <c r="AP34" t="str">
        <f t="shared" si="112"/>
        <v/>
      </c>
      <c r="AQ34" t="str">
        <f t="shared" si="113"/>
        <v/>
      </c>
      <c r="AR34" t="str">
        <f t="shared" si="114"/>
        <v/>
      </c>
      <c r="AS34" t="e">
        <f t="shared" si="115"/>
        <v>#VALUE!</v>
      </c>
      <c r="AT34" t="e">
        <f t="shared" si="116"/>
        <v>#VALUE!</v>
      </c>
      <c r="AV34" t="e">
        <f t="shared" si="117"/>
        <v>#VALUE!</v>
      </c>
      <c r="AW34" t="e">
        <f t="shared" si="63"/>
        <v>#VALUE!</v>
      </c>
      <c r="AX34" t="e">
        <f t="shared" si="64"/>
        <v>#VALUE!</v>
      </c>
      <c r="AY34" t="e">
        <f t="shared" si="65"/>
        <v>#VALUE!</v>
      </c>
      <c r="AZ34" t="e">
        <f t="shared" si="66"/>
        <v>#VALUE!</v>
      </c>
      <c r="BA34" t="e">
        <f t="shared" si="67"/>
        <v>#VALUE!</v>
      </c>
      <c r="BB34" t="e">
        <f t="shared" si="68"/>
        <v>#VALUE!</v>
      </c>
      <c r="BD34" t="e">
        <f t="shared" si="118"/>
        <v>#VALUE!</v>
      </c>
      <c r="BE34" t="e">
        <f t="shared" si="69"/>
        <v>#VALUE!</v>
      </c>
      <c r="BF34" t="e">
        <f t="shared" si="70"/>
        <v>#VALUE!</v>
      </c>
      <c r="BG34" t="e">
        <f t="shared" si="71"/>
        <v>#VALUE!</v>
      </c>
      <c r="BH34" t="e">
        <f t="shared" si="72"/>
        <v>#VALUE!</v>
      </c>
      <c r="BI34" t="e">
        <f t="shared" si="73"/>
        <v>#VALUE!</v>
      </c>
      <c r="BJ34" t="e">
        <f t="shared" si="74"/>
        <v>#VALUE!</v>
      </c>
      <c r="BL34" t="e">
        <f t="shared" si="119"/>
        <v>#VALUE!</v>
      </c>
      <c r="BM34" t="e">
        <f t="shared" si="75"/>
        <v>#VALUE!</v>
      </c>
      <c r="BN34" t="e">
        <f t="shared" si="76"/>
        <v>#VALUE!</v>
      </c>
      <c r="BO34" t="e">
        <f t="shared" si="77"/>
        <v>#VALUE!</v>
      </c>
      <c r="BP34" t="e">
        <f t="shared" si="78"/>
        <v>#VALUE!</v>
      </c>
      <c r="BQ34" t="e">
        <f t="shared" si="79"/>
        <v>#VALUE!</v>
      </c>
      <c r="BR34" t="e">
        <f t="shared" si="80"/>
        <v>#VALUE!</v>
      </c>
      <c r="BT34" t="e">
        <f t="shared" si="120"/>
        <v>#VALUE!</v>
      </c>
      <c r="BU34" t="e">
        <f t="shared" si="81"/>
        <v>#VALUE!</v>
      </c>
      <c r="BV34" t="e">
        <f t="shared" si="82"/>
        <v>#VALUE!</v>
      </c>
      <c r="BW34" t="e">
        <f t="shared" si="83"/>
        <v>#VALUE!</v>
      </c>
      <c r="BX34" t="e">
        <f t="shared" si="84"/>
        <v>#VALUE!</v>
      </c>
      <c r="BY34" t="e">
        <f t="shared" si="85"/>
        <v>#VALUE!</v>
      </c>
      <c r="BZ34" t="e">
        <f t="shared" si="86"/>
        <v>#VALUE!</v>
      </c>
      <c r="CB34" t="e">
        <f t="shared" si="121"/>
        <v>#VALUE!</v>
      </c>
      <c r="CC34" t="e">
        <f t="shared" si="87"/>
        <v>#VALUE!</v>
      </c>
      <c r="CD34" t="e">
        <f t="shared" si="88"/>
        <v>#VALUE!</v>
      </c>
      <c r="CE34" t="e">
        <f t="shared" si="89"/>
        <v>#VALUE!</v>
      </c>
      <c r="CF34" t="e">
        <f t="shared" si="90"/>
        <v>#VALUE!</v>
      </c>
      <c r="CG34" t="e">
        <f t="shared" si="91"/>
        <v>#VALUE!</v>
      </c>
      <c r="CH34" t="e">
        <f t="shared" si="92"/>
        <v>#VALUE!</v>
      </c>
      <c r="CJ34" t="e">
        <f t="shared" si="122"/>
        <v>#VALUE!</v>
      </c>
      <c r="CK34" t="e">
        <f t="shared" si="93"/>
        <v>#VALUE!</v>
      </c>
      <c r="CL34" t="e">
        <f t="shared" si="94"/>
        <v>#VALUE!</v>
      </c>
      <c r="CM34" t="e">
        <f t="shared" si="95"/>
        <v>#VALUE!</v>
      </c>
      <c r="CN34" t="e">
        <f t="shared" si="96"/>
        <v>#VALUE!</v>
      </c>
      <c r="CO34" t="e">
        <f t="shared" si="97"/>
        <v>#VALUE!</v>
      </c>
      <c r="CP34" t="e">
        <f t="shared" si="98"/>
        <v>#VALUE!</v>
      </c>
      <c r="CR34" t="e">
        <f t="shared" si="123"/>
        <v>#VALUE!</v>
      </c>
      <c r="CS34" t="e">
        <f t="shared" si="99"/>
        <v>#VALUE!</v>
      </c>
      <c r="CT34" t="e">
        <f t="shared" si="100"/>
        <v>#VALUE!</v>
      </c>
      <c r="CU34" t="e">
        <f t="shared" si="101"/>
        <v>#VALUE!</v>
      </c>
      <c r="CV34" t="e">
        <f t="shared" si="102"/>
        <v>#VALUE!</v>
      </c>
      <c r="CW34" t="e">
        <f t="shared" si="103"/>
        <v>#VALUE!</v>
      </c>
      <c r="CX34" t="e">
        <f t="shared" si="104"/>
        <v>#VALUE!</v>
      </c>
      <c r="CZ34" t="e">
        <f t="shared" si="124"/>
        <v>#VALUE!</v>
      </c>
      <c r="DA34" t="e">
        <f t="shared" si="105"/>
        <v>#VALUE!</v>
      </c>
      <c r="DB34" t="e">
        <f t="shared" si="106"/>
        <v>#VALUE!</v>
      </c>
      <c r="DC34" t="e">
        <f t="shared" si="107"/>
        <v>#VALUE!</v>
      </c>
      <c r="DD34" t="e">
        <f t="shared" si="108"/>
        <v>#VALUE!</v>
      </c>
      <c r="DE34" t="e">
        <f t="shared" si="109"/>
        <v>#VALUE!</v>
      </c>
      <c r="DF34" t="e">
        <f t="shared" si="110"/>
        <v>#VALUE!</v>
      </c>
      <c r="DH34" t="e">
        <f>IF(OR(ROW()-4&gt;INDEX($U$4:$U$11,$AC$2+1,1)-INDEX($U$4:$U$11,$AC$2,1),ROW()-4&gt;$AD$2),NA(),COUNTIF(INDEX($BL$5:$BR$50,INDEX($U$4:$U$11,1,1),$AC$2):INDEX($BL$5:$BR$50,INDEX($U$4:$U$11,1,1)+ROW()-5,$AC$2),DH$3))</f>
        <v>#N/A</v>
      </c>
      <c r="DI34" t="e">
        <f>IF(OR(ROW()-4&gt;INDEX($U$4:$U$11,$AC$2+1,1)-INDEX($U$4:$U$11,$AC$2,1),ROW()-4&gt;$AD$2),NA(),COUNTIF(INDEX($BL$5:$BR$50,INDEX($U$4:$U$11,1,1),$AC$2):INDEX($BL$5:$BR$50,INDEX($U$4:$U$11,1,1)+ROW()-5,$AC$2),DI$3))</f>
        <v>#N/A</v>
      </c>
      <c r="DJ34" t="e">
        <f>IF(OR(ROW()-4&gt;INDEX($U$4:$U$11,$AC$2+1,1)-INDEX($U$4:$U$11,$AC$2,1),ROW()-4&gt;$AD$2),NA(),COUNTIF(INDEX($BL$5:$BR$50,INDEX($U$4:$U$11,1,1),$AC$2):INDEX($BL$5:$BR$50,INDEX($U$4:$U$11,1,1)+ROW()-5,$AC$2),DJ$3))</f>
        <v>#N/A</v>
      </c>
      <c r="DL34" t="e">
        <f>IF(OR(ROW()-4&gt;INDEX($U$4:$U$11,$AC$2+1,1)-INDEX($U$4:$U$11,$AC$2,1),ROW()-4&gt;$AD$2),NA(),COUNTIF(INDEX($BL$5:$BR$50,INDEX($U$4:$U$11,1,1),$AC$2):INDEX($BL$5:$BR$50,INDEX($U$4:$U$11,1,1)+ROW()-5,$AC$2),DL$3))</f>
        <v>#N/A</v>
      </c>
      <c r="DM34" t="e">
        <f>IF(OR(ROW()-4&gt;INDEX($U$4:$U$11,$AC$2+1,1)-INDEX($U$4:$U$11,$AC$2,1),ROW()-4&gt;$AD$2),NA(),COUNTIF(INDEX($BL$5:$BR$50,INDEX($U$4:$U$11,1,1),$AC$2):INDEX($BL$5:$BR$50,INDEX($U$4:$U$11,1,1)+ROW()-5,$AC$2),DM$3))</f>
        <v>#N/A</v>
      </c>
      <c r="DN34" t="e">
        <f>IF(OR(ROW()-4&gt;INDEX($U$4:$U$11,$AC$2+1,1)-INDEX($U$4:$U$11,$AC$2,1),ROW()-4&gt;$AD$2),NA(),COUNTIF(INDEX($BL$5:$BR$50,INDEX($U$4:$U$11,1,1),$AC$2):INDEX($BL$5:$BR$50,INDEX($U$4:$U$11,1,1)+ROW()-5,$AC$2),DN$3))</f>
        <v>#N/A</v>
      </c>
      <c r="DP34" t="e">
        <f>IF(OR(ROW()-4&gt;INDEX($U$4:$U$11,$AC$2+1,1)-INDEX($U$4:$U$11,$AC$2,1),ROW()-4&gt;$AD$2),NA(),COUNTIF(INDEX($BT$5:$BZ$201,INDEX($U$4:$U$11,1,1),$AC$2):INDEX($BT$5:$BZ$201,INDEX($U$4:$U$11,1,1)+ROW()-5,$AC$2),DP$3))</f>
        <v>#N/A</v>
      </c>
      <c r="DQ34" t="e">
        <f>IF(OR(ROW()-4&gt;INDEX($U$4:$U$11,$AC$2+1,1)-INDEX($U$4:$U$11,$AC$2,1),ROW()-4&gt;$AD$2),NA(),COUNTIF(INDEX($BT$5:$BZ$201,INDEX($U$4:$U$11,1,1),$AC$2):INDEX($BT$5:$BZ$201,INDEX($U$4:$U$11,1,1)+ROW()-5,$AC$2),DQ$3))</f>
        <v>#N/A</v>
      </c>
      <c r="DS34" t="e">
        <f>IF(OR(ROW()-4&gt;INDEX($U$4:$U$11,$AC$2+1,1)-INDEX($U$4:$U$11,$AC$2,1),ROW()-4&gt;$AD$2),NA(),COUNTIF(INDEX($BT$5:$BZ$201,INDEX($U$4:$U$11,1,1),$AC$2):INDEX($BT$5:$BZ$201,INDEX($U$4:$U$11,1,1)+ROW()-5,$AC$2),DS$3))</f>
        <v>#N/A</v>
      </c>
      <c r="DT34" t="e">
        <f>IF(OR(ROW()-4&gt;INDEX($U$4:$U$11,$AC$2+1,1)-INDEX($U$4:$U$11,$AC$2,1),ROW()-4&gt;$AD$2),NA(),COUNTIF(INDEX($BT$5:$BZ$201,INDEX($U$4:$U$11,1,1),$AC$2):INDEX($BT$5:$BZ$201,INDEX($U$4:$U$11,1,1)+ROW()-5,$AC$2),DT$3))</f>
        <v>#N/A</v>
      </c>
      <c r="DV34" t="e">
        <f>IF(OR(ROW()-4&gt;INDEX($U$4:$U$11,$AC$2+1,1)-INDEX($U$4:$U$11,$AC$2,1),ROW()-4&gt;$AD$2),NA(),COUNTIF(INDEX($CB$5:$CH$201,INDEX($U$4:$U$11,1,1),$AC$2):INDEX($CB$5:$CH$201,INDEX($U$4:$U$11,1,1)+ROW()-5,$AC$2),DV$3))</f>
        <v>#N/A</v>
      </c>
      <c r="DW34" t="e">
        <f>IF(OR(ROW()-4&gt;INDEX($U$4:$U$11,$AC$2+1,1)-INDEX($U$4:$U$11,$AC$2,1),ROW()-4&gt;$AD$2),NA(),COUNTIF(INDEX($CB$5:$CH$201,INDEX($U$4:$U$11,1,1),$AC$2):INDEX($CB$5:$CH$201,INDEX($U$4:$U$11,1,1)+ROW()-5,$AC$2),DW$3))</f>
        <v>#N/A</v>
      </c>
      <c r="DX34" t="e">
        <f>IF(OR(ROW()-4&gt;INDEX($U$4:$U$11,$AC$2+1,1)-INDEX($U$4:$U$11,$AC$2,1),ROW()-4&gt;$AD$2),NA(),COUNTIF(INDEX($CB$5:$CH$201,INDEX($U$4:$U$11,1,1),$AC$2):INDEX($CB$5:$CH$201,INDEX($U$4:$U$11,1,1)+ROW()-5,$AC$2),DX$3))</f>
        <v>#N/A</v>
      </c>
      <c r="DY34" t="e">
        <f>IF(OR(ROW()-4&gt;INDEX($U$4:$U$11,$AC$2+1,1)-INDEX($U$4:$U$11,$AC$2,1),ROW()-4&gt;$AD$2),NA(),COUNTIF(INDEX($CB$5:$CH$201,INDEX($U$4:$U$11,1,1),$AC$2):INDEX($CB$5:$CH$201,INDEX($U$4:$U$11,1,1)+ROW()-5,$AC$2),DY$3))</f>
        <v>#N/A</v>
      </c>
      <c r="DZ34" t="e">
        <f>IF(OR(ROW()-4&gt;INDEX($U$4:$U$11,$AC$2+1,1)-INDEX($U$4:$U$11,$AC$2,1),ROW()-4&gt;$AD$2),NA(),COUNTIF(INDEX($CB$5:$CH$201,INDEX($U$4:$U$11,1,1),$AC$2):INDEX($CB$5:$CH$201,INDEX($U$4:$U$11,1,1)+ROW()-5,$AC$2),DZ$3))</f>
        <v>#N/A</v>
      </c>
      <c r="EA34" t="e">
        <f>IF(OR(ROW()-4&gt;INDEX($U$4:$U$11,$AC$2+1,1)-INDEX($U$4:$U$11,$AC$2,1),ROW()-4&gt;$AD$2),NA(),COUNTIF(INDEX($CB$5:$CH$201,INDEX($U$4:$U$11,1,1),$AC$2):INDEX($CB$5:$CH$201,INDEX($U$4:$U$11,1,1)+ROW()-5,$AC$2),EA$3))</f>
        <v>#N/A</v>
      </c>
      <c r="EB34" t="e">
        <f>IF(OR(ROW()-4&gt;INDEX($U$4:$U$11,$AC$2+1,1)-INDEX($U$4:$U$11,$AC$2,1),ROW()-4&gt;$AD$2),NA(),COUNTIF(INDEX($CB$5:$CH$201,INDEX($U$4:$U$11,1,1),$AC$2):INDEX($CB$5:$CH$201,INDEX($U$4:$U$11,1,1)+ROW()-5,$AC$2),EB$3))</f>
        <v>#N/A</v>
      </c>
      <c r="EC34" t="e">
        <f>IF(OR(ROW()-4&gt;INDEX($U$4:$U$11,$AC$2+1,1)-INDEX($U$4:$U$11,$AC$2,1),ROW()-4&gt;$AD$2),NA(),COUNTIF(INDEX($CB$5:$CH$201,INDEX($U$4:$U$11,1,1),$AC$2):INDEX($CB$5:$CH$201,INDEX($U$4:$U$11,1,1)+ROW()-5,$AC$2),EC$3))</f>
        <v>#N/A</v>
      </c>
      <c r="EE34" t="e">
        <f>IF(OR(ROW()-4&gt;INDEX($U$4:$U$11,$AC$2+1,1)-INDEX($U$4:$U$11,$AC$2,1),ROW()-4&gt;$AD$2),NA(),COUNTIF(INDEX($CB$5:$CH$201,INDEX($U$4:$U$11,1,1),$AC$2):INDEX($CB$5:$CH$201,INDEX($U$4:$U$11,1,1)+ROW()-5,$AC$2),EE$3))</f>
        <v>#N/A</v>
      </c>
      <c r="EF34" t="e">
        <f>IF(OR(ROW()-4&gt;INDEX($U$4:$U$11,$AC$2+1,1)-INDEX($U$4:$U$11,$AC$2,1),ROW()-4&gt;$AD$2),NA(),COUNTIF(INDEX($CB$5:$CH$201,INDEX($U$4:$U$11,1,1),$AC$2):INDEX($CB$5:$CH$201,INDEX($U$4:$U$11,1,1)+ROW()-5,$AC$2),EF$3))</f>
        <v>#N/A</v>
      </c>
      <c r="EG34" t="e">
        <f>IF(OR(ROW()-4&gt;INDEX($U$4:$U$11,$AC$2+1,1)-INDEX($U$4:$U$11,$AC$2,1),ROW()-4&gt;$AD$2),NA(),COUNTIF(INDEX($CB$5:$CH$201,INDEX($U$4:$U$11,1,1),$AC$2):INDEX($CB$5:$CH$201,INDEX($U$4:$U$11,1,1)+ROW()-5,$AC$2),EG$3))</f>
        <v>#N/A</v>
      </c>
      <c r="EH34" t="e">
        <f>IF(OR(ROW()-4&gt;INDEX($U$4:$U$11,$AC$2+1,1)-INDEX($U$4:$U$11,$AC$2,1),ROW()-4&gt;$AD$2),NA(),COUNTIF(INDEX($CB$5:$CH$201,INDEX($U$4:$U$11,1,1),$AC$2):INDEX($CB$5:$CH$201,INDEX($U$4:$U$11,1,1)+ROW()-5,$AC$2),EH$3))</f>
        <v>#N/A</v>
      </c>
      <c r="EI34" t="e">
        <f>IF(OR(ROW()-4&gt;INDEX($U$4:$U$11,$AC$2+1,1)-INDEX($U$4:$U$11,$AC$2,1),ROW()-4&gt;$AD$2),NA(),COUNTIF(INDEX($CB$5:$CH$201,INDEX($U$4:$U$11,1,1),$AC$2):INDEX($CB$5:$CH$201,INDEX($U$4:$U$11,1,1)+ROW()-5,$AC$2),EI$3))</f>
        <v>#N/A</v>
      </c>
      <c r="EJ34" t="e">
        <f>IF(OR(ROW()-4&gt;INDEX($U$4:$U$11,$AC$2+1,1)-INDEX($U$4:$U$11,$AC$2,1),ROW()-4&gt;$AD$2),NA(),COUNTIF(INDEX($CB$5:$CH$201,INDEX($U$4:$U$11,1,1),$AC$2):INDEX($CB$5:$CH$201,INDEX($U$4:$U$11,1,1)+ROW()-5,$AC$2),EJ$3))</f>
        <v>#N/A</v>
      </c>
      <c r="EK34" t="e">
        <f>IF(OR(ROW()-4&gt;INDEX($U$4:$U$11,$AC$2+1,1)-INDEX($U$4:$U$11,$AC$2,1),ROW()-4&gt;$AD$2),NA(),COUNTIF(INDEX($CB$5:$CH$201,INDEX($U$4:$U$11,1,1),$AC$2):INDEX($CB$5:$CH$201,INDEX($U$4:$U$11,1,1)+ROW()-5,$AC$2),EK$3))</f>
        <v>#N/A</v>
      </c>
      <c r="EL34" t="e">
        <f>IF(OR(ROW()-4&gt;INDEX($U$4:$U$11,$AC$2+1,1)-INDEX($U$4:$U$11,$AC$2,1),ROW()-4&gt;$AD$2),NA(),COUNTIF(INDEX($CB$5:$CH$201,INDEX($U$4:$U$11,1,1),$AC$2):INDEX($CB$5:$CH$201,INDEX($U$4:$U$11,1,1)+ROW()-5,$AC$2),EL$3))</f>
        <v>#N/A</v>
      </c>
      <c r="EN34" t="e">
        <f>IF(OR(ROW()-4&gt;INDEX($U$4:$U$11,$AC$2+1,1)-INDEX($U$4:$U$11,$AC$2,1),ROW()-4&gt;$AD$2),NA(),COUNTIF(INDEX($CJ$5:$CP$201,INDEX($U$4:$U$11,1,1),$AC$2):INDEX($CJ$5:$CP$201,INDEX($U$4:$U$11,1,1)+ROW()-5,$AC$2),EN$3))</f>
        <v>#N/A</v>
      </c>
      <c r="EO34" t="e">
        <f>IF(OR(ROW()-4&gt;INDEX($U$4:$U$11,$AC$2+1,1)-INDEX($U$4:$U$11,$AC$2,1),ROW()-4&gt;$AD$2),NA(),COUNTIF(INDEX($CJ$5:$CP$201,INDEX($U$4:$U$11,1,1),$AC$2):INDEX($CJ$5:$CP$201,INDEX($U$4:$U$11,1,1)+ROW()-5,$AC$2),EO$3))</f>
        <v>#N/A</v>
      </c>
      <c r="EQ34" t="e">
        <f>IF(OR(ROW()-4&gt;INDEX($U$4:$U$11,$AC$2+1,1)-INDEX($U$4:$U$11,$AC$2,1),ROW()-4&gt;$AD$2),NA(),COUNTIF(INDEX($CJ$5:$CP$201,INDEX($U$4:$U$11,1,1),$AC$2):INDEX($CJ$5:$CP$201,INDEX($U$4:$U$11,1,1)+ROW()-5,$AC$2),EQ$3))</f>
        <v>#N/A</v>
      </c>
      <c r="ER34" t="e">
        <f>IF(OR(ROW()-4&gt;INDEX($U$4:$U$11,$AC$2+1,1)-INDEX($U$4:$U$11,$AC$2,1),ROW()-4&gt;$AD$2),NA(),COUNTIF(INDEX($CJ$5:$CP$201,INDEX($U$4:$U$11,1,1),$AC$2):INDEX($CJ$5:$CP$201,INDEX($U$4:$U$11,1,1)+ROW()-5,$AC$2),ER$3))</f>
        <v>#N/A</v>
      </c>
      <c r="ET34" t="e">
        <f>IF(OR(ROW()-4&gt;INDEX($U$4:$U$11,$AC$2+1,1)-INDEX($U$4:$U$11,$AC$2,1),ROW()-4&gt;$AD$2),NA(),COUNTIF(INDEX($CR$5:$CX$201,INDEX($U$4:$U$11,1,1),$AC$2):INDEX($CR$5:$CX$201,INDEX($U$4:$U$11,1,1)+ROW()-5,$AC$2),ET$3))</f>
        <v>#N/A</v>
      </c>
      <c r="EU34" t="e">
        <f>IF(OR(ROW()-4&gt;INDEX($U$4:$U$11,$AC$2+1,1)-INDEX($U$4:$U$11,$AC$2,1),ROW()-4&gt;$AD$2),NA(),COUNTIF(INDEX($CR$5:$CX$201,INDEX($U$4:$U$11,1,1),$AC$2):INDEX($CR$5:$CX$201,INDEX($U$4:$U$11,1,1)+ROW()-5,$AC$2),EU$3))</f>
        <v>#N/A</v>
      </c>
      <c r="EV34" t="e">
        <f>IF(OR(ROW()-4&gt;INDEX($U$4:$U$11,$AC$2+1,1)-INDEX($U$4:$U$11,$AC$2,1),ROW()-4&gt;$AD$2),NA(),COUNTIF(INDEX($CR$5:$CX$201,INDEX($U$4:$U$11,1,1),$AC$2):INDEX($CR$5:$CX$201,INDEX($U$4:$U$11,1,1)+ROW()-5,$AC$2),EV$3))</f>
        <v>#N/A</v>
      </c>
      <c r="EW34" t="e">
        <f>IF(OR(ROW()-4&gt;INDEX($U$4:$U$11,$AC$2+1,1)-INDEX($U$4:$U$11,$AC$2,1),ROW()-4&gt;$AD$2),NA(),COUNTIF(INDEX($CR$5:$CX$201,INDEX($U$4:$U$11,1,1),$AC$2):INDEX($CR$5:$CX$201,INDEX($U$4:$U$11,1,1)+ROW()-5,$AC$2),EW$3))</f>
        <v>#N/A</v>
      </c>
      <c r="EX34" t="e">
        <f>IF(OR(ROW()-4&gt;INDEX($U$4:$U$11,$AC$2+1,1)-INDEX($U$4:$U$11,$AC$2,1),ROW()-4&gt;$AD$2),NA(),COUNTIF(INDEX($CR$5:$CX$201,INDEX($U$4:$U$11,1,1),$AC$2):INDEX($CR$5:$CX$201,INDEX($U$4:$U$11,1,1)+ROW()-5,$AC$2),EX$3))</f>
        <v>#N/A</v>
      </c>
      <c r="EY34" t="e">
        <f>IF(OR(ROW()-4&gt;INDEX($U$4:$U$11,$AC$2+1,1)-INDEX($U$4:$U$11,$AC$2,1),ROW()-4&gt;$AD$2),NA(),COUNTIF(INDEX($CR$5:$CX$201,INDEX($U$4:$U$11,1,1),$AC$2):INDEX($CR$5:$CX$201,INDEX($U$4:$U$11,1,1)+ROW()-5,$AC$2),EY$3))</f>
        <v>#N/A</v>
      </c>
      <c r="EZ34" t="e">
        <f>IF(OR(ROW()-4&gt;INDEX($U$4:$U$11,$AC$2+1,1)-INDEX($U$4:$U$11,$AC$2,1),ROW()-4&gt;$AD$2),NA(),COUNTIF(INDEX($CR$5:$CX$201,INDEX($U$4:$U$11,1,1),$AC$2):INDEX($CR$5:$CX$201,INDEX($U$4:$U$11,1,1)+ROW()-5,$AC$2),EZ$3))</f>
        <v>#N/A</v>
      </c>
      <c r="FA34" t="e">
        <f>IF(OR(ROW()-4&gt;INDEX($U$4:$U$11,$AC$2+1,1)-INDEX($U$4:$U$11,$AC$2,1),ROW()-4&gt;$AD$2),NA(),COUNTIF(INDEX($CR$5:$CX$201,INDEX($U$4:$U$11,1,1),$AC$2):INDEX($CR$5:$CX$201,INDEX($U$4:$U$11,1,1)+ROW()-5,$AC$2),FA$3))</f>
        <v>#N/A</v>
      </c>
      <c r="FC34" t="e">
        <f>IF(OR(ROW()-4&gt;INDEX($U$4:$U$11,$AC$2+1,1)-INDEX($U$4:$U$11,$AC$2,1),ROW()-4&gt;$AD$2),NA(),COUNTIF(INDEX($CR$5:$CX$201,INDEX($U$4:$U$11,1,1),$AC$2):INDEX($CR$5:$CX$201,INDEX($U$4:$U$11,1,1)+ROW()-5,$AC$2),FC$3))</f>
        <v>#N/A</v>
      </c>
      <c r="FD34" t="e">
        <f>IF(OR(ROW()-4&gt;INDEX($U$4:$U$11,$AC$2+1,1)-INDEX($U$4:$U$11,$AC$2,1),ROW()-4&gt;$AD$2),NA(),COUNTIF(INDEX($CR$5:$CX$201,INDEX($U$4:$U$11,1,1),$AC$2):INDEX($CR$5:$CX$201,INDEX($U$4:$U$11,1,1)+ROW()-5,$AC$2),FD$3))</f>
        <v>#N/A</v>
      </c>
      <c r="FE34" t="e">
        <f>IF(OR(ROW()-4&gt;INDEX($U$4:$U$11,$AC$2+1,1)-INDEX($U$4:$U$11,$AC$2,1),ROW()-4&gt;$AD$2),NA(),COUNTIF(INDEX($CR$5:$CX$201,INDEX($U$4:$U$11,1,1),$AC$2):INDEX($CR$5:$CX$201,INDEX($U$4:$U$11,1,1)+ROW()-5,$AC$2),FE$3))</f>
        <v>#N/A</v>
      </c>
      <c r="FF34" t="e">
        <f>IF(OR(ROW()-4&gt;INDEX($U$4:$U$11,$AC$2+1,1)-INDEX($U$4:$U$11,$AC$2,1),ROW()-4&gt;$AD$2),NA(),COUNTIF(INDEX($CR$5:$CX$201,INDEX($U$4:$U$11,1,1),$AC$2):INDEX($CR$5:$CX$201,INDEX($U$4:$U$11,1,1)+ROW()-5,$AC$2),FF$3))</f>
        <v>#N/A</v>
      </c>
      <c r="FG34" t="e">
        <f>IF(OR(ROW()-4&gt;INDEX($U$4:$U$11,$AC$2+1,1)-INDEX($U$4:$U$11,$AC$2,1),ROW()-4&gt;$AD$2),NA(),COUNTIF(INDEX($CR$5:$CX$201,INDEX($U$4:$U$11,1,1),$AC$2):INDEX($CR$5:$CX$201,INDEX($U$4:$U$11,1,1)+ROW()-5,$AC$2),FG$3))</f>
        <v>#N/A</v>
      </c>
      <c r="FH34" t="e">
        <f>IF(OR(ROW()-4&gt;INDEX($U$4:$U$11,$AC$2+1,1)-INDEX($U$4:$U$11,$AC$2,1),ROW()-4&gt;$AD$2),NA(),COUNTIF(INDEX($CR$5:$CX$201,INDEX($U$4:$U$11,1,1),$AC$2):INDEX($CR$5:$CX$201,INDEX($U$4:$U$11,1,1)+ROW()-5,$AC$2),FH$3))</f>
        <v>#N/A</v>
      </c>
      <c r="FI34" t="e">
        <f>IF(OR(ROW()-4&gt;INDEX($U$4:$U$11,$AC$2+1,1)-INDEX($U$4:$U$11,$AC$2,1),ROW()-4&gt;$AD$2),NA(),COUNTIF(INDEX($CR$5:$CX$201,INDEX($U$4:$U$11,1,1),$AC$2):INDEX($CR$5:$CX$201,INDEX($U$4:$U$11,1,1)+ROW()-5,$AC$2),FI$3))</f>
        <v>#N/A</v>
      </c>
      <c r="FJ34" t="e">
        <f>IF(OR(ROW()-4&gt;INDEX($U$4:$U$11,$AC$2+1,1)-INDEX($U$4:$U$11,$AC$2,1),ROW()-4&gt;$AD$2),NA(),COUNTIF(INDEX($CR$5:$CX$201,INDEX($U$4:$U$11,1,1),$AC$2):INDEX($CR$5:$CX$201,INDEX($U$4:$U$11,1,1)+ROW()-5,$AC$2),FJ$3))</f>
        <v>#N/A</v>
      </c>
      <c r="FL34" t="e">
        <f>IF(OR(ROW()-4&gt;INDEX($U$4:$U$11,$AC$2+1,1)-INDEX($U$4:$U$11,$AC$2,1),ROW()-4&gt;$AD$2),NA(),COUNTIF(INDEX($CZ$5:$DF$201,INDEX($U$4:$U$11,1,1),$AC$2):INDEX($CZ$5:$DF$201,INDEX($U$4:$U$11,1,1)+ROW()-5,$AC$2),FL$3))</f>
        <v>#N/A</v>
      </c>
      <c r="FM34" t="e">
        <f>IF(OR(ROW()-4&gt;INDEX($U$4:$U$11,$AC$2+1,1)-INDEX($U$4:$U$11,$AC$2,1),ROW()-4&gt;$AD$2),NA(),COUNTIF(INDEX($CZ$5:$DF$201,INDEX($U$4:$U$11,1,1),$AC$2):INDEX($CZ$5:$DF$201,INDEX($U$4:$U$11,1,1)+ROW()-5,$AC$2),FM$3))</f>
        <v>#N/A</v>
      </c>
      <c r="FN34" t="e">
        <f>IF(OR(ROW()-4&gt;INDEX($U$4:$U$11,$AC$2+1,1)-INDEX($U$4:$U$11,$AC$2,1),ROW()-4&gt;$AD$2),NA(),COUNTIF(INDEX($CZ$5:$DF$201,INDEX($U$4:$U$11,1,1),$AC$2):INDEX($CZ$5:$DF$201,INDEX($U$4:$U$11,1,1)+ROW()-5,$AC$2),FN$3))</f>
        <v>#N/A</v>
      </c>
      <c r="FO34" t="e">
        <f>IF(OR(ROW()-4&gt;INDEX($U$4:$U$11,$AC$2+1,1)-INDEX($U$4:$U$11,$AC$2,1),ROW()-4&gt;$AD$2),NA(),COUNTIF(INDEX($CZ$5:$DF$201,INDEX($U$4:$U$11,1,1),$AC$2):INDEX($CZ$5:$DF$201,INDEX($U$4:$U$11,1,1)+ROW()-5,$AC$2),FO$3))</f>
        <v>#N/A</v>
      </c>
      <c r="FP34" t="e">
        <f>IF(OR(ROW()-4&gt;INDEX($U$4:$U$11,$AC$2+1,1)-INDEX($U$4:$U$11,$AC$2,1),ROW()-4&gt;$AD$2),NA(),COUNTIF(INDEX($CZ$5:$DF$201,INDEX($U$4:$U$11,1,1),$AC$2):INDEX($CZ$5:$DF$201,INDEX($U$4:$U$11,1,1)+ROW()-5,$AC$2),FP$3))</f>
        <v>#N/A</v>
      </c>
      <c r="FQ34" t="e">
        <f>IF(OR(ROW()-4&gt;INDEX($U$4:$U$11,$AC$2+1,1)-INDEX($U$4:$U$11,$AC$2,1),ROW()-4&gt;$AD$2),NA(),COUNTIF(INDEX($CZ$5:$DF$201,INDEX($U$4:$U$11,1,1),$AC$2):INDEX($CZ$5:$DF$201,INDEX($U$4:$U$11,1,1)+ROW()-5,$AC$2),FQ$3))</f>
        <v>#N/A</v>
      </c>
      <c r="FR34" t="e">
        <f>IF(OR(ROW()-4&gt;INDEX($U$4:$U$11,$AC$2+1,1)-INDEX($U$4:$U$11,$AC$2,1),ROW()-4&gt;$AD$2),NA(),COUNTIF(INDEX($CZ$5:$DF$201,INDEX($U$4:$U$11,1,1),$AC$2):INDEX($CZ$5:$DF$201,INDEX($U$4:$U$11,1,1)+ROW()-5,$AC$2),FR$3))</f>
        <v>#N/A</v>
      </c>
      <c r="FS34" t="e">
        <f>IF(OR(ROW()-4&gt;INDEX($U$4:$U$11,$AC$2+1,1)-INDEX($U$4:$U$11,$AC$2,1),ROW()-4&gt;$AD$2),NA(),COUNTIF(INDEX($CZ$5:$DF$201,INDEX($U$4:$U$11,1,1),$AC$2):INDEX($CZ$5:$DF$201,INDEX($U$4:$U$11,1,1)+ROW()-5,$AC$2),FS$3))</f>
        <v>#N/A</v>
      </c>
      <c r="FT34" t="e">
        <f>IF(OR(ROW()-4&gt;INDEX($U$4:$U$11,$AC$2+1,1)-INDEX($U$4:$U$11,$AC$2,1),ROW()-4&gt;$AD$2),NA(),COUNTIF(INDEX($CZ$5:$DF$201,INDEX($U$4:$U$11,1,1),$AC$2):INDEX($CZ$5:$DF$201,INDEX($U$4:$U$11,1,1)+ROW()-5,$AC$2),FT$3))</f>
        <v>#N/A</v>
      </c>
      <c r="FU34" t="e">
        <f>IF(OR(ROW()-4&gt;INDEX($U$4:$U$11,$AC$2+1,1)-INDEX($U$4:$U$11,$AC$2,1),ROW()-4&gt;$AD$2),NA(),COUNTIF(INDEX($CZ$5:$DF$201,INDEX($U$4:$U$11,1,1),$AC$2):INDEX($CZ$5:$DF$201,INDEX($U$4:$U$11,1,1)+ROW()-5,$AC$2),FU$3))</f>
        <v>#N/A</v>
      </c>
      <c r="FW34" t="e">
        <f>IF(OR(ROW()-4&gt;INDEX($U$4:$U$11,$AC$2+1,1)-INDEX($U$4:$U$11,$AC$2,1),ROW()-4&gt;$AD$2),NA(),COUNTIF(INDEX($CZ$5:$DF$201,INDEX($U$4:$U$11,1,1),$AC$2):INDEX($CZ$5:$DF$201,INDEX($U$4:$U$11,1,1)+ROW()-5,$AC$2),FW$3))</f>
        <v>#N/A</v>
      </c>
      <c r="FX34" t="e">
        <f>IF(OR(ROW()-4&gt;INDEX($U$4:$U$11,$AC$2+1,1)-INDEX($U$4:$U$11,$AC$2,1),ROW()-4&gt;$AD$2),NA(),COUNTIF(INDEX($CZ$5:$DF$201,INDEX($U$4:$U$11,1,1),$AC$2):INDEX($CZ$5:$DF$201,INDEX($U$4:$U$11,1,1)+ROW()-5,$AC$2),FX$3))</f>
        <v>#N/A</v>
      </c>
      <c r="FY34" t="e">
        <f>IF(OR(ROW()-4&gt;INDEX($U$4:$U$11,$AC$2+1,1)-INDEX($U$4:$U$11,$AC$2,1),ROW()-4&gt;$AD$2),NA(),COUNTIF(INDEX($CZ$5:$DF$201,INDEX($U$4:$U$11,1,1),$AC$2):INDEX($CZ$5:$DF$201,INDEX($U$4:$U$11,1,1)+ROW()-5,$AC$2),FY$3))</f>
        <v>#N/A</v>
      </c>
      <c r="FZ34" t="e">
        <f>IF(OR(ROW()-4&gt;INDEX($U$4:$U$11,$AC$2+1,1)-INDEX($U$4:$U$11,$AC$2,1),ROW()-4&gt;$AD$2),NA(),COUNTIF(INDEX($CZ$5:$DF$201,INDEX($U$4:$U$11,1,1),$AC$2):INDEX($CZ$5:$DF$201,INDEX($U$4:$U$11,1,1)+ROW()-5,$AC$2),FZ$3))</f>
        <v>#N/A</v>
      </c>
      <c r="GA34" t="e">
        <f>IF(OR(ROW()-4&gt;INDEX($U$4:$U$11,$AC$2+1,1)-INDEX($U$4:$U$11,$AC$2,1),ROW()-4&gt;$AD$2),NA(),COUNTIF(INDEX($CZ$5:$DF$201,INDEX($U$4:$U$11,1,1),$AC$2):INDEX($CZ$5:$DF$201,INDEX($U$4:$U$11,1,1)+ROW()-5,$AC$2),GA$3))</f>
        <v>#N/A</v>
      </c>
      <c r="GB34" t="e">
        <f>IF(OR(ROW()-4&gt;INDEX($U$4:$U$11,$AC$2+1,1)-INDEX($U$4:$U$11,$AC$2,1),ROW()-4&gt;$AD$2),NA(),COUNTIF(INDEX($CZ$5:$DF$201,INDEX($U$4:$U$11,1,1),$AC$2):INDEX($CZ$5:$DF$201,INDEX($U$4:$U$11,1,1)+ROW()-5,$AC$2),GB$3))</f>
        <v>#N/A</v>
      </c>
      <c r="GC34" t="e">
        <f>IF(OR(ROW()-4&gt;INDEX($U$4:$U$11,$AC$2+1,1)-INDEX($U$4:$U$11,$AC$2,1),ROW()-4&gt;$AD$2),NA(),COUNTIF(INDEX($CZ$5:$DF$201,INDEX($U$4:$U$11,1,1),$AC$2):INDEX($CZ$5:$DF$201,INDEX($U$4:$U$11,1,1)+ROW()-5,$AC$2),GC$3))</f>
        <v>#N/A</v>
      </c>
      <c r="GD34" t="e">
        <f>IF(OR(ROW()-4&gt;INDEX($U$4:$U$11,$AC$2+1,1)-INDEX($U$4:$U$11,$AC$2,1),ROW()-4&gt;$AD$2),NA(),COUNTIF(INDEX($CZ$5:$DF$201,INDEX($U$4:$U$11,1,1),$AC$2):INDEX($CZ$5:$DF$201,INDEX($U$4:$U$11,1,1)+ROW()-5,$AC$2),GD$3))</f>
        <v>#N/A</v>
      </c>
      <c r="GE34" t="e">
        <f>IF(OR(ROW()-4&gt;INDEX($U$4:$U$11,$AC$2+1,1)-INDEX($U$4:$U$11,$AC$2,1),ROW()-4&gt;$AD$2),NA(),COUNTIF(INDEX($CZ$5:$DF$201,INDEX($U$4:$U$11,1,1),$AC$2):INDEX($CZ$5:$DF$201,INDEX($U$4:$U$11,1,1)+ROW()-5,$AC$2),GE$3))</f>
        <v>#N/A</v>
      </c>
      <c r="GF34" t="e">
        <f>IF(OR(ROW()-4&gt;INDEX($U$4:$U$11,$AC$2+1,1)-INDEX($U$4:$U$11,$AC$2,1),ROW()-4&gt;$AD$2),NA(),COUNTIF(INDEX($CZ$5:$DF$201,INDEX($U$4:$U$11,1,1),$AC$2):INDEX($CZ$5:$DF$201,INDEX($U$4:$U$11,1,1)+ROW()-5,$AC$2),GF$3))</f>
        <v>#N/A</v>
      </c>
      <c r="GO34" s="13"/>
      <c r="GP34" s="14"/>
      <c r="GQ34" s="14"/>
      <c r="GR34" s="14"/>
      <c r="GS34" s="14"/>
      <c r="GT34" s="14"/>
      <c r="GU34" s="14"/>
      <c r="GV34" s="14"/>
      <c r="GW34" s="14"/>
      <c r="GX34" s="14"/>
      <c r="GY34" s="14"/>
      <c r="GZ34" s="14"/>
      <c r="HA34" s="14"/>
      <c r="HB34" s="14"/>
      <c r="HC34" s="14"/>
      <c r="HD34" s="14"/>
      <c r="HE34" s="14" t="str">
        <f>$AC$3</f>
        <v>FENG Tianwei</v>
      </c>
      <c r="HF34" s="14"/>
      <c r="HG34" s="14" t="s">
        <v>67</v>
      </c>
      <c r="HH34" t="s">
        <v>83</v>
      </c>
      <c r="HI34" t="s">
        <v>84</v>
      </c>
      <c r="HJ34" s="14"/>
      <c r="HK34" s="14"/>
      <c r="HL34" s="14"/>
      <c r="HM34" s="15"/>
    </row>
    <row r="35" spans="1:221" x14ac:dyDescent="0.45">
      <c r="A35" t="str">
        <f>データの貼付!A33</f>
        <v>FENG Tianwei</v>
      </c>
      <c r="B35">
        <f>データの貼付!B33</f>
        <v>7.9265046296296288E-3</v>
      </c>
      <c r="C35">
        <f>データの貼付!C33</f>
        <v>5.9467592592592589E-5</v>
      </c>
      <c r="D35">
        <f>データの貼付!D33</f>
        <v>6.9444444444444447E-4</v>
      </c>
      <c r="E35" t="str">
        <f>データの貼付!F33</f>
        <v>KIHARA Miyuu</v>
      </c>
      <c r="F35">
        <f>データの貼付!E33</f>
        <v>0</v>
      </c>
      <c r="G35" t="str">
        <f>データの貼付!G33</f>
        <v>#02</v>
      </c>
      <c r="H35" t="str">
        <f>データの貼付!H33</f>
        <v>FENG Tianwei</v>
      </c>
      <c r="I35" t="str">
        <f>データの貼付!I33</f>
        <v>Side</v>
      </c>
      <c r="J35" t="str">
        <f>データの貼付!J33</f>
        <v>B</v>
      </c>
      <c r="K35" t="str">
        <f>データの貼付!K33</f>
        <v>B</v>
      </c>
      <c r="L35" t="str">
        <f>データの貼付!L33</f>
        <v>B</v>
      </c>
      <c r="M35" t="str">
        <f>データの貼付!M33</f>
        <v>ドライブ</v>
      </c>
      <c r="N35" t="str">
        <f>データの貼付!N33</f>
        <v>FM</v>
      </c>
      <c r="R35">
        <f t="shared" si="59"/>
        <v>0</v>
      </c>
      <c r="S35">
        <f>SUM(R$4:R35)</f>
        <v>2</v>
      </c>
      <c r="T35" t="str">
        <f t="shared" si="60"/>
        <v>KIHARA Miyuu</v>
      </c>
      <c r="W35" t="str">
        <f t="shared" si="57"/>
        <v>KIHARA Miyuu_FENG Tianwei</v>
      </c>
      <c r="X35" t="str">
        <f t="shared" si="58"/>
        <v>KIHARA Miyuu_#02</v>
      </c>
      <c r="AC35" s="8" t="e">
        <f>IF(OR(ROW()-4&gt;INDEX($U$4:$U$11,AC$2+1)-INDEX($U$4:$U$11,AC$2),ROW()-4&gt;AD$2),NA(),COUNTIF(INDEX($W$4:$W$200,INDEX($U$4:$U$11,AC$2)):INDEX($W$4:$W$200,INDEX($U$4:$U$11,AC$2)+ROW()-5),AC$3&amp;"_"&amp;AC$3)/(COUNTIF(INDEX($W$4:$W$200,INDEX($U$4:$U$11,AC$2)):INDEX($W$4:$W$200,INDEX($U$4:$U$11,AC$2)+ROW()-5),AC$3&amp;"_"&amp;AC$3)+COUNTIF(INDEX($W$4:$W$200,INDEX($U$4:$U$11,AC$2)):INDEX($W$4:$W$200,INDEX($U$4:$U$11,AC$2)+ROW()-5),AD$3&amp;"_"&amp;AC$3)))</f>
        <v>#N/A</v>
      </c>
      <c r="AD35" s="8" t="e">
        <f>IF(OR(ROW()-4&gt;INDEX($U$4:$U$11,AC$2+1)-INDEX($U$4:$U$11,AC$2),ROW()-4&gt;AD$2),NA(),COUNTIF(INDEX($W$4:$W$200,INDEX($U$4:$U$11,AC$2)):INDEX($W$4:$W$200,INDEX($U$4:$U$11,AC$2)+ROW()-5),AD$3&amp;"_"&amp;AD$3)/(COUNTIF(INDEX($W$4:$W$200,INDEX($U$4:$U$11,AC$2)):INDEX($W$4:$W$200,INDEX($U$4:$U$11,AC$2)+ROW()-5),AD$3&amp;"_"&amp;AD$3)+COUNTIF(INDEX($W$4:$W$200,INDEX($U$4:$U$11,AC$2)):INDEX($W$4:$W$200,INDEX($U$4:$U$11,AC$2)+ROW()-5),AC$3&amp;"_"&amp;AD$3)))</f>
        <v>#N/A</v>
      </c>
      <c r="AE35" s="10" t="e">
        <f>IF(OR(ROW()-4&gt;INDEX($U$4:$U$11,AC$2+1)-INDEX($U$4:$U$11,AC$2),ROW()-4&gt;AD$2),NA(),COUNTIF(INDEX($W$4:$W$200,INDEX($U$4:$U$11,AC$2)):INDEX($W$4:$W$200,INDEX($U$4:$U$11,AC$2)+ROW()-5),AC$3&amp;"_"&amp;AD$3)/(COUNTIF(INDEX($W$4:$W$200,INDEX($U$4:$U$11,AC$2)):INDEX($W$4:$W$200,INDEX($U$4:$U$11,AC$2)+ROW()-5),AC$3&amp;"_"&amp;AD$3)+COUNTIF(INDEX($W$4:$W$200,INDEX($U$4:$U$11,AC$2)):INDEX($W$4:$W$200,INDEX($U$4:$U$11,AC$2)+ROW()-5),AD$3&amp;"_"&amp;AD$3)))</f>
        <v>#N/A</v>
      </c>
      <c r="AF35" s="10" t="e">
        <f>IF(OR(ROW()-4&gt;INDEX($U$4:$U$11,AC$2+1)-INDEX($U$4:$U$11,AC$2),ROW()-4&gt;AD$2),NA(),COUNTIF(INDEX($W$4:$W$200,INDEX($U$4:$U$11,AC$2)):INDEX($W$4:$W$200,INDEX($U$4:$U$11,AC$2)+ROW()-5),AD$3&amp;"_"&amp;AC$3)/(COUNTIF(INDEX($W$4:$W$200,INDEX($U$4:$U$11,AC$2)):INDEX($W$4:$W$200,INDEX($U$4:$U$11,AC$2)+ROW()-5),AD$3&amp;"_"&amp;AC$3)+COUNTIF(INDEX($W$4:$W$200,INDEX($U$4:$U$11,AC$2)):INDEX($W$4:$W$200,INDEX($U$4:$U$11,AC$2)+ROW()-5),AC$3&amp;"_"&amp;AC$3)))</f>
        <v>#N/A</v>
      </c>
      <c r="AG35" s="10" t="e">
        <f>IF(OR(ROW()-4&gt;INDEX($U$4:$U$11,AC$2+1)-INDEX($U$4:$U$11,AC$2),ROW()-4&gt;AD$2),NA(),COUNTIF(INDEX($X$4:$X$200,INDEX($U$4:$U$11,AC$2)):INDEX($X$4:$X$200,INDEX($U$4:$U$11,AC$2)+ROW()-5),AC$3&amp;"_#03")/(COUNTIF(INDEX($W$4:$W$200,INDEX($U$4:$U$11,AC$2)):INDEX($W$4:$W$200,INDEX($U$4:$U$11,AC$2)+ROW()-5),AC$3&amp;"_"&amp;AC$3)+COUNTIF(INDEX($W$4:$W$200,INDEX($U$4:$U$11,AC$2)):INDEX($W$4:$W$200,INDEX($U$4:$U$11,AC$2)+ROW()-5),AD$3&amp;"_"&amp;AC$3)))</f>
        <v>#N/A</v>
      </c>
      <c r="AH35" s="10" t="e">
        <f>IF(OR(ROW()-4&gt;INDEX($U$4:$U$11,AC$2+1)-INDEX($U$4:$U$11,AC$2),ROW()-4&gt;AD$2),NA(),COUNTIF(INDEX($X$4:$X$200,INDEX($U$4:$U$11,AC$2)):INDEX($X$4:$X$200,INDEX($U$4:$U$11,AC$2)+ROW()-5),AD$3&amp;"_#03")/(COUNTIF(INDEX($W$4:$W$200,INDEX($U$4:$U$11,AC$2)):INDEX($W$4:$W$200,INDEX($U$4:$U$11,AC$2)+ROW()-5),AD$3&amp;"_"&amp;AD$3)+COUNTIF(INDEX($W$4:$W$200,INDEX($U$4:$U$11,AC$2)):INDEX($W$4:$W$200,INDEX($U$4:$U$11,AC$2)+ROW()-5),AC$3&amp;"_"&amp;AD$3)))</f>
        <v>#N/A</v>
      </c>
      <c r="AI35" s="10" t="e">
        <f>IF(OR(ROW()-4&gt;INDEX($U$4:$U$11,AC$2+1)-INDEX($U$4:$U$11,AC$2),ROW()-4&gt;AD$2),NA(),(COUNTIF(INDEX($X$4:$X$200,INDEX($U$4:$U$11,AC$2)):INDEX($X$4:$X$200,INDEX($U$4:$U$11,AC$2)+ROW()-5),AC$3&amp;"_#03")-COUNTIF(INDEX($X$4:$X$200,INDEX($U$4:$U$11,AC$2)):INDEX($X$4:$X$200,INDEX($U$4:$U$11,AC$2)+ROW()-5),AD$3&amp;"_#02"))/(COUNTIF(INDEX($W$4:$W$200,INDEX($U$4:$U$11,AC$2)):INDEX($W$4:$W$200,INDEX($U$4:$U$11,AC$2)+ROW()-5),AC$3&amp;"_"&amp;AC$3)+COUNTIF(INDEX($W$4:$W$200,INDEX($U$4:$U$11,AC$2)):INDEX($W$4:$W$200,INDEX($U$4:$U$11,AC$2)+ROW()-5),AD$3&amp;"_"&amp;AC$3)))</f>
        <v>#N/A</v>
      </c>
      <c r="AJ35" s="10" t="e">
        <f>IF(OR(ROW()-4&gt;INDEX($U$4:$U$11,AC$2+1)-INDEX($U$4:$U$11,AC$2),ROW()-4&gt;AD$2),NA(),(COUNTIF(INDEX($X$4:$X$200,INDEX($U$4:$U$11,AC$2)):INDEX($X$4:$X$200,INDEX($U$4:$U$11,AC$2)+ROW()-5),AD$3&amp;"_#03")-COUNTIF(INDEX($X$4:$X$200,INDEX($U$4:$U$11,AC$2)):INDEX($X$4:$X$200,INDEX($U$4:$U$11,AC$2)+ROW()-5),AC$3&amp;"_#02"))/(COUNTIF(INDEX($W$4:$W$200,INDEX($U$4:$U$11,AC$2)):INDEX($W$4:$W$200,INDEX($U$4:$U$11,AC$2)+ROW()-5),AD$3&amp;"_"&amp;AD$3)+COUNTIF(INDEX($W$4:$W$200,INDEX($U$4:$U$11,AC$2)):INDEX($W$4:$W$200,INDEX($U$4:$U$11,AC$2)+ROW()-5),AC$3&amp;"_"&amp;AD$3)))</f>
        <v>#N/A</v>
      </c>
      <c r="AK35" s="10" t="e">
        <f>IF(OR(ROW()-4&gt;INDEX($U$4:$U$11,AC$2+1)-INDEX($U$4:$U$11,AC$2),ROW()-4&gt;AD$2),NA(),(COUNTIF(INDEX($X$4:$X$200,INDEX($U$4:$U$11,AC$2)):INDEX($X$4:$X$200,INDEX($U$4:$U$11,AC$2)+ROW()-5),AC$3&amp;"_#01")+COUNTIF(INDEX($X$4:$X$200,INDEX($U$4:$U$11,AC$2)):INDEX($X$4:$X$200,INDEX($U$4:$U$11,AC$2)+ROW()-5),AC$3&amp;"_#03"))/(COUNTIF(INDEX($W$4:$W$200,INDEX($U$4:$U$11,AC$2)):INDEX($W$4:$W$200,INDEX($U$4:$U$11,AC$2)+ROW()-5),AC$3&amp;"_"&amp;AC$3)+COUNTIF(INDEX($W$4:$W$200,INDEX($U$4:$U$11,AC$2)):INDEX($W$4:$W$200,INDEX($U$4:$U$11,AC$2)+ROW()-5),AD$3&amp;"_"&amp;AC$3)))</f>
        <v>#N/A</v>
      </c>
      <c r="AL35" s="10" t="e">
        <f>IF(OR(ROW()-4&gt;INDEX($U$4:$U$11,AC$2+1)-INDEX($U$4:$U$11,AC$2),ROW()-4&gt;AD$2),NA(),(COUNTIF(INDEX($X$4:$X$200,INDEX($U$4:$U$11,AC$2)):INDEX($X$4:$X$200,INDEX($U$4:$U$11,AC$2)+ROW()-5),AD$3&amp;"_#01")+COUNTIF(INDEX($X$4:$X$200,INDEX($U$4:$U$11,AC$2)):INDEX($X$4:$X$200,INDEX($U$4:$U$11,AC$2)+ROW()-5),AD$3&amp;"_#03"))/(COUNTIF(INDEX($W$4:$W$200,INDEX($U$4:$U$11,AC$2)):INDEX($W$4:$W$200,INDEX($U$4:$U$11,AC$2)+ROW()-5),AD$3&amp;"_"&amp;AD$3)+COUNTIF(INDEX($W$4:$W$200,INDEX($U$4:$U$11,AC$2)):INDEX($W$4:$W$200,INDEX($U$4:$U$11,AC$2)+ROW()-5),AC$3&amp;"_"&amp;AD$3)))</f>
        <v>#N/A</v>
      </c>
      <c r="AN35" t="str">
        <f t="shared" si="125"/>
        <v/>
      </c>
      <c r="AO35" t="str">
        <f t="shared" si="111"/>
        <v/>
      </c>
      <c r="AP35" t="str">
        <f t="shared" si="112"/>
        <v/>
      </c>
      <c r="AQ35" t="str">
        <f t="shared" si="113"/>
        <v/>
      </c>
      <c r="AR35" t="str">
        <f t="shared" si="114"/>
        <v/>
      </c>
      <c r="AS35" t="e">
        <f t="shared" si="115"/>
        <v>#VALUE!</v>
      </c>
      <c r="AT35" t="e">
        <f t="shared" si="116"/>
        <v>#VALUE!</v>
      </c>
      <c r="AV35" t="e">
        <f t="shared" si="117"/>
        <v>#VALUE!</v>
      </c>
      <c r="AW35" t="e">
        <f t="shared" si="63"/>
        <v>#VALUE!</v>
      </c>
      <c r="AX35" t="e">
        <f t="shared" si="64"/>
        <v>#VALUE!</v>
      </c>
      <c r="AY35" t="e">
        <f t="shared" si="65"/>
        <v>#VALUE!</v>
      </c>
      <c r="AZ35" t="e">
        <f t="shared" si="66"/>
        <v>#VALUE!</v>
      </c>
      <c r="BA35" t="e">
        <f t="shared" si="67"/>
        <v>#VALUE!</v>
      </c>
      <c r="BB35" t="e">
        <f t="shared" si="68"/>
        <v>#VALUE!</v>
      </c>
      <c r="BD35" t="e">
        <f t="shared" si="118"/>
        <v>#VALUE!</v>
      </c>
      <c r="BE35" t="e">
        <f t="shared" si="69"/>
        <v>#VALUE!</v>
      </c>
      <c r="BF35" t="e">
        <f t="shared" si="70"/>
        <v>#VALUE!</v>
      </c>
      <c r="BG35" t="e">
        <f t="shared" si="71"/>
        <v>#VALUE!</v>
      </c>
      <c r="BH35" t="e">
        <f t="shared" si="72"/>
        <v>#VALUE!</v>
      </c>
      <c r="BI35" t="e">
        <f t="shared" si="73"/>
        <v>#VALUE!</v>
      </c>
      <c r="BJ35" t="e">
        <f t="shared" si="74"/>
        <v>#VALUE!</v>
      </c>
      <c r="BL35" t="e">
        <f t="shared" si="119"/>
        <v>#VALUE!</v>
      </c>
      <c r="BM35" t="e">
        <f t="shared" si="75"/>
        <v>#VALUE!</v>
      </c>
      <c r="BN35" t="e">
        <f t="shared" si="76"/>
        <v>#VALUE!</v>
      </c>
      <c r="BO35" t="e">
        <f t="shared" si="77"/>
        <v>#VALUE!</v>
      </c>
      <c r="BP35" t="e">
        <f t="shared" si="78"/>
        <v>#VALUE!</v>
      </c>
      <c r="BQ35" t="e">
        <f t="shared" si="79"/>
        <v>#VALUE!</v>
      </c>
      <c r="BR35" t="e">
        <f t="shared" si="80"/>
        <v>#VALUE!</v>
      </c>
      <c r="BT35" t="e">
        <f t="shared" si="120"/>
        <v>#VALUE!</v>
      </c>
      <c r="BU35" t="e">
        <f t="shared" si="81"/>
        <v>#VALUE!</v>
      </c>
      <c r="BV35" t="e">
        <f t="shared" si="82"/>
        <v>#VALUE!</v>
      </c>
      <c r="BW35" t="e">
        <f t="shared" si="83"/>
        <v>#VALUE!</v>
      </c>
      <c r="BX35" t="e">
        <f t="shared" si="84"/>
        <v>#VALUE!</v>
      </c>
      <c r="BY35" t="e">
        <f t="shared" si="85"/>
        <v>#VALUE!</v>
      </c>
      <c r="BZ35" t="e">
        <f t="shared" si="86"/>
        <v>#VALUE!</v>
      </c>
      <c r="CB35" t="e">
        <f t="shared" si="121"/>
        <v>#VALUE!</v>
      </c>
      <c r="CC35" t="e">
        <f t="shared" si="87"/>
        <v>#VALUE!</v>
      </c>
      <c r="CD35" t="e">
        <f t="shared" si="88"/>
        <v>#VALUE!</v>
      </c>
      <c r="CE35" t="e">
        <f t="shared" si="89"/>
        <v>#VALUE!</v>
      </c>
      <c r="CF35" t="e">
        <f t="shared" si="90"/>
        <v>#VALUE!</v>
      </c>
      <c r="CG35" t="e">
        <f t="shared" si="91"/>
        <v>#VALUE!</v>
      </c>
      <c r="CH35" t="e">
        <f t="shared" si="92"/>
        <v>#VALUE!</v>
      </c>
      <c r="CJ35" t="e">
        <f t="shared" si="122"/>
        <v>#VALUE!</v>
      </c>
      <c r="CK35" t="e">
        <f t="shared" si="93"/>
        <v>#VALUE!</v>
      </c>
      <c r="CL35" t="e">
        <f t="shared" si="94"/>
        <v>#VALUE!</v>
      </c>
      <c r="CM35" t="e">
        <f t="shared" si="95"/>
        <v>#VALUE!</v>
      </c>
      <c r="CN35" t="e">
        <f t="shared" si="96"/>
        <v>#VALUE!</v>
      </c>
      <c r="CO35" t="e">
        <f t="shared" si="97"/>
        <v>#VALUE!</v>
      </c>
      <c r="CP35" t="e">
        <f t="shared" si="98"/>
        <v>#VALUE!</v>
      </c>
      <c r="CR35" t="e">
        <f t="shared" si="123"/>
        <v>#VALUE!</v>
      </c>
      <c r="CS35" t="e">
        <f t="shared" si="99"/>
        <v>#VALUE!</v>
      </c>
      <c r="CT35" t="e">
        <f t="shared" si="100"/>
        <v>#VALUE!</v>
      </c>
      <c r="CU35" t="e">
        <f t="shared" si="101"/>
        <v>#VALUE!</v>
      </c>
      <c r="CV35" t="e">
        <f t="shared" si="102"/>
        <v>#VALUE!</v>
      </c>
      <c r="CW35" t="e">
        <f t="shared" si="103"/>
        <v>#VALUE!</v>
      </c>
      <c r="CX35" t="e">
        <f t="shared" si="104"/>
        <v>#VALUE!</v>
      </c>
      <c r="CZ35" t="e">
        <f t="shared" si="124"/>
        <v>#VALUE!</v>
      </c>
      <c r="DA35" t="e">
        <f t="shared" si="105"/>
        <v>#VALUE!</v>
      </c>
      <c r="DB35" t="e">
        <f t="shared" si="106"/>
        <v>#VALUE!</v>
      </c>
      <c r="DC35" t="e">
        <f t="shared" si="107"/>
        <v>#VALUE!</v>
      </c>
      <c r="DD35" t="e">
        <f t="shared" si="108"/>
        <v>#VALUE!</v>
      </c>
      <c r="DE35" t="e">
        <f t="shared" si="109"/>
        <v>#VALUE!</v>
      </c>
      <c r="DF35" t="e">
        <f t="shared" si="110"/>
        <v>#VALUE!</v>
      </c>
      <c r="DH35" t="e">
        <f>IF(OR(ROW()-4&gt;INDEX($U$4:$U$11,$AC$2+1,1)-INDEX($U$4:$U$11,$AC$2,1),ROW()-4&gt;$AD$2),NA(),COUNTIF(INDEX($BL$5:$BR$50,INDEX($U$4:$U$11,1,1),$AC$2):INDEX($BL$5:$BR$50,INDEX($U$4:$U$11,1,1)+ROW()-5,$AC$2),DH$3))</f>
        <v>#N/A</v>
      </c>
      <c r="DI35" t="e">
        <f>IF(OR(ROW()-4&gt;INDEX($U$4:$U$11,$AC$2+1,1)-INDEX($U$4:$U$11,$AC$2,1),ROW()-4&gt;$AD$2),NA(),COUNTIF(INDEX($BL$5:$BR$50,INDEX($U$4:$U$11,1,1),$AC$2):INDEX($BL$5:$BR$50,INDEX($U$4:$U$11,1,1)+ROW()-5,$AC$2),DI$3))</f>
        <v>#N/A</v>
      </c>
      <c r="DJ35" t="e">
        <f>IF(OR(ROW()-4&gt;INDEX($U$4:$U$11,$AC$2+1,1)-INDEX($U$4:$U$11,$AC$2,1),ROW()-4&gt;$AD$2),NA(),COUNTIF(INDEX($BL$5:$BR$50,INDEX($U$4:$U$11,1,1),$AC$2):INDEX($BL$5:$BR$50,INDEX($U$4:$U$11,1,1)+ROW()-5,$AC$2),DJ$3))</f>
        <v>#N/A</v>
      </c>
      <c r="DL35" t="e">
        <f>IF(OR(ROW()-4&gt;INDEX($U$4:$U$11,$AC$2+1,1)-INDEX($U$4:$U$11,$AC$2,1),ROW()-4&gt;$AD$2),NA(),COUNTIF(INDEX($BL$5:$BR$50,INDEX($U$4:$U$11,1,1),$AC$2):INDEX($BL$5:$BR$50,INDEX($U$4:$U$11,1,1)+ROW()-5,$AC$2),DL$3))</f>
        <v>#N/A</v>
      </c>
      <c r="DM35" t="e">
        <f>IF(OR(ROW()-4&gt;INDEX($U$4:$U$11,$AC$2+1,1)-INDEX($U$4:$U$11,$AC$2,1),ROW()-4&gt;$AD$2),NA(),COUNTIF(INDEX($BL$5:$BR$50,INDEX($U$4:$U$11,1,1),$AC$2):INDEX($BL$5:$BR$50,INDEX($U$4:$U$11,1,1)+ROW()-5,$AC$2),DM$3))</f>
        <v>#N/A</v>
      </c>
      <c r="DN35" t="e">
        <f>IF(OR(ROW()-4&gt;INDEX($U$4:$U$11,$AC$2+1,1)-INDEX($U$4:$U$11,$AC$2,1),ROW()-4&gt;$AD$2),NA(),COUNTIF(INDEX($BL$5:$BR$50,INDEX($U$4:$U$11,1,1),$AC$2):INDEX($BL$5:$BR$50,INDEX($U$4:$U$11,1,1)+ROW()-5,$AC$2),DN$3))</f>
        <v>#N/A</v>
      </c>
      <c r="DP35" t="e">
        <f>IF(OR(ROW()-4&gt;INDEX($U$4:$U$11,$AC$2+1,1)-INDEX($U$4:$U$11,$AC$2,1),ROW()-4&gt;$AD$2),NA(),COUNTIF(INDEX($BT$5:$BZ$201,INDEX($U$4:$U$11,1,1),$AC$2):INDEX($BT$5:$BZ$201,INDEX($U$4:$U$11,1,1)+ROW()-5,$AC$2),DP$3))</f>
        <v>#N/A</v>
      </c>
      <c r="DQ35" t="e">
        <f>IF(OR(ROW()-4&gt;INDEX($U$4:$U$11,$AC$2+1,1)-INDEX($U$4:$U$11,$AC$2,1),ROW()-4&gt;$AD$2),NA(),COUNTIF(INDEX($BT$5:$BZ$201,INDEX($U$4:$U$11,1,1),$AC$2):INDEX($BT$5:$BZ$201,INDEX($U$4:$U$11,1,1)+ROW()-5,$AC$2),DQ$3))</f>
        <v>#N/A</v>
      </c>
      <c r="DS35" t="e">
        <f>IF(OR(ROW()-4&gt;INDEX($U$4:$U$11,$AC$2+1,1)-INDEX($U$4:$U$11,$AC$2,1),ROW()-4&gt;$AD$2),NA(),COUNTIF(INDEX($BT$5:$BZ$201,INDEX($U$4:$U$11,1,1),$AC$2):INDEX($BT$5:$BZ$201,INDEX($U$4:$U$11,1,1)+ROW()-5,$AC$2),DS$3))</f>
        <v>#N/A</v>
      </c>
      <c r="DT35" t="e">
        <f>IF(OR(ROW()-4&gt;INDEX($U$4:$U$11,$AC$2+1,1)-INDEX($U$4:$U$11,$AC$2,1),ROW()-4&gt;$AD$2),NA(),COUNTIF(INDEX($BT$5:$BZ$201,INDEX($U$4:$U$11,1,1),$AC$2):INDEX($BT$5:$BZ$201,INDEX($U$4:$U$11,1,1)+ROW()-5,$AC$2),DT$3))</f>
        <v>#N/A</v>
      </c>
      <c r="DV35" t="e">
        <f>IF(OR(ROW()-4&gt;INDEX($U$4:$U$11,$AC$2+1,1)-INDEX($U$4:$U$11,$AC$2,1),ROW()-4&gt;$AD$2),NA(),COUNTIF(INDEX($CB$5:$CH$201,INDEX($U$4:$U$11,1,1),$AC$2):INDEX($CB$5:$CH$201,INDEX($U$4:$U$11,1,1)+ROW()-5,$AC$2),DV$3))</f>
        <v>#N/A</v>
      </c>
      <c r="DW35" t="e">
        <f>IF(OR(ROW()-4&gt;INDEX($U$4:$U$11,$AC$2+1,1)-INDEX($U$4:$U$11,$AC$2,1),ROW()-4&gt;$AD$2),NA(),COUNTIF(INDEX($CB$5:$CH$201,INDEX($U$4:$U$11,1,1),$AC$2):INDEX($CB$5:$CH$201,INDEX($U$4:$U$11,1,1)+ROW()-5,$AC$2),DW$3))</f>
        <v>#N/A</v>
      </c>
      <c r="DX35" t="e">
        <f>IF(OR(ROW()-4&gt;INDEX($U$4:$U$11,$AC$2+1,1)-INDEX($U$4:$U$11,$AC$2,1),ROW()-4&gt;$AD$2),NA(),COUNTIF(INDEX($CB$5:$CH$201,INDEX($U$4:$U$11,1,1),$AC$2):INDEX($CB$5:$CH$201,INDEX($U$4:$U$11,1,1)+ROW()-5,$AC$2),DX$3))</f>
        <v>#N/A</v>
      </c>
      <c r="DY35" t="e">
        <f>IF(OR(ROW()-4&gt;INDEX($U$4:$U$11,$AC$2+1,1)-INDEX($U$4:$U$11,$AC$2,1),ROW()-4&gt;$AD$2),NA(),COUNTIF(INDEX($CB$5:$CH$201,INDEX($U$4:$U$11,1,1),$AC$2):INDEX($CB$5:$CH$201,INDEX($U$4:$U$11,1,1)+ROW()-5,$AC$2),DY$3))</f>
        <v>#N/A</v>
      </c>
      <c r="DZ35" t="e">
        <f>IF(OR(ROW()-4&gt;INDEX($U$4:$U$11,$AC$2+1,1)-INDEX($U$4:$U$11,$AC$2,1),ROW()-4&gt;$AD$2),NA(),COUNTIF(INDEX($CB$5:$CH$201,INDEX($U$4:$U$11,1,1),$AC$2):INDEX($CB$5:$CH$201,INDEX($U$4:$U$11,1,1)+ROW()-5,$AC$2),DZ$3))</f>
        <v>#N/A</v>
      </c>
      <c r="EA35" t="e">
        <f>IF(OR(ROW()-4&gt;INDEX($U$4:$U$11,$AC$2+1,1)-INDEX($U$4:$U$11,$AC$2,1),ROW()-4&gt;$AD$2),NA(),COUNTIF(INDEX($CB$5:$CH$201,INDEX($U$4:$U$11,1,1),$AC$2):INDEX($CB$5:$CH$201,INDEX($U$4:$U$11,1,1)+ROW()-5,$AC$2),EA$3))</f>
        <v>#N/A</v>
      </c>
      <c r="EB35" t="e">
        <f>IF(OR(ROW()-4&gt;INDEX($U$4:$U$11,$AC$2+1,1)-INDEX($U$4:$U$11,$AC$2,1),ROW()-4&gt;$AD$2),NA(),COUNTIF(INDEX($CB$5:$CH$201,INDEX($U$4:$U$11,1,1),$AC$2):INDEX($CB$5:$CH$201,INDEX($U$4:$U$11,1,1)+ROW()-5,$AC$2),EB$3))</f>
        <v>#N/A</v>
      </c>
      <c r="EC35" t="e">
        <f>IF(OR(ROW()-4&gt;INDEX($U$4:$U$11,$AC$2+1,1)-INDEX($U$4:$U$11,$AC$2,1),ROW()-4&gt;$AD$2),NA(),COUNTIF(INDEX($CB$5:$CH$201,INDEX($U$4:$U$11,1,1),$AC$2):INDEX($CB$5:$CH$201,INDEX($U$4:$U$11,1,1)+ROW()-5,$AC$2),EC$3))</f>
        <v>#N/A</v>
      </c>
      <c r="EE35" t="e">
        <f>IF(OR(ROW()-4&gt;INDEX($U$4:$U$11,$AC$2+1,1)-INDEX($U$4:$U$11,$AC$2,1),ROW()-4&gt;$AD$2),NA(),COUNTIF(INDEX($CB$5:$CH$201,INDEX($U$4:$U$11,1,1),$AC$2):INDEX($CB$5:$CH$201,INDEX($U$4:$U$11,1,1)+ROW()-5,$AC$2),EE$3))</f>
        <v>#N/A</v>
      </c>
      <c r="EF35" t="e">
        <f>IF(OR(ROW()-4&gt;INDEX($U$4:$U$11,$AC$2+1,1)-INDEX($U$4:$U$11,$AC$2,1),ROW()-4&gt;$AD$2),NA(),COUNTIF(INDEX($CB$5:$CH$201,INDEX($U$4:$U$11,1,1),$AC$2):INDEX($CB$5:$CH$201,INDEX($U$4:$U$11,1,1)+ROW()-5,$AC$2),EF$3))</f>
        <v>#N/A</v>
      </c>
      <c r="EG35" t="e">
        <f>IF(OR(ROW()-4&gt;INDEX($U$4:$U$11,$AC$2+1,1)-INDEX($U$4:$U$11,$AC$2,1),ROW()-4&gt;$AD$2),NA(),COUNTIF(INDEX($CB$5:$CH$201,INDEX($U$4:$U$11,1,1),$AC$2):INDEX($CB$5:$CH$201,INDEX($U$4:$U$11,1,1)+ROW()-5,$AC$2),EG$3))</f>
        <v>#N/A</v>
      </c>
      <c r="EH35" t="e">
        <f>IF(OR(ROW()-4&gt;INDEX($U$4:$U$11,$AC$2+1,1)-INDEX($U$4:$U$11,$AC$2,1),ROW()-4&gt;$AD$2),NA(),COUNTIF(INDEX($CB$5:$CH$201,INDEX($U$4:$U$11,1,1),$AC$2):INDEX($CB$5:$CH$201,INDEX($U$4:$U$11,1,1)+ROW()-5,$AC$2),EH$3))</f>
        <v>#N/A</v>
      </c>
      <c r="EI35" t="e">
        <f>IF(OR(ROW()-4&gt;INDEX($U$4:$U$11,$AC$2+1,1)-INDEX($U$4:$U$11,$AC$2,1),ROW()-4&gt;$AD$2),NA(),COUNTIF(INDEX($CB$5:$CH$201,INDEX($U$4:$U$11,1,1),$AC$2):INDEX($CB$5:$CH$201,INDEX($U$4:$U$11,1,1)+ROW()-5,$AC$2),EI$3))</f>
        <v>#N/A</v>
      </c>
      <c r="EJ35" t="e">
        <f>IF(OR(ROW()-4&gt;INDEX($U$4:$U$11,$AC$2+1,1)-INDEX($U$4:$U$11,$AC$2,1),ROW()-4&gt;$AD$2),NA(),COUNTIF(INDEX($CB$5:$CH$201,INDEX($U$4:$U$11,1,1),$AC$2):INDEX($CB$5:$CH$201,INDEX($U$4:$U$11,1,1)+ROW()-5,$AC$2),EJ$3))</f>
        <v>#N/A</v>
      </c>
      <c r="EK35" t="e">
        <f>IF(OR(ROW()-4&gt;INDEX($U$4:$U$11,$AC$2+1,1)-INDEX($U$4:$U$11,$AC$2,1),ROW()-4&gt;$AD$2),NA(),COUNTIF(INDEX($CB$5:$CH$201,INDEX($U$4:$U$11,1,1),$AC$2):INDEX($CB$5:$CH$201,INDEX($U$4:$U$11,1,1)+ROW()-5,$AC$2),EK$3))</f>
        <v>#N/A</v>
      </c>
      <c r="EL35" t="e">
        <f>IF(OR(ROW()-4&gt;INDEX($U$4:$U$11,$AC$2+1,1)-INDEX($U$4:$U$11,$AC$2,1),ROW()-4&gt;$AD$2),NA(),COUNTIF(INDEX($CB$5:$CH$201,INDEX($U$4:$U$11,1,1),$AC$2):INDEX($CB$5:$CH$201,INDEX($U$4:$U$11,1,1)+ROW()-5,$AC$2),EL$3))</f>
        <v>#N/A</v>
      </c>
      <c r="EN35" t="e">
        <f>IF(OR(ROW()-4&gt;INDEX($U$4:$U$11,$AC$2+1,1)-INDEX($U$4:$U$11,$AC$2,1),ROW()-4&gt;$AD$2),NA(),COUNTIF(INDEX($CJ$5:$CP$201,INDEX($U$4:$U$11,1,1),$AC$2):INDEX($CJ$5:$CP$201,INDEX($U$4:$U$11,1,1)+ROW()-5,$AC$2),EN$3))</f>
        <v>#N/A</v>
      </c>
      <c r="EO35" t="e">
        <f>IF(OR(ROW()-4&gt;INDEX($U$4:$U$11,$AC$2+1,1)-INDEX($U$4:$U$11,$AC$2,1),ROW()-4&gt;$AD$2),NA(),COUNTIF(INDEX($CJ$5:$CP$201,INDEX($U$4:$U$11,1,1),$AC$2):INDEX($CJ$5:$CP$201,INDEX($U$4:$U$11,1,1)+ROW()-5,$AC$2),EO$3))</f>
        <v>#N/A</v>
      </c>
      <c r="EQ35" t="e">
        <f>IF(OR(ROW()-4&gt;INDEX($U$4:$U$11,$AC$2+1,1)-INDEX($U$4:$U$11,$AC$2,1),ROW()-4&gt;$AD$2),NA(),COUNTIF(INDEX($CJ$5:$CP$201,INDEX($U$4:$U$11,1,1),$AC$2):INDEX($CJ$5:$CP$201,INDEX($U$4:$U$11,1,1)+ROW()-5,$AC$2),EQ$3))</f>
        <v>#N/A</v>
      </c>
      <c r="ER35" t="e">
        <f>IF(OR(ROW()-4&gt;INDEX($U$4:$U$11,$AC$2+1,1)-INDEX($U$4:$U$11,$AC$2,1),ROW()-4&gt;$AD$2),NA(),COUNTIF(INDEX($CJ$5:$CP$201,INDEX($U$4:$U$11,1,1),$AC$2):INDEX($CJ$5:$CP$201,INDEX($U$4:$U$11,1,1)+ROW()-5,$AC$2),ER$3))</f>
        <v>#N/A</v>
      </c>
      <c r="ET35" t="e">
        <f>IF(OR(ROW()-4&gt;INDEX($U$4:$U$11,$AC$2+1,1)-INDEX($U$4:$U$11,$AC$2,1),ROW()-4&gt;$AD$2),NA(),COUNTIF(INDEX($CR$5:$CX$201,INDEX($U$4:$U$11,1,1),$AC$2):INDEX($CR$5:$CX$201,INDEX($U$4:$U$11,1,1)+ROW()-5,$AC$2),ET$3))</f>
        <v>#N/A</v>
      </c>
      <c r="EU35" t="e">
        <f>IF(OR(ROW()-4&gt;INDEX($U$4:$U$11,$AC$2+1,1)-INDEX($U$4:$U$11,$AC$2,1),ROW()-4&gt;$AD$2),NA(),COUNTIF(INDEX($CR$5:$CX$201,INDEX($U$4:$U$11,1,1),$AC$2):INDEX($CR$5:$CX$201,INDEX($U$4:$U$11,1,1)+ROW()-5,$AC$2),EU$3))</f>
        <v>#N/A</v>
      </c>
      <c r="EV35" t="e">
        <f>IF(OR(ROW()-4&gt;INDEX($U$4:$U$11,$AC$2+1,1)-INDEX($U$4:$U$11,$AC$2,1),ROW()-4&gt;$AD$2),NA(),COUNTIF(INDEX($CR$5:$CX$201,INDEX($U$4:$U$11,1,1),$AC$2):INDEX($CR$5:$CX$201,INDEX($U$4:$U$11,1,1)+ROW()-5,$AC$2),EV$3))</f>
        <v>#N/A</v>
      </c>
      <c r="EW35" t="e">
        <f>IF(OR(ROW()-4&gt;INDEX($U$4:$U$11,$AC$2+1,1)-INDEX($U$4:$U$11,$AC$2,1),ROW()-4&gt;$AD$2),NA(),COUNTIF(INDEX($CR$5:$CX$201,INDEX($U$4:$U$11,1,1),$AC$2):INDEX($CR$5:$CX$201,INDEX($U$4:$U$11,1,1)+ROW()-5,$AC$2),EW$3))</f>
        <v>#N/A</v>
      </c>
      <c r="EX35" t="e">
        <f>IF(OR(ROW()-4&gt;INDEX($U$4:$U$11,$AC$2+1,1)-INDEX($U$4:$U$11,$AC$2,1),ROW()-4&gt;$AD$2),NA(),COUNTIF(INDEX($CR$5:$CX$201,INDEX($U$4:$U$11,1,1),$AC$2):INDEX($CR$5:$CX$201,INDEX($U$4:$U$11,1,1)+ROW()-5,$AC$2),EX$3))</f>
        <v>#N/A</v>
      </c>
      <c r="EY35" t="e">
        <f>IF(OR(ROW()-4&gt;INDEX($U$4:$U$11,$AC$2+1,1)-INDEX($U$4:$U$11,$AC$2,1),ROW()-4&gt;$AD$2),NA(),COUNTIF(INDEX($CR$5:$CX$201,INDEX($U$4:$U$11,1,1),$AC$2):INDEX($CR$5:$CX$201,INDEX($U$4:$U$11,1,1)+ROW()-5,$AC$2),EY$3))</f>
        <v>#N/A</v>
      </c>
      <c r="EZ35" t="e">
        <f>IF(OR(ROW()-4&gt;INDEX($U$4:$U$11,$AC$2+1,1)-INDEX($U$4:$U$11,$AC$2,1),ROW()-4&gt;$AD$2),NA(),COUNTIF(INDEX($CR$5:$CX$201,INDEX($U$4:$U$11,1,1),$AC$2):INDEX($CR$5:$CX$201,INDEX($U$4:$U$11,1,1)+ROW()-5,$AC$2),EZ$3))</f>
        <v>#N/A</v>
      </c>
      <c r="FA35" t="e">
        <f>IF(OR(ROW()-4&gt;INDEX($U$4:$U$11,$AC$2+1,1)-INDEX($U$4:$U$11,$AC$2,1),ROW()-4&gt;$AD$2),NA(),COUNTIF(INDEX($CR$5:$CX$201,INDEX($U$4:$U$11,1,1),$AC$2):INDEX($CR$5:$CX$201,INDEX($U$4:$U$11,1,1)+ROW()-5,$AC$2),FA$3))</f>
        <v>#N/A</v>
      </c>
      <c r="FC35" t="e">
        <f>IF(OR(ROW()-4&gt;INDEX($U$4:$U$11,$AC$2+1,1)-INDEX($U$4:$U$11,$AC$2,1),ROW()-4&gt;$AD$2),NA(),COUNTIF(INDEX($CR$5:$CX$201,INDEX($U$4:$U$11,1,1),$AC$2):INDEX($CR$5:$CX$201,INDEX($U$4:$U$11,1,1)+ROW()-5,$AC$2),FC$3))</f>
        <v>#N/A</v>
      </c>
      <c r="FD35" t="e">
        <f>IF(OR(ROW()-4&gt;INDEX($U$4:$U$11,$AC$2+1,1)-INDEX($U$4:$U$11,$AC$2,1),ROW()-4&gt;$AD$2),NA(),COUNTIF(INDEX($CR$5:$CX$201,INDEX($U$4:$U$11,1,1),$AC$2):INDEX($CR$5:$CX$201,INDEX($U$4:$U$11,1,1)+ROW()-5,$AC$2),FD$3))</f>
        <v>#N/A</v>
      </c>
      <c r="FE35" t="e">
        <f>IF(OR(ROW()-4&gt;INDEX($U$4:$U$11,$AC$2+1,1)-INDEX($U$4:$U$11,$AC$2,1),ROW()-4&gt;$AD$2),NA(),COUNTIF(INDEX($CR$5:$CX$201,INDEX($U$4:$U$11,1,1),$AC$2):INDEX($CR$5:$CX$201,INDEX($U$4:$U$11,1,1)+ROW()-5,$AC$2),FE$3))</f>
        <v>#N/A</v>
      </c>
      <c r="FF35" t="e">
        <f>IF(OR(ROW()-4&gt;INDEX($U$4:$U$11,$AC$2+1,1)-INDEX($U$4:$U$11,$AC$2,1),ROW()-4&gt;$AD$2),NA(),COUNTIF(INDEX($CR$5:$CX$201,INDEX($U$4:$U$11,1,1),$AC$2):INDEX($CR$5:$CX$201,INDEX($U$4:$U$11,1,1)+ROW()-5,$AC$2),FF$3))</f>
        <v>#N/A</v>
      </c>
      <c r="FG35" t="e">
        <f>IF(OR(ROW()-4&gt;INDEX($U$4:$U$11,$AC$2+1,1)-INDEX($U$4:$U$11,$AC$2,1),ROW()-4&gt;$AD$2),NA(),COUNTIF(INDEX($CR$5:$CX$201,INDEX($U$4:$U$11,1,1),$AC$2):INDEX($CR$5:$CX$201,INDEX($U$4:$U$11,1,1)+ROW()-5,$AC$2),FG$3))</f>
        <v>#N/A</v>
      </c>
      <c r="FH35" t="e">
        <f>IF(OR(ROW()-4&gt;INDEX($U$4:$U$11,$AC$2+1,1)-INDEX($U$4:$U$11,$AC$2,1),ROW()-4&gt;$AD$2),NA(),COUNTIF(INDEX($CR$5:$CX$201,INDEX($U$4:$U$11,1,1),$AC$2):INDEX($CR$5:$CX$201,INDEX($U$4:$U$11,1,1)+ROW()-5,$AC$2),FH$3))</f>
        <v>#N/A</v>
      </c>
      <c r="FI35" t="e">
        <f>IF(OR(ROW()-4&gt;INDEX($U$4:$U$11,$AC$2+1,1)-INDEX($U$4:$U$11,$AC$2,1),ROW()-4&gt;$AD$2),NA(),COUNTIF(INDEX($CR$5:$CX$201,INDEX($U$4:$U$11,1,1),$AC$2):INDEX($CR$5:$CX$201,INDEX($U$4:$U$11,1,1)+ROW()-5,$AC$2),FI$3))</f>
        <v>#N/A</v>
      </c>
      <c r="FJ35" t="e">
        <f>IF(OR(ROW()-4&gt;INDEX($U$4:$U$11,$AC$2+1,1)-INDEX($U$4:$U$11,$AC$2,1),ROW()-4&gt;$AD$2),NA(),COUNTIF(INDEX($CR$5:$CX$201,INDEX($U$4:$U$11,1,1),$AC$2):INDEX($CR$5:$CX$201,INDEX($U$4:$U$11,1,1)+ROW()-5,$AC$2),FJ$3))</f>
        <v>#N/A</v>
      </c>
      <c r="FL35" t="e">
        <f>IF(OR(ROW()-4&gt;INDEX($U$4:$U$11,$AC$2+1,1)-INDEX($U$4:$U$11,$AC$2,1),ROW()-4&gt;$AD$2),NA(),COUNTIF(INDEX($CZ$5:$DF$201,INDEX($U$4:$U$11,1,1),$AC$2):INDEX($CZ$5:$DF$201,INDEX($U$4:$U$11,1,1)+ROW()-5,$AC$2),FL$3))</f>
        <v>#N/A</v>
      </c>
      <c r="FM35" t="e">
        <f>IF(OR(ROW()-4&gt;INDEX($U$4:$U$11,$AC$2+1,1)-INDEX($U$4:$U$11,$AC$2,1),ROW()-4&gt;$AD$2),NA(),COUNTIF(INDEX($CZ$5:$DF$201,INDEX($U$4:$U$11,1,1),$AC$2):INDEX($CZ$5:$DF$201,INDEX($U$4:$U$11,1,1)+ROW()-5,$AC$2),FM$3))</f>
        <v>#N/A</v>
      </c>
      <c r="FN35" t="e">
        <f>IF(OR(ROW()-4&gt;INDEX($U$4:$U$11,$AC$2+1,1)-INDEX($U$4:$U$11,$AC$2,1),ROW()-4&gt;$AD$2),NA(),COUNTIF(INDEX($CZ$5:$DF$201,INDEX($U$4:$U$11,1,1),$AC$2):INDEX($CZ$5:$DF$201,INDEX($U$4:$U$11,1,1)+ROW()-5,$AC$2),FN$3))</f>
        <v>#N/A</v>
      </c>
      <c r="FO35" t="e">
        <f>IF(OR(ROW()-4&gt;INDEX($U$4:$U$11,$AC$2+1,1)-INDEX($U$4:$U$11,$AC$2,1),ROW()-4&gt;$AD$2),NA(),COUNTIF(INDEX($CZ$5:$DF$201,INDEX($U$4:$U$11,1,1),$AC$2):INDEX($CZ$5:$DF$201,INDEX($U$4:$U$11,1,1)+ROW()-5,$AC$2),FO$3))</f>
        <v>#N/A</v>
      </c>
      <c r="FP35" t="e">
        <f>IF(OR(ROW()-4&gt;INDEX($U$4:$U$11,$AC$2+1,1)-INDEX($U$4:$U$11,$AC$2,1),ROW()-4&gt;$AD$2),NA(),COUNTIF(INDEX($CZ$5:$DF$201,INDEX($U$4:$U$11,1,1),$AC$2):INDEX($CZ$5:$DF$201,INDEX($U$4:$U$11,1,1)+ROW()-5,$AC$2),FP$3))</f>
        <v>#N/A</v>
      </c>
      <c r="FQ35" t="e">
        <f>IF(OR(ROW()-4&gt;INDEX($U$4:$U$11,$AC$2+1,1)-INDEX($U$4:$U$11,$AC$2,1),ROW()-4&gt;$AD$2),NA(),COUNTIF(INDEX($CZ$5:$DF$201,INDEX($U$4:$U$11,1,1),$AC$2):INDEX($CZ$5:$DF$201,INDEX($U$4:$U$11,1,1)+ROW()-5,$AC$2),FQ$3))</f>
        <v>#N/A</v>
      </c>
      <c r="FR35" t="e">
        <f>IF(OR(ROW()-4&gt;INDEX($U$4:$U$11,$AC$2+1,1)-INDEX($U$4:$U$11,$AC$2,1),ROW()-4&gt;$AD$2),NA(),COUNTIF(INDEX($CZ$5:$DF$201,INDEX($U$4:$U$11,1,1),$AC$2):INDEX($CZ$5:$DF$201,INDEX($U$4:$U$11,1,1)+ROW()-5,$AC$2),FR$3))</f>
        <v>#N/A</v>
      </c>
      <c r="FS35" t="e">
        <f>IF(OR(ROW()-4&gt;INDEX($U$4:$U$11,$AC$2+1,1)-INDEX($U$4:$U$11,$AC$2,1),ROW()-4&gt;$AD$2),NA(),COUNTIF(INDEX($CZ$5:$DF$201,INDEX($U$4:$U$11,1,1),$AC$2):INDEX($CZ$5:$DF$201,INDEX($U$4:$U$11,1,1)+ROW()-5,$AC$2),FS$3))</f>
        <v>#N/A</v>
      </c>
      <c r="FT35" t="e">
        <f>IF(OR(ROW()-4&gt;INDEX($U$4:$U$11,$AC$2+1,1)-INDEX($U$4:$U$11,$AC$2,1),ROW()-4&gt;$AD$2),NA(),COUNTIF(INDEX($CZ$5:$DF$201,INDEX($U$4:$U$11,1,1),$AC$2):INDEX($CZ$5:$DF$201,INDEX($U$4:$U$11,1,1)+ROW()-5,$AC$2),FT$3))</f>
        <v>#N/A</v>
      </c>
      <c r="FU35" t="e">
        <f>IF(OR(ROW()-4&gt;INDEX($U$4:$U$11,$AC$2+1,1)-INDEX($U$4:$U$11,$AC$2,1),ROW()-4&gt;$AD$2),NA(),COUNTIF(INDEX($CZ$5:$DF$201,INDEX($U$4:$U$11,1,1),$AC$2):INDEX($CZ$5:$DF$201,INDEX($U$4:$U$11,1,1)+ROW()-5,$AC$2),FU$3))</f>
        <v>#N/A</v>
      </c>
      <c r="FW35" t="e">
        <f>IF(OR(ROW()-4&gt;INDEX($U$4:$U$11,$AC$2+1,1)-INDEX($U$4:$U$11,$AC$2,1),ROW()-4&gt;$AD$2),NA(),COUNTIF(INDEX($CZ$5:$DF$201,INDEX($U$4:$U$11,1,1),$AC$2):INDEX($CZ$5:$DF$201,INDEX($U$4:$U$11,1,1)+ROW()-5,$AC$2),FW$3))</f>
        <v>#N/A</v>
      </c>
      <c r="FX35" t="e">
        <f>IF(OR(ROW()-4&gt;INDEX($U$4:$U$11,$AC$2+1,1)-INDEX($U$4:$U$11,$AC$2,1),ROW()-4&gt;$AD$2),NA(),COUNTIF(INDEX($CZ$5:$DF$201,INDEX($U$4:$U$11,1,1),$AC$2):INDEX($CZ$5:$DF$201,INDEX($U$4:$U$11,1,1)+ROW()-5,$AC$2),FX$3))</f>
        <v>#N/A</v>
      </c>
      <c r="FY35" t="e">
        <f>IF(OR(ROW()-4&gt;INDEX($U$4:$U$11,$AC$2+1,1)-INDEX($U$4:$U$11,$AC$2,1),ROW()-4&gt;$AD$2),NA(),COUNTIF(INDEX($CZ$5:$DF$201,INDEX($U$4:$U$11,1,1),$AC$2):INDEX($CZ$5:$DF$201,INDEX($U$4:$U$11,1,1)+ROW()-5,$AC$2),FY$3))</f>
        <v>#N/A</v>
      </c>
      <c r="FZ35" t="e">
        <f>IF(OR(ROW()-4&gt;INDEX($U$4:$U$11,$AC$2+1,1)-INDEX($U$4:$U$11,$AC$2,1),ROW()-4&gt;$AD$2),NA(),COUNTIF(INDEX($CZ$5:$DF$201,INDEX($U$4:$U$11,1,1),$AC$2):INDEX($CZ$5:$DF$201,INDEX($U$4:$U$11,1,1)+ROW()-5,$AC$2),FZ$3))</f>
        <v>#N/A</v>
      </c>
      <c r="GA35" t="e">
        <f>IF(OR(ROW()-4&gt;INDEX($U$4:$U$11,$AC$2+1,1)-INDEX($U$4:$U$11,$AC$2,1),ROW()-4&gt;$AD$2),NA(),COUNTIF(INDEX($CZ$5:$DF$201,INDEX($U$4:$U$11,1,1),$AC$2):INDEX($CZ$5:$DF$201,INDEX($U$4:$U$11,1,1)+ROW()-5,$AC$2),GA$3))</f>
        <v>#N/A</v>
      </c>
      <c r="GB35" t="e">
        <f>IF(OR(ROW()-4&gt;INDEX($U$4:$U$11,$AC$2+1,1)-INDEX($U$4:$U$11,$AC$2,1),ROW()-4&gt;$AD$2),NA(),COUNTIF(INDEX($CZ$5:$DF$201,INDEX($U$4:$U$11,1,1),$AC$2):INDEX($CZ$5:$DF$201,INDEX($U$4:$U$11,1,1)+ROW()-5,$AC$2),GB$3))</f>
        <v>#N/A</v>
      </c>
      <c r="GC35" t="e">
        <f>IF(OR(ROW()-4&gt;INDEX($U$4:$U$11,$AC$2+1,1)-INDEX($U$4:$U$11,$AC$2,1),ROW()-4&gt;$AD$2),NA(),COUNTIF(INDEX($CZ$5:$DF$201,INDEX($U$4:$U$11,1,1),$AC$2):INDEX($CZ$5:$DF$201,INDEX($U$4:$U$11,1,1)+ROW()-5,$AC$2),GC$3))</f>
        <v>#N/A</v>
      </c>
      <c r="GD35" t="e">
        <f>IF(OR(ROW()-4&gt;INDEX($U$4:$U$11,$AC$2+1,1)-INDEX($U$4:$U$11,$AC$2,1),ROW()-4&gt;$AD$2),NA(),COUNTIF(INDEX($CZ$5:$DF$201,INDEX($U$4:$U$11,1,1),$AC$2):INDEX($CZ$5:$DF$201,INDEX($U$4:$U$11,1,1)+ROW()-5,$AC$2),GD$3))</f>
        <v>#N/A</v>
      </c>
      <c r="GE35" t="e">
        <f>IF(OR(ROW()-4&gt;INDEX($U$4:$U$11,$AC$2+1,1)-INDEX($U$4:$U$11,$AC$2,1),ROW()-4&gt;$AD$2),NA(),COUNTIF(INDEX($CZ$5:$DF$201,INDEX($U$4:$U$11,1,1),$AC$2):INDEX($CZ$5:$DF$201,INDEX($U$4:$U$11,1,1)+ROW()-5,$AC$2),GE$3))</f>
        <v>#N/A</v>
      </c>
      <c r="GF35" t="e">
        <f>IF(OR(ROW()-4&gt;INDEX($U$4:$U$11,$AC$2+1,1)-INDEX($U$4:$U$11,$AC$2,1),ROW()-4&gt;$AD$2),NA(),COUNTIF(INDEX($CZ$5:$DF$201,INDEX($U$4:$U$11,1,1),$AC$2):INDEX($CZ$5:$DF$201,INDEX($U$4:$U$11,1,1)+ROW()-5,$AC$2),GF$3))</f>
        <v>#N/A</v>
      </c>
      <c r="GO35" s="16"/>
      <c r="GP35" s="17"/>
      <c r="GQ35" s="17"/>
      <c r="GR35" s="17"/>
      <c r="GS35" s="17"/>
      <c r="GT35" s="17"/>
      <c r="GU35" s="17"/>
      <c r="GV35" s="17"/>
      <c r="GW35" s="17"/>
      <c r="GX35" s="17"/>
      <c r="GY35" s="17"/>
      <c r="GZ35" s="17"/>
      <c r="HA35" s="17"/>
      <c r="HB35" s="17"/>
      <c r="HC35" s="17"/>
      <c r="HD35" s="17"/>
      <c r="HE35" s="17" t="s">
        <v>54</v>
      </c>
      <c r="HF35" s="46">
        <f>ET43</f>
        <v>8</v>
      </c>
      <c r="HG35" s="43"/>
      <c r="HH35" s="59">
        <f>ET93</f>
        <v>4</v>
      </c>
      <c r="HI35" s="59">
        <f t="shared" ref="HI35:HI42" si="132">HF35-HH35</f>
        <v>4</v>
      </c>
      <c r="HJ35" s="17"/>
      <c r="HK35" s="17"/>
      <c r="HL35" s="17"/>
      <c r="HM35" s="18"/>
    </row>
    <row r="36" spans="1:221" x14ac:dyDescent="0.45">
      <c r="A36" t="str">
        <f>データの貼付!A34</f>
        <v>FENG Tianwei</v>
      </c>
      <c r="B36">
        <f>データの貼付!B34</f>
        <v>8.9850462962962965E-3</v>
      </c>
      <c r="C36">
        <f>データの貼付!C34</f>
        <v>9.0358796296296321E-5</v>
      </c>
      <c r="D36">
        <f>データの貼付!D34</f>
        <v>1.3888888888888889E-3</v>
      </c>
      <c r="E36" t="str">
        <f>データの貼付!F34</f>
        <v>KIHARA Miyuu</v>
      </c>
      <c r="F36">
        <f>データの貼付!E34</f>
        <v>0</v>
      </c>
      <c r="G36" t="str">
        <f>データの貼付!G34</f>
        <v>#08</v>
      </c>
      <c r="H36" t="str">
        <f>データの貼付!H34</f>
        <v>FENG Tianwei</v>
      </c>
      <c r="I36" t="str">
        <f>データの貼付!I34</f>
        <v>Side</v>
      </c>
      <c r="J36" t="str">
        <f>データの貼付!J34</f>
        <v>B</v>
      </c>
      <c r="K36" t="str">
        <f>データの貼付!K34</f>
        <v>BM</v>
      </c>
      <c r="L36" t="str">
        <f>データの貼付!L34</f>
        <v>B</v>
      </c>
      <c r="M36" t="str">
        <f>データの貼付!M34</f>
        <v>ドライブ</v>
      </c>
      <c r="N36" t="str">
        <f>データの貼付!N34</f>
        <v>BM</v>
      </c>
      <c r="R36">
        <f t="shared" si="59"/>
        <v>1</v>
      </c>
      <c r="S36">
        <f>SUM(R$4:R36)</f>
        <v>3</v>
      </c>
      <c r="T36" t="str">
        <f t="shared" si="60"/>
        <v/>
      </c>
      <c r="W36" t="str">
        <f t="shared" si="57"/>
        <v>KIHARA Miyuu_FENG Tianwei</v>
      </c>
      <c r="X36" t="str">
        <f t="shared" si="58"/>
        <v>KIHARA Miyuu_#08</v>
      </c>
      <c r="AC36" s="8" t="e">
        <f>IF(OR(ROW()-4&gt;INDEX($U$4:$U$11,AC$2+1)-INDEX($U$4:$U$11,AC$2),ROW()-4&gt;AD$2),NA(),COUNTIF(INDEX($W$4:$W$200,INDEX($U$4:$U$11,AC$2)):INDEX($W$4:$W$200,INDEX($U$4:$U$11,AC$2)+ROW()-5),AC$3&amp;"_"&amp;AC$3)/(COUNTIF(INDEX($W$4:$W$200,INDEX($U$4:$U$11,AC$2)):INDEX($W$4:$W$200,INDEX($U$4:$U$11,AC$2)+ROW()-5),AC$3&amp;"_"&amp;AC$3)+COUNTIF(INDEX($W$4:$W$200,INDEX($U$4:$U$11,AC$2)):INDEX($W$4:$W$200,INDEX($U$4:$U$11,AC$2)+ROW()-5),AD$3&amp;"_"&amp;AC$3)))</f>
        <v>#N/A</v>
      </c>
      <c r="AD36" s="8" t="e">
        <f>IF(OR(ROW()-4&gt;INDEX($U$4:$U$11,AC$2+1)-INDEX($U$4:$U$11,AC$2),ROW()-4&gt;AD$2),NA(),COUNTIF(INDEX($W$4:$W$200,INDEX($U$4:$U$11,AC$2)):INDEX($W$4:$W$200,INDEX($U$4:$U$11,AC$2)+ROW()-5),AD$3&amp;"_"&amp;AD$3)/(COUNTIF(INDEX($W$4:$W$200,INDEX($U$4:$U$11,AC$2)):INDEX($W$4:$W$200,INDEX($U$4:$U$11,AC$2)+ROW()-5),AD$3&amp;"_"&amp;AD$3)+COUNTIF(INDEX($W$4:$W$200,INDEX($U$4:$U$11,AC$2)):INDEX($W$4:$W$200,INDEX($U$4:$U$11,AC$2)+ROW()-5),AC$3&amp;"_"&amp;AD$3)))</f>
        <v>#N/A</v>
      </c>
      <c r="AE36" s="10" t="e">
        <f>IF(OR(ROW()-4&gt;INDEX($U$4:$U$11,AC$2+1)-INDEX($U$4:$U$11,AC$2),ROW()-4&gt;AD$2),NA(),COUNTIF(INDEX($W$4:$W$200,INDEX($U$4:$U$11,AC$2)):INDEX($W$4:$W$200,INDEX($U$4:$U$11,AC$2)+ROW()-5),AC$3&amp;"_"&amp;AD$3)/(COUNTIF(INDEX($W$4:$W$200,INDEX($U$4:$U$11,AC$2)):INDEX($W$4:$W$200,INDEX($U$4:$U$11,AC$2)+ROW()-5),AC$3&amp;"_"&amp;AD$3)+COUNTIF(INDEX($W$4:$W$200,INDEX($U$4:$U$11,AC$2)):INDEX($W$4:$W$200,INDEX($U$4:$U$11,AC$2)+ROW()-5),AD$3&amp;"_"&amp;AD$3)))</f>
        <v>#N/A</v>
      </c>
      <c r="AF36" s="10" t="e">
        <f>IF(OR(ROW()-4&gt;INDEX($U$4:$U$11,AC$2+1)-INDEX($U$4:$U$11,AC$2),ROW()-4&gt;AD$2),NA(),COUNTIF(INDEX($W$4:$W$200,INDEX($U$4:$U$11,AC$2)):INDEX($W$4:$W$200,INDEX($U$4:$U$11,AC$2)+ROW()-5),AD$3&amp;"_"&amp;AC$3)/(COUNTIF(INDEX($W$4:$W$200,INDEX($U$4:$U$11,AC$2)):INDEX($W$4:$W$200,INDEX($U$4:$U$11,AC$2)+ROW()-5),AD$3&amp;"_"&amp;AC$3)+COUNTIF(INDEX($W$4:$W$200,INDEX($U$4:$U$11,AC$2)):INDEX($W$4:$W$200,INDEX($U$4:$U$11,AC$2)+ROW()-5),AC$3&amp;"_"&amp;AC$3)))</f>
        <v>#N/A</v>
      </c>
      <c r="AG36" s="10" t="e">
        <f>IF(OR(ROW()-4&gt;INDEX($U$4:$U$11,AC$2+1)-INDEX($U$4:$U$11,AC$2),ROW()-4&gt;AD$2),NA(),COUNTIF(INDEX($X$4:$X$200,INDEX($U$4:$U$11,AC$2)):INDEX($X$4:$X$200,INDEX($U$4:$U$11,AC$2)+ROW()-5),AC$3&amp;"_#03")/(COUNTIF(INDEX($W$4:$W$200,INDEX($U$4:$U$11,AC$2)):INDEX($W$4:$W$200,INDEX($U$4:$U$11,AC$2)+ROW()-5),AC$3&amp;"_"&amp;AC$3)+COUNTIF(INDEX($W$4:$W$200,INDEX($U$4:$U$11,AC$2)):INDEX($W$4:$W$200,INDEX($U$4:$U$11,AC$2)+ROW()-5),AD$3&amp;"_"&amp;AC$3)))</f>
        <v>#N/A</v>
      </c>
      <c r="AH36" s="10" t="e">
        <f>IF(OR(ROW()-4&gt;INDEX($U$4:$U$11,AC$2+1)-INDEX($U$4:$U$11,AC$2),ROW()-4&gt;AD$2),NA(),COUNTIF(INDEX($X$4:$X$200,INDEX($U$4:$U$11,AC$2)):INDEX($X$4:$X$200,INDEX($U$4:$U$11,AC$2)+ROW()-5),AD$3&amp;"_#03")/(COUNTIF(INDEX($W$4:$W$200,INDEX($U$4:$U$11,AC$2)):INDEX($W$4:$W$200,INDEX($U$4:$U$11,AC$2)+ROW()-5),AD$3&amp;"_"&amp;AD$3)+COUNTIF(INDEX($W$4:$W$200,INDEX($U$4:$U$11,AC$2)):INDEX($W$4:$W$200,INDEX($U$4:$U$11,AC$2)+ROW()-5),AC$3&amp;"_"&amp;AD$3)))</f>
        <v>#N/A</v>
      </c>
      <c r="AI36" s="10" t="e">
        <f>IF(OR(ROW()-4&gt;INDEX($U$4:$U$11,AC$2+1)-INDEX($U$4:$U$11,AC$2),ROW()-4&gt;AD$2),NA(),(COUNTIF(INDEX($X$4:$X$200,INDEX($U$4:$U$11,AC$2)):INDEX($X$4:$X$200,INDEX($U$4:$U$11,AC$2)+ROW()-5),AC$3&amp;"_#03")-COUNTIF(INDEX($X$4:$X$200,INDEX($U$4:$U$11,AC$2)):INDEX($X$4:$X$200,INDEX($U$4:$U$11,AC$2)+ROW()-5),AD$3&amp;"_#02"))/(COUNTIF(INDEX($W$4:$W$200,INDEX($U$4:$U$11,AC$2)):INDEX($W$4:$W$200,INDEX($U$4:$U$11,AC$2)+ROW()-5),AC$3&amp;"_"&amp;AC$3)+COUNTIF(INDEX($W$4:$W$200,INDEX($U$4:$U$11,AC$2)):INDEX($W$4:$W$200,INDEX($U$4:$U$11,AC$2)+ROW()-5),AD$3&amp;"_"&amp;AC$3)))</f>
        <v>#N/A</v>
      </c>
      <c r="AJ36" s="10" t="e">
        <f>IF(OR(ROW()-4&gt;INDEX($U$4:$U$11,AC$2+1)-INDEX($U$4:$U$11,AC$2),ROW()-4&gt;AD$2),NA(),(COUNTIF(INDEX($X$4:$X$200,INDEX($U$4:$U$11,AC$2)):INDEX($X$4:$X$200,INDEX($U$4:$U$11,AC$2)+ROW()-5),AD$3&amp;"_#03")-COUNTIF(INDEX($X$4:$X$200,INDEX($U$4:$U$11,AC$2)):INDEX($X$4:$X$200,INDEX($U$4:$U$11,AC$2)+ROW()-5),AC$3&amp;"_#02"))/(COUNTIF(INDEX($W$4:$W$200,INDEX($U$4:$U$11,AC$2)):INDEX($W$4:$W$200,INDEX($U$4:$U$11,AC$2)+ROW()-5),AD$3&amp;"_"&amp;AD$3)+COUNTIF(INDEX($W$4:$W$200,INDEX($U$4:$U$11,AC$2)):INDEX($W$4:$W$200,INDEX($U$4:$U$11,AC$2)+ROW()-5),AC$3&amp;"_"&amp;AD$3)))</f>
        <v>#N/A</v>
      </c>
      <c r="AK36" s="10" t="e">
        <f>IF(OR(ROW()-4&gt;INDEX($U$4:$U$11,AC$2+1)-INDEX($U$4:$U$11,AC$2),ROW()-4&gt;AD$2),NA(),(COUNTIF(INDEX($X$4:$X$200,INDEX($U$4:$U$11,AC$2)):INDEX($X$4:$X$200,INDEX($U$4:$U$11,AC$2)+ROW()-5),AC$3&amp;"_#01")+COUNTIF(INDEX($X$4:$X$200,INDEX($U$4:$U$11,AC$2)):INDEX($X$4:$X$200,INDEX($U$4:$U$11,AC$2)+ROW()-5),AC$3&amp;"_#03"))/(COUNTIF(INDEX($W$4:$W$200,INDEX($U$4:$U$11,AC$2)):INDEX($W$4:$W$200,INDEX($U$4:$U$11,AC$2)+ROW()-5),AC$3&amp;"_"&amp;AC$3)+COUNTIF(INDEX($W$4:$W$200,INDEX($U$4:$U$11,AC$2)):INDEX($W$4:$W$200,INDEX($U$4:$U$11,AC$2)+ROW()-5),AD$3&amp;"_"&amp;AC$3)))</f>
        <v>#N/A</v>
      </c>
      <c r="AL36" s="10" t="e">
        <f>IF(OR(ROW()-4&gt;INDEX($U$4:$U$11,AC$2+1)-INDEX($U$4:$U$11,AC$2),ROW()-4&gt;AD$2),NA(),(COUNTIF(INDEX($X$4:$X$200,INDEX($U$4:$U$11,AC$2)):INDEX($X$4:$X$200,INDEX($U$4:$U$11,AC$2)+ROW()-5),AD$3&amp;"_#01")+COUNTIF(INDEX($X$4:$X$200,INDEX($U$4:$U$11,AC$2)):INDEX($X$4:$X$200,INDEX($U$4:$U$11,AC$2)+ROW()-5),AD$3&amp;"_#03"))/(COUNTIF(INDEX($W$4:$W$200,INDEX($U$4:$U$11,AC$2)):INDEX($W$4:$W$200,INDEX($U$4:$U$11,AC$2)+ROW()-5),AD$3&amp;"_"&amp;AD$3)+COUNTIF(INDEX($W$4:$W$200,INDEX($U$4:$U$11,AC$2)):INDEX($W$4:$W$200,INDEX($U$4:$U$11,AC$2)+ROW()-5),AC$3&amp;"_"&amp;AD$3)))</f>
        <v>#N/A</v>
      </c>
      <c r="AN36" t="str">
        <f t="shared" si="125"/>
        <v/>
      </c>
      <c r="AO36" t="str">
        <f t="shared" si="111"/>
        <v/>
      </c>
      <c r="AP36" t="str">
        <f t="shared" si="112"/>
        <v/>
      </c>
      <c r="AQ36" t="str">
        <f t="shared" si="113"/>
        <v/>
      </c>
      <c r="AR36" t="str">
        <f t="shared" si="114"/>
        <v/>
      </c>
      <c r="AS36" t="e">
        <f t="shared" si="115"/>
        <v>#VALUE!</v>
      </c>
      <c r="AT36" t="e">
        <f t="shared" si="116"/>
        <v>#VALUE!</v>
      </c>
      <c r="AV36" t="e">
        <f t="shared" si="117"/>
        <v>#VALUE!</v>
      </c>
      <c r="AW36" t="e">
        <f t="shared" si="63"/>
        <v>#VALUE!</v>
      </c>
      <c r="AX36" t="e">
        <f t="shared" si="64"/>
        <v>#VALUE!</v>
      </c>
      <c r="AY36" t="e">
        <f t="shared" si="65"/>
        <v>#VALUE!</v>
      </c>
      <c r="AZ36" t="e">
        <f t="shared" si="66"/>
        <v>#VALUE!</v>
      </c>
      <c r="BA36" t="e">
        <f t="shared" si="67"/>
        <v>#VALUE!</v>
      </c>
      <c r="BB36" t="e">
        <f t="shared" si="68"/>
        <v>#VALUE!</v>
      </c>
      <c r="BD36" t="e">
        <f t="shared" si="118"/>
        <v>#VALUE!</v>
      </c>
      <c r="BE36" t="e">
        <f t="shared" si="69"/>
        <v>#VALUE!</v>
      </c>
      <c r="BF36" t="e">
        <f t="shared" si="70"/>
        <v>#VALUE!</v>
      </c>
      <c r="BG36" t="e">
        <f t="shared" si="71"/>
        <v>#VALUE!</v>
      </c>
      <c r="BH36" t="e">
        <f t="shared" si="72"/>
        <v>#VALUE!</v>
      </c>
      <c r="BI36" t="e">
        <f t="shared" si="73"/>
        <v>#VALUE!</v>
      </c>
      <c r="BJ36" t="e">
        <f t="shared" si="74"/>
        <v>#VALUE!</v>
      </c>
      <c r="BL36" t="e">
        <f t="shared" si="119"/>
        <v>#VALUE!</v>
      </c>
      <c r="BM36" t="e">
        <f t="shared" si="75"/>
        <v>#VALUE!</v>
      </c>
      <c r="BN36" t="e">
        <f t="shared" si="76"/>
        <v>#VALUE!</v>
      </c>
      <c r="BO36" t="e">
        <f t="shared" si="77"/>
        <v>#VALUE!</v>
      </c>
      <c r="BP36" t="e">
        <f t="shared" si="78"/>
        <v>#VALUE!</v>
      </c>
      <c r="BQ36" t="e">
        <f t="shared" si="79"/>
        <v>#VALUE!</v>
      </c>
      <c r="BR36" t="e">
        <f t="shared" si="80"/>
        <v>#VALUE!</v>
      </c>
      <c r="BT36" t="e">
        <f t="shared" si="120"/>
        <v>#VALUE!</v>
      </c>
      <c r="BU36" t="e">
        <f t="shared" si="81"/>
        <v>#VALUE!</v>
      </c>
      <c r="BV36" t="e">
        <f t="shared" si="82"/>
        <v>#VALUE!</v>
      </c>
      <c r="BW36" t="e">
        <f t="shared" si="83"/>
        <v>#VALUE!</v>
      </c>
      <c r="BX36" t="e">
        <f t="shared" si="84"/>
        <v>#VALUE!</v>
      </c>
      <c r="BY36" t="e">
        <f t="shared" si="85"/>
        <v>#VALUE!</v>
      </c>
      <c r="BZ36" t="e">
        <f t="shared" si="86"/>
        <v>#VALUE!</v>
      </c>
      <c r="CB36" t="e">
        <f t="shared" si="121"/>
        <v>#VALUE!</v>
      </c>
      <c r="CC36" t="e">
        <f t="shared" si="87"/>
        <v>#VALUE!</v>
      </c>
      <c r="CD36" t="e">
        <f t="shared" si="88"/>
        <v>#VALUE!</v>
      </c>
      <c r="CE36" t="e">
        <f t="shared" si="89"/>
        <v>#VALUE!</v>
      </c>
      <c r="CF36" t="e">
        <f t="shared" si="90"/>
        <v>#VALUE!</v>
      </c>
      <c r="CG36" t="e">
        <f t="shared" si="91"/>
        <v>#VALUE!</v>
      </c>
      <c r="CH36" t="e">
        <f t="shared" si="92"/>
        <v>#VALUE!</v>
      </c>
      <c r="CJ36" t="e">
        <f t="shared" si="122"/>
        <v>#VALUE!</v>
      </c>
      <c r="CK36" t="e">
        <f t="shared" si="93"/>
        <v>#VALUE!</v>
      </c>
      <c r="CL36" t="e">
        <f t="shared" si="94"/>
        <v>#VALUE!</v>
      </c>
      <c r="CM36" t="e">
        <f t="shared" si="95"/>
        <v>#VALUE!</v>
      </c>
      <c r="CN36" t="e">
        <f t="shared" si="96"/>
        <v>#VALUE!</v>
      </c>
      <c r="CO36" t="e">
        <f t="shared" si="97"/>
        <v>#VALUE!</v>
      </c>
      <c r="CP36" t="e">
        <f t="shared" si="98"/>
        <v>#VALUE!</v>
      </c>
      <c r="CR36" t="e">
        <f t="shared" si="123"/>
        <v>#VALUE!</v>
      </c>
      <c r="CS36" t="e">
        <f t="shared" si="99"/>
        <v>#VALUE!</v>
      </c>
      <c r="CT36" t="e">
        <f t="shared" si="100"/>
        <v>#VALUE!</v>
      </c>
      <c r="CU36" t="e">
        <f t="shared" si="101"/>
        <v>#VALUE!</v>
      </c>
      <c r="CV36" t="e">
        <f t="shared" si="102"/>
        <v>#VALUE!</v>
      </c>
      <c r="CW36" t="e">
        <f t="shared" si="103"/>
        <v>#VALUE!</v>
      </c>
      <c r="CX36" t="e">
        <f t="shared" si="104"/>
        <v>#VALUE!</v>
      </c>
      <c r="CZ36" t="e">
        <f t="shared" si="124"/>
        <v>#VALUE!</v>
      </c>
      <c r="DA36" t="e">
        <f t="shared" si="105"/>
        <v>#VALUE!</v>
      </c>
      <c r="DB36" t="e">
        <f t="shared" si="106"/>
        <v>#VALUE!</v>
      </c>
      <c r="DC36" t="e">
        <f t="shared" si="107"/>
        <v>#VALUE!</v>
      </c>
      <c r="DD36" t="e">
        <f t="shared" si="108"/>
        <v>#VALUE!</v>
      </c>
      <c r="DE36" t="e">
        <f t="shared" si="109"/>
        <v>#VALUE!</v>
      </c>
      <c r="DF36" t="e">
        <f t="shared" si="110"/>
        <v>#VALUE!</v>
      </c>
      <c r="DH36" t="e">
        <f>IF(OR(ROW()-4&gt;INDEX($U$4:$U$11,$AC$2+1,1)-INDEX($U$4:$U$11,$AC$2,1),ROW()-4&gt;$AD$2),NA(),COUNTIF(INDEX($BL$5:$BR$50,INDEX($U$4:$U$11,1,1),$AC$2):INDEX($BL$5:$BR$50,INDEX($U$4:$U$11,1,1)+ROW()-5,$AC$2),DH$3))</f>
        <v>#N/A</v>
      </c>
      <c r="DI36" t="e">
        <f>IF(OR(ROW()-4&gt;INDEX($U$4:$U$11,$AC$2+1,1)-INDEX($U$4:$U$11,$AC$2,1),ROW()-4&gt;$AD$2),NA(),COUNTIF(INDEX($BL$5:$BR$50,INDEX($U$4:$U$11,1,1),$AC$2):INDEX($BL$5:$BR$50,INDEX($U$4:$U$11,1,1)+ROW()-5,$AC$2),DI$3))</f>
        <v>#N/A</v>
      </c>
      <c r="DJ36" t="e">
        <f>IF(OR(ROW()-4&gt;INDEX($U$4:$U$11,$AC$2+1,1)-INDEX($U$4:$U$11,$AC$2,1),ROW()-4&gt;$AD$2),NA(),COUNTIF(INDEX($BL$5:$BR$50,INDEX($U$4:$U$11,1,1),$AC$2):INDEX($BL$5:$BR$50,INDEX($U$4:$U$11,1,1)+ROW()-5,$AC$2),DJ$3))</f>
        <v>#N/A</v>
      </c>
      <c r="DL36" t="e">
        <f>IF(OR(ROW()-4&gt;INDEX($U$4:$U$11,$AC$2+1,1)-INDEX($U$4:$U$11,$AC$2,1),ROW()-4&gt;$AD$2),NA(),COUNTIF(INDEX($BL$5:$BR$50,INDEX($U$4:$U$11,1,1),$AC$2):INDEX($BL$5:$BR$50,INDEX($U$4:$U$11,1,1)+ROW()-5,$AC$2),DL$3))</f>
        <v>#N/A</v>
      </c>
      <c r="DM36" t="e">
        <f>IF(OR(ROW()-4&gt;INDEX($U$4:$U$11,$AC$2+1,1)-INDEX($U$4:$U$11,$AC$2,1),ROW()-4&gt;$AD$2),NA(),COUNTIF(INDEX($BL$5:$BR$50,INDEX($U$4:$U$11,1,1),$AC$2):INDEX($BL$5:$BR$50,INDEX($U$4:$U$11,1,1)+ROW()-5,$AC$2),DM$3))</f>
        <v>#N/A</v>
      </c>
      <c r="DN36" t="e">
        <f>IF(OR(ROW()-4&gt;INDEX($U$4:$U$11,$AC$2+1,1)-INDEX($U$4:$U$11,$AC$2,1),ROW()-4&gt;$AD$2),NA(),COUNTIF(INDEX($BL$5:$BR$50,INDEX($U$4:$U$11,1,1),$AC$2):INDEX($BL$5:$BR$50,INDEX($U$4:$U$11,1,1)+ROW()-5,$AC$2),DN$3))</f>
        <v>#N/A</v>
      </c>
      <c r="DP36" t="e">
        <f>IF(OR(ROW()-4&gt;INDEX($U$4:$U$11,$AC$2+1,1)-INDEX($U$4:$U$11,$AC$2,1),ROW()-4&gt;$AD$2),NA(),COUNTIF(INDEX($BT$5:$BZ$201,INDEX($U$4:$U$11,1,1),$AC$2):INDEX($BT$5:$BZ$201,INDEX($U$4:$U$11,1,1)+ROW()-5,$AC$2),DP$3))</f>
        <v>#N/A</v>
      </c>
      <c r="DQ36" t="e">
        <f>IF(OR(ROW()-4&gt;INDEX($U$4:$U$11,$AC$2+1,1)-INDEX($U$4:$U$11,$AC$2,1),ROW()-4&gt;$AD$2),NA(),COUNTIF(INDEX($BT$5:$BZ$201,INDEX($U$4:$U$11,1,1),$AC$2):INDEX($BT$5:$BZ$201,INDEX($U$4:$U$11,1,1)+ROW()-5,$AC$2),DQ$3))</f>
        <v>#N/A</v>
      </c>
      <c r="DS36" t="e">
        <f>IF(OR(ROW()-4&gt;INDEX($U$4:$U$11,$AC$2+1,1)-INDEX($U$4:$U$11,$AC$2,1),ROW()-4&gt;$AD$2),NA(),COUNTIF(INDEX($BT$5:$BZ$201,INDEX($U$4:$U$11,1,1),$AC$2):INDEX($BT$5:$BZ$201,INDEX($U$4:$U$11,1,1)+ROW()-5,$AC$2),DS$3))</f>
        <v>#N/A</v>
      </c>
      <c r="DT36" t="e">
        <f>IF(OR(ROW()-4&gt;INDEX($U$4:$U$11,$AC$2+1,1)-INDEX($U$4:$U$11,$AC$2,1),ROW()-4&gt;$AD$2),NA(),COUNTIF(INDEX($BT$5:$BZ$201,INDEX($U$4:$U$11,1,1),$AC$2):INDEX($BT$5:$BZ$201,INDEX($U$4:$U$11,1,1)+ROW()-5,$AC$2),DT$3))</f>
        <v>#N/A</v>
      </c>
      <c r="DV36" t="e">
        <f>IF(OR(ROW()-4&gt;INDEX($U$4:$U$11,$AC$2+1,1)-INDEX($U$4:$U$11,$AC$2,1),ROW()-4&gt;$AD$2),NA(),COUNTIF(INDEX($CB$5:$CH$201,INDEX($U$4:$U$11,1,1),$AC$2):INDEX($CB$5:$CH$201,INDEX($U$4:$U$11,1,1)+ROW()-5,$AC$2),DV$3))</f>
        <v>#N/A</v>
      </c>
      <c r="DW36" t="e">
        <f>IF(OR(ROW()-4&gt;INDEX($U$4:$U$11,$AC$2+1,1)-INDEX($U$4:$U$11,$AC$2,1),ROW()-4&gt;$AD$2),NA(),COUNTIF(INDEX($CB$5:$CH$201,INDEX($U$4:$U$11,1,1),$AC$2):INDEX($CB$5:$CH$201,INDEX($U$4:$U$11,1,1)+ROW()-5,$AC$2),DW$3))</f>
        <v>#N/A</v>
      </c>
      <c r="DX36" t="e">
        <f>IF(OR(ROW()-4&gt;INDEX($U$4:$U$11,$AC$2+1,1)-INDEX($U$4:$U$11,$AC$2,1),ROW()-4&gt;$AD$2),NA(),COUNTIF(INDEX($CB$5:$CH$201,INDEX($U$4:$U$11,1,1),$AC$2):INDEX($CB$5:$CH$201,INDEX($U$4:$U$11,1,1)+ROW()-5,$AC$2),DX$3))</f>
        <v>#N/A</v>
      </c>
      <c r="DY36" t="e">
        <f>IF(OR(ROW()-4&gt;INDEX($U$4:$U$11,$AC$2+1,1)-INDEX($U$4:$U$11,$AC$2,1),ROW()-4&gt;$AD$2),NA(),COUNTIF(INDEX($CB$5:$CH$201,INDEX($U$4:$U$11,1,1),$AC$2):INDEX($CB$5:$CH$201,INDEX($U$4:$U$11,1,1)+ROW()-5,$AC$2),DY$3))</f>
        <v>#N/A</v>
      </c>
      <c r="DZ36" t="e">
        <f>IF(OR(ROW()-4&gt;INDEX($U$4:$U$11,$AC$2+1,1)-INDEX($U$4:$U$11,$AC$2,1),ROW()-4&gt;$AD$2),NA(),COUNTIF(INDEX($CB$5:$CH$201,INDEX($U$4:$U$11,1,1),$AC$2):INDEX($CB$5:$CH$201,INDEX($U$4:$U$11,1,1)+ROW()-5,$AC$2),DZ$3))</f>
        <v>#N/A</v>
      </c>
      <c r="EA36" t="e">
        <f>IF(OR(ROW()-4&gt;INDEX($U$4:$U$11,$AC$2+1,1)-INDEX($U$4:$U$11,$AC$2,1),ROW()-4&gt;$AD$2),NA(),COUNTIF(INDEX($CB$5:$CH$201,INDEX($U$4:$U$11,1,1),$AC$2):INDEX($CB$5:$CH$201,INDEX($U$4:$U$11,1,1)+ROW()-5,$AC$2),EA$3))</f>
        <v>#N/A</v>
      </c>
      <c r="EB36" t="e">
        <f>IF(OR(ROW()-4&gt;INDEX($U$4:$U$11,$AC$2+1,1)-INDEX($U$4:$U$11,$AC$2,1),ROW()-4&gt;$AD$2),NA(),COUNTIF(INDEX($CB$5:$CH$201,INDEX($U$4:$U$11,1,1),$AC$2):INDEX($CB$5:$CH$201,INDEX($U$4:$U$11,1,1)+ROW()-5,$AC$2),EB$3))</f>
        <v>#N/A</v>
      </c>
      <c r="EC36" t="e">
        <f>IF(OR(ROW()-4&gt;INDEX($U$4:$U$11,$AC$2+1,1)-INDEX($U$4:$U$11,$AC$2,1),ROW()-4&gt;$AD$2),NA(),COUNTIF(INDEX($CB$5:$CH$201,INDEX($U$4:$U$11,1,1),$AC$2):INDEX($CB$5:$CH$201,INDEX($U$4:$U$11,1,1)+ROW()-5,$AC$2),EC$3))</f>
        <v>#N/A</v>
      </c>
      <c r="EE36" t="e">
        <f>IF(OR(ROW()-4&gt;INDEX($U$4:$U$11,$AC$2+1,1)-INDEX($U$4:$U$11,$AC$2,1),ROW()-4&gt;$AD$2),NA(),COUNTIF(INDEX($CB$5:$CH$201,INDEX($U$4:$U$11,1,1),$AC$2):INDEX($CB$5:$CH$201,INDEX($U$4:$U$11,1,1)+ROW()-5,$AC$2),EE$3))</f>
        <v>#N/A</v>
      </c>
      <c r="EF36" t="e">
        <f>IF(OR(ROW()-4&gt;INDEX($U$4:$U$11,$AC$2+1,1)-INDEX($U$4:$U$11,$AC$2,1),ROW()-4&gt;$AD$2),NA(),COUNTIF(INDEX($CB$5:$CH$201,INDEX($U$4:$U$11,1,1),$AC$2):INDEX($CB$5:$CH$201,INDEX($U$4:$U$11,1,1)+ROW()-5,$AC$2),EF$3))</f>
        <v>#N/A</v>
      </c>
      <c r="EG36" t="e">
        <f>IF(OR(ROW()-4&gt;INDEX($U$4:$U$11,$AC$2+1,1)-INDEX($U$4:$U$11,$AC$2,1),ROW()-4&gt;$AD$2),NA(),COUNTIF(INDEX($CB$5:$CH$201,INDEX($U$4:$U$11,1,1),$AC$2):INDEX($CB$5:$CH$201,INDEX($U$4:$U$11,1,1)+ROW()-5,$AC$2),EG$3))</f>
        <v>#N/A</v>
      </c>
      <c r="EH36" t="e">
        <f>IF(OR(ROW()-4&gt;INDEX($U$4:$U$11,$AC$2+1,1)-INDEX($U$4:$U$11,$AC$2,1),ROW()-4&gt;$AD$2),NA(),COUNTIF(INDEX($CB$5:$CH$201,INDEX($U$4:$U$11,1,1),$AC$2):INDEX($CB$5:$CH$201,INDEX($U$4:$U$11,1,1)+ROW()-5,$AC$2),EH$3))</f>
        <v>#N/A</v>
      </c>
      <c r="EI36" t="e">
        <f>IF(OR(ROW()-4&gt;INDEX($U$4:$U$11,$AC$2+1,1)-INDEX($U$4:$U$11,$AC$2,1),ROW()-4&gt;$AD$2),NA(),COUNTIF(INDEX($CB$5:$CH$201,INDEX($U$4:$U$11,1,1),$AC$2):INDEX($CB$5:$CH$201,INDEX($U$4:$U$11,1,1)+ROW()-5,$AC$2),EI$3))</f>
        <v>#N/A</v>
      </c>
      <c r="EJ36" t="e">
        <f>IF(OR(ROW()-4&gt;INDEX($U$4:$U$11,$AC$2+1,1)-INDEX($U$4:$U$11,$AC$2,1),ROW()-4&gt;$AD$2),NA(),COUNTIF(INDEX($CB$5:$CH$201,INDEX($U$4:$U$11,1,1),$AC$2):INDEX($CB$5:$CH$201,INDEX($U$4:$U$11,1,1)+ROW()-5,$AC$2),EJ$3))</f>
        <v>#N/A</v>
      </c>
      <c r="EK36" t="e">
        <f>IF(OR(ROW()-4&gt;INDEX($U$4:$U$11,$AC$2+1,1)-INDEX($U$4:$U$11,$AC$2,1),ROW()-4&gt;$AD$2),NA(),COUNTIF(INDEX($CB$5:$CH$201,INDEX($U$4:$U$11,1,1),$AC$2):INDEX($CB$5:$CH$201,INDEX($U$4:$U$11,1,1)+ROW()-5,$AC$2),EK$3))</f>
        <v>#N/A</v>
      </c>
      <c r="EL36" t="e">
        <f>IF(OR(ROW()-4&gt;INDEX($U$4:$U$11,$AC$2+1,1)-INDEX($U$4:$U$11,$AC$2,1),ROW()-4&gt;$AD$2),NA(),COUNTIF(INDEX($CB$5:$CH$201,INDEX($U$4:$U$11,1,1),$AC$2):INDEX($CB$5:$CH$201,INDEX($U$4:$U$11,1,1)+ROW()-5,$AC$2),EL$3))</f>
        <v>#N/A</v>
      </c>
      <c r="EN36" t="e">
        <f>IF(OR(ROW()-4&gt;INDEX($U$4:$U$11,$AC$2+1,1)-INDEX($U$4:$U$11,$AC$2,1),ROW()-4&gt;$AD$2),NA(),COUNTIF(INDEX($CJ$5:$CP$201,INDEX($U$4:$U$11,1,1),$AC$2):INDEX($CJ$5:$CP$201,INDEX($U$4:$U$11,1,1)+ROW()-5,$AC$2),EN$3))</f>
        <v>#N/A</v>
      </c>
      <c r="EO36" t="e">
        <f>IF(OR(ROW()-4&gt;INDEX($U$4:$U$11,$AC$2+1,1)-INDEX($U$4:$U$11,$AC$2,1),ROW()-4&gt;$AD$2),NA(),COUNTIF(INDEX($CJ$5:$CP$201,INDEX($U$4:$U$11,1,1),$AC$2):INDEX($CJ$5:$CP$201,INDEX($U$4:$U$11,1,1)+ROW()-5,$AC$2),EO$3))</f>
        <v>#N/A</v>
      </c>
      <c r="EQ36" t="e">
        <f>IF(OR(ROW()-4&gt;INDEX($U$4:$U$11,$AC$2+1,1)-INDEX($U$4:$U$11,$AC$2,1),ROW()-4&gt;$AD$2),NA(),COUNTIF(INDEX($CJ$5:$CP$201,INDEX($U$4:$U$11,1,1),$AC$2):INDEX($CJ$5:$CP$201,INDEX($U$4:$U$11,1,1)+ROW()-5,$AC$2),EQ$3))</f>
        <v>#N/A</v>
      </c>
      <c r="ER36" t="e">
        <f>IF(OR(ROW()-4&gt;INDEX($U$4:$U$11,$AC$2+1,1)-INDEX($U$4:$U$11,$AC$2,1),ROW()-4&gt;$AD$2),NA(),COUNTIF(INDEX($CJ$5:$CP$201,INDEX($U$4:$U$11,1,1),$AC$2):INDEX($CJ$5:$CP$201,INDEX($U$4:$U$11,1,1)+ROW()-5,$AC$2),ER$3))</f>
        <v>#N/A</v>
      </c>
      <c r="ET36" t="e">
        <f>IF(OR(ROW()-4&gt;INDEX($U$4:$U$11,$AC$2+1,1)-INDEX($U$4:$U$11,$AC$2,1),ROW()-4&gt;$AD$2),NA(),COUNTIF(INDEX($CR$5:$CX$201,INDEX($U$4:$U$11,1,1),$AC$2):INDEX($CR$5:$CX$201,INDEX($U$4:$U$11,1,1)+ROW()-5,$AC$2),ET$3))</f>
        <v>#N/A</v>
      </c>
      <c r="EU36" t="e">
        <f>IF(OR(ROW()-4&gt;INDEX($U$4:$U$11,$AC$2+1,1)-INDEX($U$4:$U$11,$AC$2,1),ROW()-4&gt;$AD$2),NA(),COUNTIF(INDEX($CR$5:$CX$201,INDEX($U$4:$U$11,1,1),$AC$2):INDEX($CR$5:$CX$201,INDEX($U$4:$U$11,1,1)+ROW()-5,$AC$2),EU$3))</f>
        <v>#N/A</v>
      </c>
      <c r="EV36" t="e">
        <f>IF(OR(ROW()-4&gt;INDEX($U$4:$U$11,$AC$2+1,1)-INDEX($U$4:$U$11,$AC$2,1),ROW()-4&gt;$AD$2),NA(),COUNTIF(INDEX($CR$5:$CX$201,INDEX($U$4:$U$11,1,1),$AC$2):INDEX($CR$5:$CX$201,INDEX($U$4:$U$11,1,1)+ROW()-5,$AC$2),EV$3))</f>
        <v>#N/A</v>
      </c>
      <c r="EW36" t="e">
        <f>IF(OR(ROW()-4&gt;INDEX($U$4:$U$11,$AC$2+1,1)-INDEX($U$4:$U$11,$AC$2,1),ROW()-4&gt;$AD$2),NA(),COUNTIF(INDEX($CR$5:$CX$201,INDEX($U$4:$U$11,1,1),$AC$2):INDEX($CR$5:$CX$201,INDEX($U$4:$U$11,1,1)+ROW()-5,$AC$2),EW$3))</f>
        <v>#N/A</v>
      </c>
      <c r="EX36" t="e">
        <f>IF(OR(ROW()-4&gt;INDEX($U$4:$U$11,$AC$2+1,1)-INDEX($U$4:$U$11,$AC$2,1),ROW()-4&gt;$AD$2),NA(),COUNTIF(INDEX($CR$5:$CX$201,INDEX($U$4:$U$11,1,1),$AC$2):INDEX($CR$5:$CX$201,INDEX($U$4:$U$11,1,1)+ROW()-5,$AC$2),EX$3))</f>
        <v>#N/A</v>
      </c>
      <c r="EY36" t="e">
        <f>IF(OR(ROW()-4&gt;INDEX($U$4:$U$11,$AC$2+1,1)-INDEX($U$4:$U$11,$AC$2,1),ROW()-4&gt;$AD$2),NA(),COUNTIF(INDEX($CR$5:$CX$201,INDEX($U$4:$U$11,1,1),$AC$2):INDEX($CR$5:$CX$201,INDEX($U$4:$U$11,1,1)+ROW()-5,$AC$2),EY$3))</f>
        <v>#N/A</v>
      </c>
      <c r="EZ36" t="e">
        <f>IF(OR(ROW()-4&gt;INDEX($U$4:$U$11,$AC$2+1,1)-INDEX($U$4:$U$11,$AC$2,1),ROW()-4&gt;$AD$2),NA(),COUNTIF(INDEX($CR$5:$CX$201,INDEX($U$4:$U$11,1,1),$AC$2):INDEX($CR$5:$CX$201,INDEX($U$4:$U$11,1,1)+ROW()-5,$AC$2),EZ$3))</f>
        <v>#N/A</v>
      </c>
      <c r="FA36" t="e">
        <f>IF(OR(ROW()-4&gt;INDEX($U$4:$U$11,$AC$2+1,1)-INDEX($U$4:$U$11,$AC$2,1),ROW()-4&gt;$AD$2),NA(),COUNTIF(INDEX($CR$5:$CX$201,INDEX($U$4:$U$11,1,1),$AC$2):INDEX($CR$5:$CX$201,INDEX($U$4:$U$11,1,1)+ROW()-5,$AC$2),FA$3))</f>
        <v>#N/A</v>
      </c>
      <c r="FC36" t="e">
        <f>IF(OR(ROW()-4&gt;INDEX($U$4:$U$11,$AC$2+1,1)-INDEX($U$4:$U$11,$AC$2,1),ROW()-4&gt;$AD$2),NA(),COUNTIF(INDEX($CR$5:$CX$201,INDEX($U$4:$U$11,1,1),$AC$2):INDEX($CR$5:$CX$201,INDEX($U$4:$U$11,1,1)+ROW()-5,$AC$2),FC$3))</f>
        <v>#N/A</v>
      </c>
      <c r="FD36" t="e">
        <f>IF(OR(ROW()-4&gt;INDEX($U$4:$U$11,$AC$2+1,1)-INDEX($U$4:$U$11,$AC$2,1),ROW()-4&gt;$AD$2),NA(),COUNTIF(INDEX($CR$5:$CX$201,INDEX($U$4:$U$11,1,1),$AC$2):INDEX($CR$5:$CX$201,INDEX($U$4:$U$11,1,1)+ROW()-5,$AC$2),FD$3))</f>
        <v>#N/A</v>
      </c>
      <c r="FE36" t="e">
        <f>IF(OR(ROW()-4&gt;INDEX($U$4:$U$11,$AC$2+1,1)-INDEX($U$4:$U$11,$AC$2,1),ROW()-4&gt;$AD$2),NA(),COUNTIF(INDEX($CR$5:$CX$201,INDEX($U$4:$U$11,1,1),$AC$2):INDEX($CR$5:$CX$201,INDEX($U$4:$U$11,1,1)+ROW()-5,$AC$2),FE$3))</f>
        <v>#N/A</v>
      </c>
      <c r="FF36" t="e">
        <f>IF(OR(ROW()-4&gt;INDEX($U$4:$U$11,$AC$2+1,1)-INDEX($U$4:$U$11,$AC$2,1),ROW()-4&gt;$AD$2),NA(),COUNTIF(INDEX($CR$5:$CX$201,INDEX($U$4:$U$11,1,1),$AC$2):INDEX($CR$5:$CX$201,INDEX($U$4:$U$11,1,1)+ROW()-5,$AC$2),FF$3))</f>
        <v>#N/A</v>
      </c>
      <c r="FG36" t="e">
        <f>IF(OR(ROW()-4&gt;INDEX($U$4:$U$11,$AC$2+1,1)-INDEX($U$4:$U$11,$AC$2,1),ROW()-4&gt;$AD$2),NA(),COUNTIF(INDEX($CR$5:$CX$201,INDEX($U$4:$U$11,1,1),$AC$2):INDEX($CR$5:$CX$201,INDEX($U$4:$U$11,1,1)+ROW()-5,$AC$2),FG$3))</f>
        <v>#N/A</v>
      </c>
      <c r="FH36" t="e">
        <f>IF(OR(ROW()-4&gt;INDEX($U$4:$U$11,$AC$2+1,1)-INDEX($U$4:$U$11,$AC$2,1),ROW()-4&gt;$AD$2),NA(),COUNTIF(INDEX($CR$5:$CX$201,INDEX($U$4:$U$11,1,1),$AC$2):INDEX($CR$5:$CX$201,INDEX($U$4:$U$11,1,1)+ROW()-5,$AC$2),FH$3))</f>
        <v>#N/A</v>
      </c>
      <c r="FI36" t="e">
        <f>IF(OR(ROW()-4&gt;INDEX($U$4:$U$11,$AC$2+1,1)-INDEX($U$4:$U$11,$AC$2,1),ROW()-4&gt;$AD$2),NA(),COUNTIF(INDEX($CR$5:$CX$201,INDEX($U$4:$U$11,1,1),$AC$2):INDEX($CR$5:$CX$201,INDEX($U$4:$U$11,1,1)+ROW()-5,$AC$2),FI$3))</f>
        <v>#N/A</v>
      </c>
      <c r="FJ36" t="e">
        <f>IF(OR(ROW()-4&gt;INDEX($U$4:$U$11,$AC$2+1,1)-INDEX($U$4:$U$11,$AC$2,1),ROW()-4&gt;$AD$2),NA(),COUNTIF(INDEX($CR$5:$CX$201,INDEX($U$4:$U$11,1,1),$AC$2):INDEX($CR$5:$CX$201,INDEX($U$4:$U$11,1,1)+ROW()-5,$AC$2),FJ$3))</f>
        <v>#N/A</v>
      </c>
      <c r="FL36" t="e">
        <f>IF(OR(ROW()-4&gt;INDEX($U$4:$U$11,$AC$2+1,1)-INDEX($U$4:$U$11,$AC$2,1),ROW()-4&gt;$AD$2),NA(),COUNTIF(INDEX($CZ$5:$DF$201,INDEX($U$4:$U$11,1,1),$AC$2):INDEX($CZ$5:$DF$201,INDEX($U$4:$U$11,1,1)+ROW()-5,$AC$2),FL$3))</f>
        <v>#N/A</v>
      </c>
      <c r="FM36" t="e">
        <f>IF(OR(ROW()-4&gt;INDEX($U$4:$U$11,$AC$2+1,1)-INDEX($U$4:$U$11,$AC$2,1),ROW()-4&gt;$AD$2),NA(),COUNTIF(INDEX($CZ$5:$DF$201,INDEX($U$4:$U$11,1,1),$AC$2):INDEX($CZ$5:$DF$201,INDEX($U$4:$U$11,1,1)+ROW()-5,$AC$2),FM$3))</f>
        <v>#N/A</v>
      </c>
      <c r="FN36" t="e">
        <f>IF(OR(ROW()-4&gt;INDEX($U$4:$U$11,$AC$2+1,1)-INDEX($U$4:$U$11,$AC$2,1),ROW()-4&gt;$AD$2),NA(),COUNTIF(INDEX($CZ$5:$DF$201,INDEX($U$4:$U$11,1,1),$AC$2):INDEX($CZ$5:$DF$201,INDEX($U$4:$U$11,1,1)+ROW()-5,$AC$2),FN$3))</f>
        <v>#N/A</v>
      </c>
      <c r="FO36" t="e">
        <f>IF(OR(ROW()-4&gt;INDEX($U$4:$U$11,$AC$2+1,1)-INDEX($U$4:$U$11,$AC$2,1),ROW()-4&gt;$AD$2),NA(),COUNTIF(INDEX($CZ$5:$DF$201,INDEX($U$4:$U$11,1,1),$AC$2):INDEX($CZ$5:$DF$201,INDEX($U$4:$U$11,1,1)+ROW()-5,$AC$2),FO$3))</f>
        <v>#N/A</v>
      </c>
      <c r="FP36" t="e">
        <f>IF(OR(ROW()-4&gt;INDEX($U$4:$U$11,$AC$2+1,1)-INDEX($U$4:$U$11,$AC$2,1),ROW()-4&gt;$AD$2),NA(),COUNTIF(INDEX($CZ$5:$DF$201,INDEX($U$4:$U$11,1,1),$AC$2):INDEX($CZ$5:$DF$201,INDEX($U$4:$U$11,1,1)+ROW()-5,$AC$2),FP$3))</f>
        <v>#N/A</v>
      </c>
      <c r="FQ36" t="e">
        <f>IF(OR(ROW()-4&gt;INDEX($U$4:$U$11,$AC$2+1,1)-INDEX($U$4:$U$11,$AC$2,1),ROW()-4&gt;$AD$2),NA(),COUNTIF(INDEX($CZ$5:$DF$201,INDEX($U$4:$U$11,1,1),$AC$2):INDEX($CZ$5:$DF$201,INDEX($U$4:$U$11,1,1)+ROW()-5,$AC$2),FQ$3))</f>
        <v>#N/A</v>
      </c>
      <c r="FR36" t="e">
        <f>IF(OR(ROW()-4&gt;INDEX($U$4:$U$11,$AC$2+1,1)-INDEX($U$4:$U$11,$AC$2,1),ROW()-4&gt;$AD$2),NA(),COUNTIF(INDEX($CZ$5:$DF$201,INDEX($U$4:$U$11,1,1),$AC$2):INDEX($CZ$5:$DF$201,INDEX($U$4:$U$11,1,1)+ROW()-5,$AC$2),FR$3))</f>
        <v>#N/A</v>
      </c>
      <c r="FS36" t="e">
        <f>IF(OR(ROW()-4&gt;INDEX($U$4:$U$11,$AC$2+1,1)-INDEX($U$4:$U$11,$AC$2,1),ROW()-4&gt;$AD$2),NA(),COUNTIF(INDEX($CZ$5:$DF$201,INDEX($U$4:$U$11,1,1),$AC$2):INDEX($CZ$5:$DF$201,INDEX($U$4:$U$11,1,1)+ROW()-5,$AC$2),FS$3))</f>
        <v>#N/A</v>
      </c>
      <c r="FT36" t="e">
        <f>IF(OR(ROW()-4&gt;INDEX($U$4:$U$11,$AC$2+1,1)-INDEX($U$4:$U$11,$AC$2,1),ROW()-4&gt;$AD$2),NA(),COUNTIF(INDEX($CZ$5:$DF$201,INDEX($U$4:$U$11,1,1),$AC$2):INDEX($CZ$5:$DF$201,INDEX($U$4:$U$11,1,1)+ROW()-5,$AC$2),FT$3))</f>
        <v>#N/A</v>
      </c>
      <c r="FU36" t="e">
        <f>IF(OR(ROW()-4&gt;INDEX($U$4:$U$11,$AC$2+1,1)-INDEX($U$4:$U$11,$AC$2,1),ROW()-4&gt;$AD$2),NA(),COUNTIF(INDEX($CZ$5:$DF$201,INDEX($U$4:$U$11,1,1),$AC$2):INDEX($CZ$5:$DF$201,INDEX($U$4:$U$11,1,1)+ROW()-5,$AC$2),FU$3))</f>
        <v>#N/A</v>
      </c>
      <c r="FW36" t="e">
        <f>IF(OR(ROW()-4&gt;INDEX($U$4:$U$11,$AC$2+1,1)-INDEX($U$4:$U$11,$AC$2,1),ROW()-4&gt;$AD$2),NA(),COUNTIF(INDEX($CZ$5:$DF$201,INDEX($U$4:$U$11,1,1),$AC$2):INDEX($CZ$5:$DF$201,INDEX($U$4:$U$11,1,1)+ROW()-5,$AC$2),FW$3))</f>
        <v>#N/A</v>
      </c>
      <c r="FX36" t="e">
        <f>IF(OR(ROW()-4&gt;INDEX($U$4:$U$11,$AC$2+1,1)-INDEX($U$4:$U$11,$AC$2,1),ROW()-4&gt;$AD$2),NA(),COUNTIF(INDEX($CZ$5:$DF$201,INDEX($U$4:$U$11,1,1),$AC$2):INDEX($CZ$5:$DF$201,INDEX($U$4:$U$11,1,1)+ROW()-5,$AC$2),FX$3))</f>
        <v>#N/A</v>
      </c>
      <c r="FY36" t="e">
        <f>IF(OR(ROW()-4&gt;INDEX($U$4:$U$11,$AC$2+1,1)-INDEX($U$4:$U$11,$AC$2,1),ROW()-4&gt;$AD$2),NA(),COUNTIF(INDEX($CZ$5:$DF$201,INDEX($U$4:$U$11,1,1),$AC$2):INDEX($CZ$5:$DF$201,INDEX($U$4:$U$11,1,1)+ROW()-5,$AC$2),FY$3))</f>
        <v>#N/A</v>
      </c>
      <c r="FZ36" t="e">
        <f>IF(OR(ROW()-4&gt;INDEX($U$4:$U$11,$AC$2+1,1)-INDEX($U$4:$U$11,$AC$2,1),ROW()-4&gt;$AD$2),NA(),COUNTIF(INDEX($CZ$5:$DF$201,INDEX($U$4:$U$11,1,1),$AC$2):INDEX($CZ$5:$DF$201,INDEX($U$4:$U$11,1,1)+ROW()-5,$AC$2),FZ$3))</f>
        <v>#N/A</v>
      </c>
      <c r="GA36" t="e">
        <f>IF(OR(ROW()-4&gt;INDEX($U$4:$U$11,$AC$2+1,1)-INDEX($U$4:$U$11,$AC$2,1),ROW()-4&gt;$AD$2),NA(),COUNTIF(INDEX($CZ$5:$DF$201,INDEX($U$4:$U$11,1,1),$AC$2):INDEX($CZ$5:$DF$201,INDEX($U$4:$U$11,1,1)+ROW()-5,$AC$2),GA$3))</f>
        <v>#N/A</v>
      </c>
      <c r="GB36" t="e">
        <f>IF(OR(ROW()-4&gt;INDEX($U$4:$U$11,$AC$2+1,1)-INDEX($U$4:$U$11,$AC$2,1),ROW()-4&gt;$AD$2),NA(),COUNTIF(INDEX($CZ$5:$DF$201,INDEX($U$4:$U$11,1,1),$AC$2):INDEX($CZ$5:$DF$201,INDEX($U$4:$U$11,1,1)+ROW()-5,$AC$2),GB$3))</f>
        <v>#N/A</v>
      </c>
      <c r="GC36" t="e">
        <f>IF(OR(ROW()-4&gt;INDEX($U$4:$U$11,$AC$2+1,1)-INDEX($U$4:$U$11,$AC$2,1),ROW()-4&gt;$AD$2),NA(),COUNTIF(INDEX($CZ$5:$DF$201,INDEX($U$4:$U$11,1,1),$AC$2):INDEX($CZ$5:$DF$201,INDEX($U$4:$U$11,1,1)+ROW()-5,$AC$2),GC$3))</f>
        <v>#N/A</v>
      </c>
      <c r="GD36" t="e">
        <f>IF(OR(ROW()-4&gt;INDEX($U$4:$U$11,$AC$2+1,1)-INDEX($U$4:$U$11,$AC$2,1),ROW()-4&gt;$AD$2),NA(),COUNTIF(INDEX($CZ$5:$DF$201,INDEX($U$4:$U$11,1,1),$AC$2):INDEX($CZ$5:$DF$201,INDEX($U$4:$U$11,1,1)+ROW()-5,$AC$2),GD$3))</f>
        <v>#N/A</v>
      </c>
      <c r="GE36" t="e">
        <f>IF(OR(ROW()-4&gt;INDEX($U$4:$U$11,$AC$2+1,1)-INDEX($U$4:$U$11,$AC$2,1),ROW()-4&gt;$AD$2),NA(),COUNTIF(INDEX($CZ$5:$DF$201,INDEX($U$4:$U$11,1,1),$AC$2):INDEX($CZ$5:$DF$201,INDEX($U$4:$U$11,1,1)+ROW()-5,$AC$2),GE$3))</f>
        <v>#N/A</v>
      </c>
      <c r="GF36" t="e">
        <f>IF(OR(ROW()-4&gt;INDEX($U$4:$U$11,$AC$2+1,1)-INDEX($U$4:$U$11,$AC$2,1),ROW()-4&gt;$AD$2),NA(),COUNTIF(INDEX($CZ$5:$DF$201,INDEX($U$4:$U$11,1,1),$AC$2):INDEX($CZ$5:$DF$201,INDEX($U$4:$U$11,1,1)+ROW()-5,$AC$2),GF$3))</f>
        <v>#N/A</v>
      </c>
      <c r="GO36" s="16"/>
      <c r="GP36" s="17"/>
      <c r="GQ36" s="17"/>
      <c r="GR36" s="17"/>
      <c r="GS36" s="17"/>
      <c r="GT36" s="17"/>
      <c r="GU36" s="17"/>
      <c r="GV36" s="17"/>
      <c r="GW36" s="17"/>
      <c r="GX36" s="17"/>
      <c r="GY36" s="17"/>
      <c r="GZ36" s="17"/>
      <c r="HA36" s="17"/>
      <c r="HB36" s="17"/>
      <c r="HC36" s="17"/>
      <c r="HD36" s="17"/>
      <c r="HE36" s="17" t="s">
        <v>55</v>
      </c>
      <c r="HF36" s="46">
        <f>EU43</f>
        <v>0</v>
      </c>
      <c r="HG36" s="43"/>
      <c r="HH36" s="59">
        <f>EU93</f>
        <v>0</v>
      </c>
      <c r="HI36" s="59">
        <f t="shared" si="132"/>
        <v>0</v>
      </c>
      <c r="HJ36" s="17"/>
      <c r="HK36" s="17"/>
      <c r="HL36" s="17"/>
      <c r="HM36" s="18"/>
    </row>
    <row r="37" spans="1:221" x14ac:dyDescent="0.45">
      <c r="A37" t="str">
        <f>データの貼付!A35</f>
        <v>FENG Tianwei</v>
      </c>
      <c r="B37">
        <f>データの貼付!B35</f>
        <v>9.2268055555555558E-3</v>
      </c>
      <c r="C37">
        <f>データの貼付!C35</f>
        <v>6.178240740740741E-5</v>
      </c>
      <c r="D37">
        <f>データの貼付!D35</f>
        <v>1.3888888888888889E-3</v>
      </c>
      <c r="E37" t="str">
        <f>データの貼付!F35</f>
        <v>KIHARA Miyuu</v>
      </c>
      <c r="F37">
        <f>データの貼付!E35</f>
        <v>0</v>
      </c>
      <c r="G37" t="str">
        <f>データの貼付!G35</f>
        <v>#02</v>
      </c>
      <c r="H37" t="str">
        <f>データの貼付!H35</f>
        <v>FENG Tianwei</v>
      </c>
      <c r="I37" t="str">
        <f>データの貼付!I35</f>
        <v>Back</v>
      </c>
      <c r="J37" t="str">
        <f>データの貼付!J35</f>
        <v>B</v>
      </c>
      <c r="K37" t="str">
        <f>データの貼付!K35</f>
        <v>FMS</v>
      </c>
      <c r="L37" t="str">
        <f>データの貼付!L35</f>
        <v>B</v>
      </c>
      <c r="M37" t="str">
        <f>データの貼付!M35</f>
        <v>Stop</v>
      </c>
      <c r="N37" t="str">
        <f>データの貼付!N35</f>
        <v>FMS</v>
      </c>
      <c r="R37">
        <f t="shared" si="59"/>
        <v>0</v>
      </c>
      <c r="S37">
        <f>SUM(R$4:R37)</f>
        <v>3</v>
      </c>
      <c r="T37" t="str">
        <f t="shared" si="60"/>
        <v/>
      </c>
      <c r="W37" t="str">
        <f t="shared" si="57"/>
        <v>KIHARA Miyuu_FENG Tianwei</v>
      </c>
      <c r="X37" t="str">
        <f t="shared" si="58"/>
        <v>KIHARA Miyuu_#02</v>
      </c>
      <c r="AC37" s="8" t="e">
        <f>IF(OR(ROW()-4&gt;INDEX($U$4:$U$11,AC$2+1)-INDEX($U$4:$U$11,AC$2),ROW()-4&gt;AD$2),NA(),COUNTIF(INDEX($W$4:$W$200,INDEX($U$4:$U$11,AC$2)):INDEX($W$4:$W$200,INDEX($U$4:$U$11,AC$2)+ROW()-5),AC$3&amp;"_"&amp;AC$3)/(COUNTIF(INDEX($W$4:$W$200,INDEX($U$4:$U$11,AC$2)):INDEX($W$4:$W$200,INDEX($U$4:$U$11,AC$2)+ROW()-5),AC$3&amp;"_"&amp;AC$3)+COUNTIF(INDEX($W$4:$W$200,INDEX($U$4:$U$11,AC$2)):INDEX($W$4:$W$200,INDEX($U$4:$U$11,AC$2)+ROW()-5),AD$3&amp;"_"&amp;AC$3)))</f>
        <v>#N/A</v>
      </c>
      <c r="AD37" s="8" t="e">
        <f>IF(OR(ROW()-4&gt;INDEX($U$4:$U$11,AC$2+1)-INDEX($U$4:$U$11,AC$2),ROW()-4&gt;AD$2),NA(),COUNTIF(INDEX($W$4:$W$200,INDEX($U$4:$U$11,AC$2)):INDEX($W$4:$W$200,INDEX($U$4:$U$11,AC$2)+ROW()-5),AD$3&amp;"_"&amp;AD$3)/(COUNTIF(INDEX($W$4:$W$200,INDEX($U$4:$U$11,AC$2)):INDEX($W$4:$W$200,INDEX($U$4:$U$11,AC$2)+ROW()-5),AD$3&amp;"_"&amp;AD$3)+COUNTIF(INDEX($W$4:$W$200,INDEX($U$4:$U$11,AC$2)):INDEX($W$4:$W$200,INDEX($U$4:$U$11,AC$2)+ROW()-5),AC$3&amp;"_"&amp;AD$3)))</f>
        <v>#N/A</v>
      </c>
      <c r="AE37" s="10" t="e">
        <f>IF(OR(ROW()-4&gt;INDEX($U$4:$U$11,AC$2+1)-INDEX($U$4:$U$11,AC$2),ROW()-4&gt;AD$2),NA(),COUNTIF(INDEX($W$4:$W$200,INDEX($U$4:$U$11,AC$2)):INDEX($W$4:$W$200,INDEX($U$4:$U$11,AC$2)+ROW()-5),AC$3&amp;"_"&amp;AD$3)/(COUNTIF(INDEX($W$4:$W$200,INDEX($U$4:$U$11,AC$2)):INDEX($W$4:$W$200,INDEX($U$4:$U$11,AC$2)+ROW()-5),AC$3&amp;"_"&amp;AD$3)+COUNTIF(INDEX($W$4:$W$200,INDEX($U$4:$U$11,AC$2)):INDEX($W$4:$W$200,INDEX($U$4:$U$11,AC$2)+ROW()-5),AD$3&amp;"_"&amp;AD$3)))</f>
        <v>#N/A</v>
      </c>
      <c r="AF37" s="10" t="e">
        <f>IF(OR(ROW()-4&gt;INDEX($U$4:$U$11,AC$2+1)-INDEX($U$4:$U$11,AC$2),ROW()-4&gt;AD$2),NA(),COUNTIF(INDEX($W$4:$W$200,INDEX($U$4:$U$11,AC$2)):INDEX($W$4:$W$200,INDEX($U$4:$U$11,AC$2)+ROW()-5),AD$3&amp;"_"&amp;AC$3)/(COUNTIF(INDEX($W$4:$W$200,INDEX($U$4:$U$11,AC$2)):INDEX($W$4:$W$200,INDEX($U$4:$U$11,AC$2)+ROW()-5),AD$3&amp;"_"&amp;AC$3)+COUNTIF(INDEX($W$4:$W$200,INDEX($U$4:$U$11,AC$2)):INDEX($W$4:$W$200,INDEX($U$4:$U$11,AC$2)+ROW()-5),AC$3&amp;"_"&amp;AC$3)))</f>
        <v>#N/A</v>
      </c>
      <c r="AG37" s="10" t="e">
        <f>IF(OR(ROW()-4&gt;INDEX($U$4:$U$11,AC$2+1)-INDEX($U$4:$U$11,AC$2),ROW()-4&gt;AD$2),NA(),COUNTIF(INDEX($X$4:$X$200,INDEX($U$4:$U$11,AC$2)):INDEX($X$4:$X$200,INDEX($U$4:$U$11,AC$2)+ROW()-5),AC$3&amp;"_#03")/(COUNTIF(INDEX($W$4:$W$200,INDEX($U$4:$U$11,AC$2)):INDEX($W$4:$W$200,INDEX($U$4:$U$11,AC$2)+ROW()-5),AC$3&amp;"_"&amp;AC$3)+COUNTIF(INDEX($W$4:$W$200,INDEX($U$4:$U$11,AC$2)):INDEX($W$4:$W$200,INDEX($U$4:$U$11,AC$2)+ROW()-5),AD$3&amp;"_"&amp;AC$3)))</f>
        <v>#N/A</v>
      </c>
      <c r="AH37" s="10" t="e">
        <f>IF(OR(ROW()-4&gt;INDEX($U$4:$U$11,AC$2+1)-INDEX($U$4:$U$11,AC$2),ROW()-4&gt;AD$2),NA(),COUNTIF(INDEX($X$4:$X$200,INDEX($U$4:$U$11,AC$2)):INDEX($X$4:$X$200,INDEX($U$4:$U$11,AC$2)+ROW()-5),AD$3&amp;"_#03")/(COUNTIF(INDEX($W$4:$W$200,INDEX($U$4:$U$11,AC$2)):INDEX($W$4:$W$200,INDEX($U$4:$U$11,AC$2)+ROW()-5),AD$3&amp;"_"&amp;AD$3)+COUNTIF(INDEX($W$4:$W$200,INDEX($U$4:$U$11,AC$2)):INDEX($W$4:$W$200,INDEX($U$4:$U$11,AC$2)+ROW()-5),AC$3&amp;"_"&amp;AD$3)))</f>
        <v>#N/A</v>
      </c>
      <c r="AI37" s="10" t="e">
        <f>IF(OR(ROW()-4&gt;INDEX($U$4:$U$11,AC$2+1)-INDEX($U$4:$U$11,AC$2),ROW()-4&gt;AD$2),NA(),(COUNTIF(INDEX($X$4:$X$200,INDEX($U$4:$U$11,AC$2)):INDEX($X$4:$X$200,INDEX($U$4:$U$11,AC$2)+ROW()-5),AC$3&amp;"_#03")-COUNTIF(INDEX($X$4:$X$200,INDEX($U$4:$U$11,AC$2)):INDEX($X$4:$X$200,INDEX($U$4:$U$11,AC$2)+ROW()-5),AD$3&amp;"_#02"))/(COUNTIF(INDEX($W$4:$W$200,INDEX($U$4:$U$11,AC$2)):INDEX($W$4:$W$200,INDEX($U$4:$U$11,AC$2)+ROW()-5),AC$3&amp;"_"&amp;AC$3)+COUNTIF(INDEX($W$4:$W$200,INDEX($U$4:$U$11,AC$2)):INDEX($W$4:$W$200,INDEX($U$4:$U$11,AC$2)+ROW()-5),AD$3&amp;"_"&amp;AC$3)))</f>
        <v>#N/A</v>
      </c>
      <c r="AJ37" s="10" t="e">
        <f>IF(OR(ROW()-4&gt;INDEX($U$4:$U$11,AC$2+1)-INDEX($U$4:$U$11,AC$2),ROW()-4&gt;AD$2),NA(),(COUNTIF(INDEX($X$4:$X$200,INDEX($U$4:$U$11,AC$2)):INDEX($X$4:$X$200,INDEX($U$4:$U$11,AC$2)+ROW()-5),AD$3&amp;"_#03")-COUNTIF(INDEX($X$4:$X$200,INDEX($U$4:$U$11,AC$2)):INDEX($X$4:$X$200,INDEX($U$4:$U$11,AC$2)+ROW()-5),AC$3&amp;"_#02"))/(COUNTIF(INDEX($W$4:$W$200,INDEX($U$4:$U$11,AC$2)):INDEX($W$4:$W$200,INDEX($U$4:$U$11,AC$2)+ROW()-5),AD$3&amp;"_"&amp;AD$3)+COUNTIF(INDEX($W$4:$W$200,INDEX($U$4:$U$11,AC$2)):INDEX($W$4:$W$200,INDEX($U$4:$U$11,AC$2)+ROW()-5),AC$3&amp;"_"&amp;AD$3)))</f>
        <v>#N/A</v>
      </c>
      <c r="AK37" s="10" t="e">
        <f>IF(OR(ROW()-4&gt;INDEX($U$4:$U$11,AC$2+1)-INDEX($U$4:$U$11,AC$2),ROW()-4&gt;AD$2),NA(),(COUNTIF(INDEX($X$4:$X$200,INDEX($U$4:$U$11,AC$2)):INDEX($X$4:$X$200,INDEX($U$4:$U$11,AC$2)+ROW()-5),AC$3&amp;"_#01")+COUNTIF(INDEX($X$4:$X$200,INDEX($U$4:$U$11,AC$2)):INDEX($X$4:$X$200,INDEX($U$4:$U$11,AC$2)+ROW()-5),AC$3&amp;"_#03"))/(COUNTIF(INDEX($W$4:$W$200,INDEX($U$4:$U$11,AC$2)):INDEX($W$4:$W$200,INDEX($U$4:$U$11,AC$2)+ROW()-5),AC$3&amp;"_"&amp;AC$3)+COUNTIF(INDEX($W$4:$W$200,INDEX($U$4:$U$11,AC$2)):INDEX($W$4:$W$200,INDEX($U$4:$U$11,AC$2)+ROW()-5),AD$3&amp;"_"&amp;AC$3)))</f>
        <v>#N/A</v>
      </c>
      <c r="AL37" s="10" t="e">
        <f>IF(OR(ROW()-4&gt;INDEX($U$4:$U$11,AC$2+1)-INDEX($U$4:$U$11,AC$2),ROW()-4&gt;AD$2),NA(),(COUNTIF(INDEX($X$4:$X$200,INDEX($U$4:$U$11,AC$2)):INDEX($X$4:$X$200,INDEX($U$4:$U$11,AC$2)+ROW()-5),AD$3&amp;"_#01")+COUNTIF(INDEX($X$4:$X$200,INDEX($U$4:$U$11,AC$2)):INDEX($X$4:$X$200,INDEX($U$4:$U$11,AC$2)+ROW()-5),AD$3&amp;"_#03"))/(COUNTIF(INDEX($W$4:$W$200,INDEX($U$4:$U$11,AC$2)):INDEX($W$4:$W$200,INDEX($U$4:$U$11,AC$2)+ROW()-5),AD$3&amp;"_"&amp;AD$3)+COUNTIF(INDEX($W$4:$W$200,INDEX($U$4:$U$11,AC$2)):INDEX($W$4:$W$200,INDEX($U$4:$U$11,AC$2)+ROW()-5),AC$3&amp;"_"&amp;AD$3)))</f>
        <v>#N/A</v>
      </c>
      <c r="AN37" t="str">
        <f t="shared" si="125"/>
        <v/>
      </c>
      <c r="AO37" t="str">
        <f t="shared" si="111"/>
        <v/>
      </c>
      <c r="AP37" t="str">
        <f t="shared" si="112"/>
        <v/>
      </c>
      <c r="AQ37" t="str">
        <f t="shared" si="113"/>
        <v/>
      </c>
      <c r="AR37" t="str">
        <f t="shared" si="114"/>
        <v/>
      </c>
      <c r="AS37" t="e">
        <f t="shared" si="115"/>
        <v>#VALUE!</v>
      </c>
      <c r="AT37" t="e">
        <f t="shared" si="116"/>
        <v>#VALUE!</v>
      </c>
      <c r="AV37" t="e">
        <f t="shared" si="117"/>
        <v>#VALUE!</v>
      </c>
      <c r="AW37" t="e">
        <f t="shared" si="63"/>
        <v>#VALUE!</v>
      </c>
      <c r="AX37" t="e">
        <f t="shared" si="64"/>
        <v>#VALUE!</v>
      </c>
      <c r="AY37" t="e">
        <f t="shared" si="65"/>
        <v>#VALUE!</v>
      </c>
      <c r="AZ37" t="e">
        <f t="shared" si="66"/>
        <v>#VALUE!</v>
      </c>
      <c r="BA37" t="e">
        <f t="shared" si="67"/>
        <v>#VALUE!</v>
      </c>
      <c r="BB37" t="e">
        <f t="shared" si="68"/>
        <v>#VALUE!</v>
      </c>
      <c r="BD37" t="e">
        <f t="shared" si="118"/>
        <v>#VALUE!</v>
      </c>
      <c r="BE37" t="e">
        <f t="shared" si="69"/>
        <v>#VALUE!</v>
      </c>
      <c r="BF37" t="e">
        <f t="shared" si="70"/>
        <v>#VALUE!</v>
      </c>
      <c r="BG37" t="e">
        <f t="shared" si="71"/>
        <v>#VALUE!</v>
      </c>
      <c r="BH37" t="e">
        <f t="shared" si="72"/>
        <v>#VALUE!</v>
      </c>
      <c r="BI37" t="e">
        <f t="shared" si="73"/>
        <v>#VALUE!</v>
      </c>
      <c r="BJ37" t="e">
        <f t="shared" si="74"/>
        <v>#VALUE!</v>
      </c>
      <c r="BL37" t="e">
        <f t="shared" si="119"/>
        <v>#VALUE!</v>
      </c>
      <c r="BM37" t="e">
        <f t="shared" si="75"/>
        <v>#VALUE!</v>
      </c>
      <c r="BN37" t="e">
        <f t="shared" si="76"/>
        <v>#VALUE!</v>
      </c>
      <c r="BO37" t="e">
        <f t="shared" si="77"/>
        <v>#VALUE!</v>
      </c>
      <c r="BP37" t="e">
        <f t="shared" si="78"/>
        <v>#VALUE!</v>
      </c>
      <c r="BQ37" t="e">
        <f t="shared" si="79"/>
        <v>#VALUE!</v>
      </c>
      <c r="BR37" t="e">
        <f t="shared" si="80"/>
        <v>#VALUE!</v>
      </c>
      <c r="BT37" t="e">
        <f t="shared" si="120"/>
        <v>#VALUE!</v>
      </c>
      <c r="BU37" t="e">
        <f t="shared" si="81"/>
        <v>#VALUE!</v>
      </c>
      <c r="BV37" t="e">
        <f t="shared" si="82"/>
        <v>#VALUE!</v>
      </c>
      <c r="BW37" t="e">
        <f t="shared" si="83"/>
        <v>#VALUE!</v>
      </c>
      <c r="BX37" t="e">
        <f t="shared" si="84"/>
        <v>#VALUE!</v>
      </c>
      <c r="BY37" t="e">
        <f t="shared" si="85"/>
        <v>#VALUE!</v>
      </c>
      <c r="BZ37" t="e">
        <f t="shared" si="86"/>
        <v>#VALUE!</v>
      </c>
      <c r="CB37" t="e">
        <f t="shared" si="121"/>
        <v>#VALUE!</v>
      </c>
      <c r="CC37" t="e">
        <f t="shared" si="87"/>
        <v>#VALUE!</v>
      </c>
      <c r="CD37" t="e">
        <f t="shared" si="88"/>
        <v>#VALUE!</v>
      </c>
      <c r="CE37" t="e">
        <f t="shared" si="89"/>
        <v>#VALUE!</v>
      </c>
      <c r="CF37" t="e">
        <f t="shared" si="90"/>
        <v>#VALUE!</v>
      </c>
      <c r="CG37" t="e">
        <f t="shared" si="91"/>
        <v>#VALUE!</v>
      </c>
      <c r="CH37" t="e">
        <f t="shared" si="92"/>
        <v>#VALUE!</v>
      </c>
      <c r="CJ37" t="e">
        <f t="shared" si="122"/>
        <v>#VALUE!</v>
      </c>
      <c r="CK37" t="e">
        <f t="shared" si="93"/>
        <v>#VALUE!</v>
      </c>
      <c r="CL37" t="e">
        <f t="shared" si="94"/>
        <v>#VALUE!</v>
      </c>
      <c r="CM37" t="e">
        <f t="shared" si="95"/>
        <v>#VALUE!</v>
      </c>
      <c r="CN37" t="e">
        <f t="shared" si="96"/>
        <v>#VALUE!</v>
      </c>
      <c r="CO37" t="e">
        <f t="shared" si="97"/>
        <v>#VALUE!</v>
      </c>
      <c r="CP37" t="e">
        <f t="shared" si="98"/>
        <v>#VALUE!</v>
      </c>
      <c r="CR37" t="e">
        <f t="shared" si="123"/>
        <v>#VALUE!</v>
      </c>
      <c r="CS37" t="e">
        <f t="shared" si="99"/>
        <v>#VALUE!</v>
      </c>
      <c r="CT37" t="e">
        <f t="shared" si="100"/>
        <v>#VALUE!</v>
      </c>
      <c r="CU37" t="e">
        <f t="shared" si="101"/>
        <v>#VALUE!</v>
      </c>
      <c r="CV37" t="e">
        <f t="shared" si="102"/>
        <v>#VALUE!</v>
      </c>
      <c r="CW37" t="e">
        <f t="shared" si="103"/>
        <v>#VALUE!</v>
      </c>
      <c r="CX37" t="e">
        <f t="shared" si="104"/>
        <v>#VALUE!</v>
      </c>
      <c r="CZ37" t="e">
        <f t="shared" si="124"/>
        <v>#VALUE!</v>
      </c>
      <c r="DA37" t="e">
        <f t="shared" si="105"/>
        <v>#VALUE!</v>
      </c>
      <c r="DB37" t="e">
        <f t="shared" si="106"/>
        <v>#VALUE!</v>
      </c>
      <c r="DC37" t="e">
        <f t="shared" si="107"/>
        <v>#VALUE!</v>
      </c>
      <c r="DD37" t="e">
        <f t="shared" si="108"/>
        <v>#VALUE!</v>
      </c>
      <c r="DE37" t="e">
        <f t="shared" si="109"/>
        <v>#VALUE!</v>
      </c>
      <c r="DF37" t="e">
        <f t="shared" si="110"/>
        <v>#VALUE!</v>
      </c>
      <c r="DH37" t="e">
        <f>IF(OR(ROW()-4&gt;INDEX($U$4:$U$11,$AC$2+1,1)-INDEX($U$4:$U$11,$AC$2,1),ROW()-4&gt;$AD$2),NA(),COUNTIF(INDEX($BL$5:$BR$50,INDEX($U$4:$U$11,1,1),$AC$2):INDEX($BL$5:$BR$50,INDEX($U$4:$U$11,1,1)+ROW()-5,$AC$2),DH$3))</f>
        <v>#N/A</v>
      </c>
      <c r="DI37" t="e">
        <f>IF(OR(ROW()-4&gt;INDEX($U$4:$U$11,$AC$2+1,1)-INDEX($U$4:$U$11,$AC$2,1),ROW()-4&gt;$AD$2),NA(),COUNTIF(INDEX($BL$5:$BR$50,INDEX($U$4:$U$11,1,1),$AC$2):INDEX($BL$5:$BR$50,INDEX($U$4:$U$11,1,1)+ROW()-5,$AC$2),DI$3))</f>
        <v>#N/A</v>
      </c>
      <c r="DJ37" t="e">
        <f>IF(OR(ROW()-4&gt;INDEX($U$4:$U$11,$AC$2+1,1)-INDEX($U$4:$U$11,$AC$2,1),ROW()-4&gt;$AD$2),NA(),COUNTIF(INDEX($BL$5:$BR$50,INDEX($U$4:$U$11,1,1),$AC$2):INDEX($BL$5:$BR$50,INDEX($U$4:$U$11,1,1)+ROW()-5,$AC$2),DJ$3))</f>
        <v>#N/A</v>
      </c>
      <c r="DL37" t="e">
        <f>IF(OR(ROW()-4&gt;INDEX($U$4:$U$11,$AC$2+1,1)-INDEX($U$4:$U$11,$AC$2,1),ROW()-4&gt;$AD$2),NA(),COUNTIF(INDEX($BL$5:$BR$50,INDEX($U$4:$U$11,1,1),$AC$2):INDEX($BL$5:$BR$50,INDEX($U$4:$U$11,1,1)+ROW()-5,$AC$2),DL$3))</f>
        <v>#N/A</v>
      </c>
      <c r="DM37" t="e">
        <f>IF(OR(ROW()-4&gt;INDEX($U$4:$U$11,$AC$2+1,1)-INDEX($U$4:$U$11,$AC$2,1),ROW()-4&gt;$AD$2),NA(),COUNTIF(INDEX($BL$5:$BR$50,INDEX($U$4:$U$11,1,1),$AC$2):INDEX($BL$5:$BR$50,INDEX($U$4:$U$11,1,1)+ROW()-5,$AC$2),DM$3))</f>
        <v>#N/A</v>
      </c>
      <c r="DN37" t="e">
        <f>IF(OR(ROW()-4&gt;INDEX($U$4:$U$11,$AC$2+1,1)-INDEX($U$4:$U$11,$AC$2,1),ROW()-4&gt;$AD$2),NA(),COUNTIF(INDEX($BL$5:$BR$50,INDEX($U$4:$U$11,1,1),$AC$2):INDEX($BL$5:$BR$50,INDEX($U$4:$U$11,1,1)+ROW()-5,$AC$2),DN$3))</f>
        <v>#N/A</v>
      </c>
      <c r="DP37" t="e">
        <f>IF(OR(ROW()-4&gt;INDEX($U$4:$U$11,$AC$2+1,1)-INDEX($U$4:$U$11,$AC$2,1),ROW()-4&gt;$AD$2),NA(),COUNTIF(INDEX($BT$5:$BZ$201,INDEX($U$4:$U$11,1,1),$AC$2):INDEX($BT$5:$BZ$201,INDEX($U$4:$U$11,1,1)+ROW()-5,$AC$2),DP$3))</f>
        <v>#N/A</v>
      </c>
      <c r="DQ37" t="e">
        <f>IF(OR(ROW()-4&gt;INDEX($U$4:$U$11,$AC$2+1,1)-INDEX($U$4:$U$11,$AC$2,1),ROW()-4&gt;$AD$2),NA(),COUNTIF(INDEX($BT$5:$BZ$201,INDEX($U$4:$U$11,1,1),$AC$2):INDEX($BT$5:$BZ$201,INDEX($U$4:$U$11,1,1)+ROW()-5,$AC$2),DQ$3))</f>
        <v>#N/A</v>
      </c>
      <c r="DS37" t="e">
        <f>IF(OR(ROW()-4&gt;INDEX($U$4:$U$11,$AC$2+1,1)-INDEX($U$4:$U$11,$AC$2,1),ROW()-4&gt;$AD$2),NA(),COUNTIF(INDEX($BT$5:$BZ$201,INDEX($U$4:$U$11,1,1),$AC$2):INDEX($BT$5:$BZ$201,INDEX($U$4:$U$11,1,1)+ROW()-5,$AC$2),DS$3))</f>
        <v>#N/A</v>
      </c>
      <c r="DT37" t="e">
        <f>IF(OR(ROW()-4&gt;INDEX($U$4:$U$11,$AC$2+1,1)-INDEX($U$4:$U$11,$AC$2,1),ROW()-4&gt;$AD$2),NA(),COUNTIF(INDEX($BT$5:$BZ$201,INDEX($U$4:$U$11,1,1),$AC$2):INDEX($BT$5:$BZ$201,INDEX($U$4:$U$11,1,1)+ROW()-5,$AC$2),DT$3))</f>
        <v>#N/A</v>
      </c>
      <c r="DV37" t="e">
        <f>IF(OR(ROW()-4&gt;INDEX($U$4:$U$11,$AC$2+1,1)-INDEX($U$4:$U$11,$AC$2,1),ROW()-4&gt;$AD$2),NA(),COUNTIF(INDEX($CB$5:$CH$201,INDEX($U$4:$U$11,1,1),$AC$2):INDEX($CB$5:$CH$201,INDEX($U$4:$U$11,1,1)+ROW()-5,$AC$2),DV$3))</f>
        <v>#N/A</v>
      </c>
      <c r="DW37" t="e">
        <f>IF(OR(ROW()-4&gt;INDEX($U$4:$U$11,$AC$2+1,1)-INDEX($U$4:$U$11,$AC$2,1),ROW()-4&gt;$AD$2),NA(),COUNTIF(INDEX($CB$5:$CH$201,INDEX($U$4:$U$11,1,1),$AC$2):INDEX($CB$5:$CH$201,INDEX($U$4:$U$11,1,1)+ROW()-5,$AC$2),DW$3))</f>
        <v>#N/A</v>
      </c>
      <c r="DX37" t="e">
        <f>IF(OR(ROW()-4&gt;INDEX($U$4:$U$11,$AC$2+1,1)-INDEX($U$4:$U$11,$AC$2,1),ROW()-4&gt;$AD$2),NA(),COUNTIF(INDEX($CB$5:$CH$201,INDEX($U$4:$U$11,1,1),$AC$2):INDEX($CB$5:$CH$201,INDEX($U$4:$U$11,1,1)+ROW()-5,$AC$2),DX$3))</f>
        <v>#N/A</v>
      </c>
      <c r="DY37" t="e">
        <f>IF(OR(ROW()-4&gt;INDEX($U$4:$U$11,$AC$2+1,1)-INDEX($U$4:$U$11,$AC$2,1),ROW()-4&gt;$AD$2),NA(),COUNTIF(INDEX($CB$5:$CH$201,INDEX($U$4:$U$11,1,1),$AC$2):INDEX($CB$5:$CH$201,INDEX($U$4:$U$11,1,1)+ROW()-5,$AC$2),DY$3))</f>
        <v>#N/A</v>
      </c>
      <c r="DZ37" t="e">
        <f>IF(OR(ROW()-4&gt;INDEX($U$4:$U$11,$AC$2+1,1)-INDEX($U$4:$U$11,$AC$2,1),ROW()-4&gt;$AD$2),NA(),COUNTIF(INDEX($CB$5:$CH$201,INDEX($U$4:$U$11,1,1),$AC$2):INDEX($CB$5:$CH$201,INDEX($U$4:$U$11,1,1)+ROW()-5,$AC$2),DZ$3))</f>
        <v>#N/A</v>
      </c>
      <c r="EA37" t="e">
        <f>IF(OR(ROW()-4&gt;INDEX($U$4:$U$11,$AC$2+1,1)-INDEX($U$4:$U$11,$AC$2,1),ROW()-4&gt;$AD$2),NA(),COUNTIF(INDEX($CB$5:$CH$201,INDEX($U$4:$U$11,1,1),$AC$2):INDEX($CB$5:$CH$201,INDEX($U$4:$U$11,1,1)+ROW()-5,$AC$2),EA$3))</f>
        <v>#N/A</v>
      </c>
      <c r="EB37" t="e">
        <f>IF(OR(ROW()-4&gt;INDEX($U$4:$U$11,$AC$2+1,1)-INDEX($U$4:$U$11,$AC$2,1),ROW()-4&gt;$AD$2),NA(),COUNTIF(INDEX($CB$5:$CH$201,INDEX($U$4:$U$11,1,1),$AC$2):INDEX($CB$5:$CH$201,INDEX($U$4:$U$11,1,1)+ROW()-5,$AC$2),EB$3))</f>
        <v>#N/A</v>
      </c>
      <c r="EC37" t="e">
        <f>IF(OR(ROW()-4&gt;INDEX($U$4:$U$11,$AC$2+1,1)-INDEX($U$4:$U$11,$AC$2,1),ROW()-4&gt;$AD$2),NA(),COUNTIF(INDEX($CB$5:$CH$201,INDEX($U$4:$U$11,1,1),$AC$2):INDEX($CB$5:$CH$201,INDEX($U$4:$U$11,1,1)+ROW()-5,$AC$2),EC$3))</f>
        <v>#N/A</v>
      </c>
      <c r="EE37" t="e">
        <f>IF(OR(ROW()-4&gt;INDEX($U$4:$U$11,$AC$2+1,1)-INDEX($U$4:$U$11,$AC$2,1),ROW()-4&gt;$AD$2),NA(),COUNTIF(INDEX($CB$5:$CH$201,INDEX($U$4:$U$11,1,1),$AC$2):INDEX($CB$5:$CH$201,INDEX($U$4:$U$11,1,1)+ROW()-5,$AC$2),EE$3))</f>
        <v>#N/A</v>
      </c>
      <c r="EF37" t="e">
        <f>IF(OR(ROW()-4&gt;INDEX($U$4:$U$11,$AC$2+1,1)-INDEX($U$4:$U$11,$AC$2,1),ROW()-4&gt;$AD$2),NA(),COUNTIF(INDEX($CB$5:$CH$201,INDEX($U$4:$U$11,1,1),$AC$2):INDEX($CB$5:$CH$201,INDEX($U$4:$U$11,1,1)+ROW()-5,$AC$2),EF$3))</f>
        <v>#N/A</v>
      </c>
      <c r="EG37" t="e">
        <f>IF(OR(ROW()-4&gt;INDEX($U$4:$U$11,$AC$2+1,1)-INDEX($U$4:$U$11,$AC$2,1),ROW()-4&gt;$AD$2),NA(),COUNTIF(INDEX($CB$5:$CH$201,INDEX($U$4:$U$11,1,1),$AC$2):INDEX($CB$5:$CH$201,INDEX($U$4:$U$11,1,1)+ROW()-5,$AC$2),EG$3))</f>
        <v>#N/A</v>
      </c>
      <c r="EH37" t="e">
        <f>IF(OR(ROW()-4&gt;INDEX($U$4:$U$11,$AC$2+1,1)-INDEX($U$4:$U$11,$AC$2,1),ROW()-4&gt;$AD$2),NA(),COUNTIF(INDEX($CB$5:$CH$201,INDEX($U$4:$U$11,1,1),$AC$2):INDEX($CB$5:$CH$201,INDEX($U$4:$U$11,1,1)+ROW()-5,$AC$2),EH$3))</f>
        <v>#N/A</v>
      </c>
      <c r="EI37" t="e">
        <f>IF(OR(ROW()-4&gt;INDEX($U$4:$U$11,$AC$2+1,1)-INDEX($U$4:$U$11,$AC$2,1),ROW()-4&gt;$AD$2),NA(),COUNTIF(INDEX($CB$5:$CH$201,INDEX($U$4:$U$11,1,1),$AC$2):INDEX($CB$5:$CH$201,INDEX($U$4:$U$11,1,1)+ROW()-5,$AC$2),EI$3))</f>
        <v>#N/A</v>
      </c>
      <c r="EJ37" t="e">
        <f>IF(OR(ROW()-4&gt;INDEX($U$4:$U$11,$AC$2+1,1)-INDEX($U$4:$U$11,$AC$2,1),ROW()-4&gt;$AD$2),NA(),COUNTIF(INDEX($CB$5:$CH$201,INDEX($U$4:$U$11,1,1),$AC$2):INDEX($CB$5:$CH$201,INDEX($U$4:$U$11,1,1)+ROW()-5,$AC$2),EJ$3))</f>
        <v>#N/A</v>
      </c>
      <c r="EK37" t="e">
        <f>IF(OR(ROW()-4&gt;INDEX($U$4:$U$11,$AC$2+1,1)-INDEX($U$4:$U$11,$AC$2,1),ROW()-4&gt;$AD$2),NA(),COUNTIF(INDEX($CB$5:$CH$201,INDEX($U$4:$U$11,1,1),$AC$2):INDEX($CB$5:$CH$201,INDEX($U$4:$U$11,1,1)+ROW()-5,$AC$2),EK$3))</f>
        <v>#N/A</v>
      </c>
      <c r="EL37" t="e">
        <f>IF(OR(ROW()-4&gt;INDEX($U$4:$U$11,$AC$2+1,1)-INDEX($U$4:$U$11,$AC$2,1),ROW()-4&gt;$AD$2),NA(),COUNTIF(INDEX($CB$5:$CH$201,INDEX($U$4:$U$11,1,1),$AC$2):INDEX($CB$5:$CH$201,INDEX($U$4:$U$11,1,1)+ROW()-5,$AC$2),EL$3))</f>
        <v>#N/A</v>
      </c>
      <c r="EN37" t="e">
        <f>IF(OR(ROW()-4&gt;INDEX($U$4:$U$11,$AC$2+1,1)-INDEX($U$4:$U$11,$AC$2,1),ROW()-4&gt;$AD$2),NA(),COUNTIF(INDEX($CJ$5:$CP$201,INDEX($U$4:$U$11,1,1),$AC$2):INDEX($CJ$5:$CP$201,INDEX($U$4:$U$11,1,1)+ROW()-5,$AC$2),EN$3))</f>
        <v>#N/A</v>
      </c>
      <c r="EO37" t="e">
        <f>IF(OR(ROW()-4&gt;INDEX($U$4:$U$11,$AC$2+1,1)-INDEX($U$4:$U$11,$AC$2,1),ROW()-4&gt;$AD$2),NA(),COUNTIF(INDEX($CJ$5:$CP$201,INDEX($U$4:$U$11,1,1),$AC$2):INDEX($CJ$5:$CP$201,INDEX($U$4:$U$11,1,1)+ROW()-5,$AC$2),EO$3))</f>
        <v>#N/A</v>
      </c>
      <c r="EQ37" t="e">
        <f>IF(OR(ROW()-4&gt;INDEX($U$4:$U$11,$AC$2+1,1)-INDEX($U$4:$U$11,$AC$2,1),ROW()-4&gt;$AD$2),NA(),COUNTIF(INDEX($CJ$5:$CP$201,INDEX($U$4:$U$11,1,1),$AC$2):INDEX($CJ$5:$CP$201,INDEX($U$4:$U$11,1,1)+ROW()-5,$AC$2),EQ$3))</f>
        <v>#N/A</v>
      </c>
      <c r="ER37" t="e">
        <f>IF(OR(ROW()-4&gt;INDEX($U$4:$U$11,$AC$2+1,1)-INDEX($U$4:$U$11,$AC$2,1),ROW()-4&gt;$AD$2),NA(),COUNTIF(INDEX($CJ$5:$CP$201,INDEX($U$4:$U$11,1,1),$AC$2):INDEX($CJ$5:$CP$201,INDEX($U$4:$U$11,1,1)+ROW()-5,$AC$2),ER$3))</f>
        <v>#N/A</v>
      </c>
      <c r="ET37" t="e">
        <f>IF(OR(ROW()-4&gt;INDEX($U$4:$U$11,$AC$2+1,1)-INDEX($U$4:$U$11,$AC$2,1),ROW()-4&gt;$AD$2),NA(),COUNTIF(INDEX($CR$5:$CX$201,INDEX($U$4:$U$11,1,1),$AC$2):INDEX($CR$5:$CX$201,INDEX($U$4:$U$11,1,1)+ROW()-5,$AC$2),ET$3))</f>
        <v>#N/A</v>
      </c>
      <c r="EU37" t="e">
        <f>IF(OR(ROW()-4&gt;INDEX($U$4:$U$11,$AC$2+1,1)-INDEX($U$4:$U$11,$AC$2,1),ROW()-4&gt;$AD$2),NA(),COUNTIF(INDEX($CR$5:$CX$201,INDEX($U$4:$U$11,1,1),$AC$2):INDEX($CR$5:$CX$201,INDEX($U$4:$U$11,1,1)+ROW()-5,$AC$2),EU$3))</f>
        <v>#N/A</v>
      </c>
      <c r="EV37" t="e">
        <f>IF(OR(ROW()-4&gt;INDEX($U$4:$U$11,$AC$2+1,1)-INDEX($U$4:$U$11,$AC$2,1),ROW()-4&gt;$AD$2),NA(),COUNTIF(INDEX($CR$5:$CX$201,INDEX($U$4:$U$11,1,1),$AC$2):INDEX($CR$5:$CX$201,INDEX($U$4:$U$11,1,1)+ROW()-5,$AC$2),EV$3))</f>
        <v>#N/A</v>
      </c>
      <c r="EW37" t="e">
        <f>IF(OR(ROW()-4&gt;INDEX($U$4:$U$11,$AC$2+1,1)-INDEX($U$4:$U$11,$AC$2,1),ROW()-4&gt;$AD$2),NA(),COUNTIF(INDEX($CR$5:$CX$201,INDEX($U$4:$U$11,1,1),$AC$2):INDEX($CR$5:$CX$201,INDEX($U$4:$U$11,1,1)+ROW()-5,$AC$2),EW$3))</f>
        <v>#N/A</v>
      </c>
      <c r="EX37" t="e">
        <f>IF(OR(ROW()-4&gt;INDEX($U$4:$U$11,$AC$2+1,1)-INDEX($U$4:$U$11,$AC$2,1),ROW()-4&gt;$AD$2),NA(),COUNTIF(INDEX($CR$5:$CX$201,INDEX($U$4:$U$11,1,1),$AC$2):INDEX($CR$5:$CX$201,INDEX($U$4:$U$11,1,1)+ROW()-5,$AC$2),EX$3))</f>
        <v>#N/A</v>
      </c>
      <c r="EY37" t="e">
        <f>IF(OR(ROW()-4&gt;INDEX($U$4:$U$11,$AC$2+1,1)-INDEX($U$4:$U$11,$AC$2,1),ROW()-4&gt;$AD$2),NA(),COUNTIF(INDEX($CR$5:$CX$201,INDEX($U$4:$U$11,1,1),$AC$2):INDEX($CR$5:$CX$201,INDEX($U$4:$U$11,1,1)+ROW()-5,$AC$2),EY$3))</f>
        <v>#N/A</v>
      </c>
      <c r="EZ37" t="e">
        <f>IF(OR(ROW()-4&gt;INDEX($U$4:$U$11,$AC$2+1,1)-INDEX($U$4:$U$11,$AC$2,1),ROW()-4&gt;$AD$2),NA(),COUNTIF(INDEX($CR$5:$CX$201,INDEX($U$4:$U$11,1,1),$AC$2):INDEX($CR$5:$CX$201,INDEX($U$4:$U$11,1,1)+ROW()-5,$AC$2),EZ$3))</f>
        <v>#N/A</v>
      </c>
      <c r="FA37" t="e">
        <f>IF(OR(ROW()-4&gt;INDEX($U$4:$U$11,$AC$2+1,1)-INDEX($U$4:$U$11,$AC$2,1),ROW()-4&gt;$AD$2),NA(),COUNTIF(INDEX($CR$5:$CX$201,INDEX($U$4:$U$11,1,1),$AC$2):INDEX($CR$5:$CX$201,INDEX($U$4:$U$11,1,1)+ROW()-5,$AC$2),FA$3))</f>
        <v>#N/A</v>
      </c>
      <c r="FC37" t="e">
        <f>IF(OR(ROW()-4&gt;INDEX($U$4:$U$11,$AC$2+1,1)-INDEX($U$4:$U$11,$AC$2,1),ROW()-4&gt;$AD$2),NA(),COUNTIF(INDEX($CR$5:$CX$201,INDEX($U$4:$U$11,1,1),$AC$2):INDEX($CR$5:$CX$201,INDEX($U$4:$U$11,1,1)+ROW()-5,$AC$2),FC$3))</f>
        <v>#N/A</v>
      </c>
      <c r="FD37" t="e">
        <f>IF(OR(ROW()-4&gt;INDEX($U$4:$U$11,$AC$2+1,1)-INDEX($U$4:$U$11,$AC$2,1),ROW()-4&gt;$AD$2),NA(),COUNTIF(INDEX($CR$5:$CX$201,INDEX($U$4:$U$11,1,1),$AC$2):INDEX($CR$5:$CX$201,INDEX($U$4:$U$11,1,1)+ROW()-5,$AC$2),FD$3))</f>
        <v>#N/A</v>
      </c>
      <c r="FE37" t="e">
        <f>IF(OR(ROW()-4&gt;INDEX($U$4:$U$11,$AC$2+1,1)-INDEX($U$4:$U$11,$AC$2,1),ROW()-4&gt;$AD$2),NA(),COUNTIF(INDEX($CR$5:$CX$201,INDEX($U$4:$U$11,1,1),$AC$2):INDEX($CR$5:$CX$201,INDEX($U$4:$U$11,1,1)+ROW()-5,$AC$2),FE$3))</f>
        <v>#N/A</v>
      </c>
      <c r="FF37" t="e">
        <f>IF(OR(ROW()-4&gt;INDEX($U$4:$U$11,$AC$2+1,1)-INDEX($U$4:$U$11,$AC$2,1),ROW()-4&gt;$AD$2),NA(),COUNTIF(INDEX($CR$5:$CX$201,INDEX($U$4:$U$11,1,1),$AC$2):INDEX($CR$5:$CX$201,INDEX($U$4:$U$11,1,1)+ROW()-5,$AC$2),FF$3))</f>
        <v>#N/A</v>
      </c>
      <c r="FG37" t="e">
        <f>IF(OR(ROW()-4&gt;INDEX($U$4:$U$11,$AC$2+1,1)-INDEX($U$4:$U$11,$AC$2,1),ROW()-4&gt;$AD$2),NA(),COUNTIF(INDEX($CR$5:$CX$201,INDEX($U$4:$U$11,1,1),$AC$2):INDEX($CR$5:$CX$201,INDEX($U$4:$U$11,1,1)+ROW()-5,$AC$2),FG$3))</f>
        <v>#N/A</v>
      </c>
      <c r="FH37" t="e">
        <f>IF(OR(ROW()-4&gt;INDEX($U$4:$U$11,$AC$2+1,1)-INDEX($U$4:$U$11,$AC$2,1),ROW()-4&gt;$AD$2),NA(),COUNTIF(INDEX($CR$5:$CX$201,INDEX($U$4:$U$11,1,1),$AC$2):INDEX($CR$5:$CX$201,INDEX($U$4:$U$11,1,1)+ROW()-5,$AC$2),FH$3))</f>
        <v>#N/A</v>
      </c>
      <c r="FI37" t="e">
        <f>IF(OR(ROW()-4&gt;INDEX($U$4:$U$11,$AC$2+1,1)-INDEX($U$4:$U$11,$AC$2,1),ROW()-4&gt;$AD$2),NA(),COUNTIF(INDEX($CR$5:$CX$201,INDEX($U$4:$U$11,1,1),$AC$2):INDEX($CR$5:$CX$201,INDEX($U$4:$U$11,1,1)+ROW()-5,$AC$2),FI$3))</f>
        <v>#N/A</v>
      </c>
      <c r="FJ37" t="e">
        <f>IF(OR(ROW()-4&gt;INDEX($U$4:$U$11,$AC$2+1,1)-INDEX($U$4:$U$11,$AC$2,1),ROW()-4&gt;$AD$2),NA(),COUNTIF(INDEX($CR$5:$CX$201,INDEX($U$4:$U$11,1,1),$AC$2):INDEX($CR$5:$CX$201,INDEX($U$4:$U$11,1,1)+ROW()-5,$AC$2),FJ$3))</f>
        <v>#N/A</v>
      </c>
      <c r="FL37" t="e">
        <f>IF(OR(ROW()-4&gt;INDEX($U$4:$U$11,$AC$2+1,1)-INDEX($U$4:$U$11,$AC$2,1),ROW()-4&gt;$AD$2),NA(),COUNTIF(INDEX($CZ$5:$DF$201,INDEX($U$4:$U$11,1,1),$AC$2):INDEX($CZ$5:$DF$201,INDEX($U$4:$U$11,1,1)+ROW()-5,$AC$2),FL$3))</f>
        <v>#N/A</v>
      </c>
      <c r="FM37" t="e">
        <f>IF(OR(ROW()-4&gt;INDEX($U$4:$U$11,$AC$2+1,1)-INDEX($U$4:$U$11,$AC$2,1),ROW()-4&gt;$AD$2),NA(),COUNTIF(INDEX($CZ$5:$DF$201,INDEX($U$4:$U$11,1,1),$AC$2):INDEX($CZ$5:$DF$201,INDEX($U$4:$U$11,1,1)+ROW()-5,$AC$2),FM$3))</f>
        <v>#N/A</v>
      </c>
      <c r="FN37" t="e">
        <f>IF(OR(ROW()-4&gt;INDEX($U$4:$U$11,$AC$2+1,1)-INDEX($U$4:$U$11,$AC$2,1),ROW()-4&gt;$AD$2),NA(),COUNTIF(INDEX($CZ$5:$DF$201,INDEX($U$4:$U$11,1,1),$AC$2):INDEX($CZ$5:$DF$201,INDEX($U$4:$U$11,1,1)+ROW()-5,$AC$2),FN$3))</f>
        <v>#N/A</v>
      </c>
      <c r="FO37" t="e">
        <f>IF(OR(ROW()-4&gt;INDEX($U$4:$U$11,$AC$2+1,1)-INDEX($U$4:$U$11,$AC$2,1),ROW()-4&gt;$AD$2),NA(),COUNTIF(INDEX($CZ$5:$DF$201,INDEX($U$4:$U$11,1,1),$AC$2):INDEX($CZ$5:$DF$201,INDEX($U$4:$U$11,1,1)+ROW()-5,$AC$2),FO$3))</f>
        <v>#N/A</v>
      </c>
      <c r="FP37" t="e">
        <f>IF(OR(ROW()-4&gt;INDEX($U$4:$U$11,$AC$2+1,1)-INDEX($U$4:$U$11,$AC$2,1),ROW()-4&gt;$AD$2),NA(),COUNTIF(INDEX($CZ$5:$DF$201,INDEX($U$4:$U$11,1,1),$AC$2):INDEX($CZ$5:$DF$201,INDEX($U$4:$U$11,1,1)+ROW()-5,$AC$2),FP$3))</f>
        <v>#N/A</v>
      </c>
      <c r="FQ37" t="e">
        <f>IF(OR(ROW()-4&gt;INDEX($U$4:$U$11,$AC$2+1,1)-INDEX($U$4:$U$11,$AC$2,1),ROW()-4&gt;$AD$2),NA(),COUNTIF(INDEX($CZ$5:$DF$201,INDEX($U$4:$U$11,1,1),$AC$2):INDEX($CZ$5:$DF$201,INDEX($U$4:$U$11,1,1)+ROW()-5,$AC$2),FQ$3))</f>
        <v>#N/A</v>
      </c>
      <c r="FR37" t="e">
        <f>IF(OR(ROW()-4&gt;INDEX($U$4:$U$11,$AC$2+1,1)-INDEX($U$4:$U$11,$AC$2,1),ROW()-4&gt;$AD$2),NA(),COUNTIF(INDEX($CZ$5:$DF$201,INDEX($U$4:$U$11,1,1),$AC$2):INDEX($CZ$5:$DF$201,INDEX($U$4:$U$11,1,1)+ROW()-5,$AC$2),FR$3))</f>
        <v>#N/A</v>
      </c>
      <c r="FS37" t="e">
        <f>IF(OR(ROW()-4&gt;INDEX($U$4:$U$11,$AC$2+1,1)-INDEX($U$4:$U$11,$AC$2,1),ROW()-4&gt;$AD$2),NA(),COUNTIF(INDEX($CZ$5:$DF$201,INDEX($U$4:$U$11,1,1),$AC$2):INDEX($CZ$5:$DF$201,INDEX($U$4:$U$11,1,1)+ROW()-5,$AC$2),FS$3))</f>
        <v>#N/A</v>
      </c>
      <c r="FT37" t="e">
        <f>IF(OR(ROW()-4&gt;INDEX($U$4:$U$11,$AC$2+1,1)-INDEX($U$4:$U$11,$AC$2,1),ROW()-4&gt;$AD$2),NA(),COUNTIF(INDEX($CZ$5:$DF$201,INDEX($U$4:$U$11,1,1),$AC$2):INDEX($CZ$5:$DF$201,INDEX($U$4:$U$11,1,1)+ROW()-5,$AC$2),FT$3))</f>
        <v>#N/A</v>
      </c>
      <c r="FU37" t="e">
        <f>IF(OR(ROW()-4&gt;INDEX($U$4:$U$11,$AC$2+1,1)-INDEX($U$4:$U$11,$AC$2,1),ROW()-4&gt;$AD$2),NA(),COUNTIF(INDEX($CZ$5:$DF$201,INDEX($U$4:$U$11,1,1),$AC$2):INDEX($CZ$5:$DF$201,INDEX($U$4:$U$11,1,1)+ROW()-5,$AC$2),FU$3))</f>
        <v>#N/A</v>
      </c>
      <c r="FW37" t="e">
        <f>IF(OR(ROW()-4&gt;INDEX($U$4:$U$11,$AC$2+1,1)-INDEX($U$4:$U$11,$AC$2,1),ROW()-4&gt;$AD$2),NA(),COUNTIF(INDEX($CZ$5:$DF$201,INDEX($U$4:$U$11,1,1),$AC$2):INDEX($CZ$5:$DF$201,INDEX($U$4:$U$11,1,1)+ROW()-5,$AC$2),FW$3))</f>
        <v>#N/A</v>
      </c>
      <c r="FX37" t="e">
        <f>IF(OR(ROW()-4&gt;INDEX($U$4:$U$11,$AC$2+1,1)-INDEX($U$4:$U$11,$AC$2,1),ROW()-4&gt;$AD$2),NA(),COUNTIF(INDEX($CZ$5:$DF$201,INDEX($U$4:$U$11,1,1),$AC$2):INDEX($CZ$5:$DF$201,INDEX($U$4:$U$11,1,1)+ROW()-5,$AC$2),FX$3))</f>
        <v>#N/A</v>
      </c>
      <c r="FY37" t="e">
        <f>IF(OR(ROW()-4&gt;INDEX($U$4:$U$11,$AC$2+1,1)-INDEX($U$4:$U$11,$AC$2,1),ROW()-4&gt;$AD$2),NA(),COUNTIF(INDEX($CZ$5:$DF$201,INDEX($U$4:$U$11,1,1),$AC$2):INDEX($CZ$5:$DF$201,INDEX($U$4:$U$11,1,1)+ROW()-5,$AC$2),FY$3))</f>
        <v>#N/A</v>
      </c>
      <c r="FZ37" t="e">
        <f>IF(OR(ROW()-4&gt;INDEX($U$4:$U$11,$AC$2+1,1)-INDEX($U$4:$U$11,$AC$2,1),ROW()-4&gt;$AD$2),NA(),COUNTIF(INDEX($CZ$5:$DF$201,INDEX($U$4:$U$11,1,1),$AC$2):INDEX($CZ$5:$DF$201,INDEX($U$4:$U$11,1,1)+ROW()-5,$AC$2),FZ$3))</f>
        <v>#N/A</v>
      </c>
      <c r="GA37" t="e">
        <f>IF(OR(ROW()-4&gt;INDEX($U$4:$U$11,$AC$2+1,1)-INDEX($U$4:$U$11,$AC$2,1),ROW()-4&gt;$AD$2),NA(),COUNTIF(INDEX($CZ$5:$DF$201,INDEX($U$4:$U$11,1,1),$AC$2):INDEX($CZ$5:$DF$201,INDEX($U$4:$U$11,1,1)+ROW()-5,$AC$2),GA$3))</f>
        <v>#N/A</v>
      </c>
      <c r="GB37" t="e">
        <f>IF(OR(ROW()-4&gt;INDEX($U$4:$U$11,$AC$2+1,1)-INDEX($U$4:$U$11,$AC$2,1),ROW()-4&gt;$AD$2),NA(),COUNTIF(INDEX($CZ$5:$DF$201,INDEX($U$4:$U$11,1,1),$AC$2):INDEX($CZ$5:$DF$201,INDEX($U$4:$U$11,1,1)+ROW()-5,$AC$2),GB$3))</f>
        <v>#N/A</v>
      </c>
      <c r="GC37" t="e">
        <f>IF(OR(ROW()-4&gt;INDEX($U$4:$U$11,$AC$2+1,1)-INDEX($U$4:$U$11,$AC$2,1),ROW()-4&gt;$AD$2),NA(),COUNTIF(INDEX($CZ$5:$DF$201,INDEX($U$4:$U$11,1,1),$AC$2):INDEX($CZ$5:$DF$201,INDEX($U$4:$U$11,1,1)+ROW()-5,$AC$2),GC$3))</f>
        <v>#N/A</v>
      </c>
      <c r="GD37" t="e">
        <f>IF(OR(ROW()-4&gt;INDEX($U$4:$U$11,$AC$2+1,1)-INDEX($U$4:$U$11,$AC$2,1),ROW()-4&gt;$AD$2),NA(),COUNTIF(INDEX($CZ$5:$DF$201,INDEX($U$4:$U$11,1,1),$AC$2):INDEX($CZ$5:$DF$201,INDEX($U$4:$U$11,1,1)+ROW()-5,$AC$2),GD$3))</f>
        <v>#N/A</v>
      </c>
      <c r="GE37" t="e">
        <f>IF(OR(ROW()-4&gt;INDEX($U$4:$U$11,$AC$2+1,1)-INDEX($U$4:$U$11,$AC$2,1),ROW()-4&gt;$AD$2),NA(),COUNTIF(INDEX($CZ$5:$DF$201,INDEX($U$4:$U$11,1,1),$AC$2):INDEX($CZ$5:$DF$201,INDEX($U$4:$U$11,1,1)+ROW()-5,$AC$2),GE$3))</f>
        <v>#N/A</v>
      </c>
      <c r="GF37" t="e">
        <f>IF(OR(ROW()-4&gt;INDEX($U$4:$U$11,$AC$2+1,1)-INDEX($U$4:$U$11,$AC$2,1),ROW()-4&gt;$AD$2),NA(),COUNTIF(INDEX($CZ$5:$DF$201,INDEX($U$4:$U$11,1,1),$AC$2):INDEX($CZ$5:$DF$201,INDEX($U$4:$U$11,1,1)+ROW()-5,$AC$2),GF$3))</f>
        <v>#N/A</v>
      </c>
      <c r="GO37" s="16"/>
      <c r="GP37" s="17"/>
      <c r="GQ37" s="17"/>
      <c r="GR37" s="17"/>
      <c r="GS37" s="17"/>
      <c r="GT37" s="17"/>
      <c r="GU37" s="17"/>
      <c r="GV37" s="17"/>
      <c r="GW37" s="17"/>
      <c r="GX37" s="17"/>
      <c r="GY37" s="17"/>
      <c r="GZ37" s="17"/>
      <c r="HA37" s="17"/>
      <c r="HB37" s="17"/>
      <c r="HC37" s="17"/>
      <c r="HD37" s="17"/>
      <c r="HE37" s="17" t="s">
        <v>56</v>
      </c>
      <c r="HF37" s="46">
        <f>EV43</f>
        <v>13</v>
      </c>
      <c r="HG37" s="43"/>
      <c r="HH37" s="59">
        <f>EV93</f>
        <v>2</v>
      </c>
      <c r="HI37" s="59">
        <f t="shared" si="132"/>
        <v>11</v>
      </c>
      <c r="HJ37" s="17"/>
      <c r="HK37" s="17"/>
      <c r="HL37" s="17"/>
      <c r="HM37" s="18"/>
    </row>
    <row r="38" spans="1:221" x14ac:dyDescent="0.45">
      <c r="A38" t="str">
        <f>データの貼付!A36</f>
        <v>KIHARA Miyuu</v>
      </c>
      <c r="B38">
        <f>データの貼付!B36</f>
        <v>9.4222106481481483E-3</v>
      </c>
      <c r="C38">
        <f>データの貼付!C36</f>
        <v>8.5729166666666666E-5</v>
      </c>
      <c r="D38">
        <f>データの貼付!D36</f>
        <v>1.3888888888888889E-3</v>
      </c>
      <c r="E38" t="str">
        <f>データの貼付!F36</f>
        <v>KIHARA Miyuu</v>
      </c>
      <c r="F38">
        <f>データの貼付!E36</f>
        <v>0</v>
      </c>
      <c r="G38" t="str">
        <f>データの貼付!G36</f>
        <v>#07</v>
      </c>
      <c r="H38" t="str">
        <f>データの貼付!H36</f>
        <v>KIHARA Miyuu</v>
      </c>
      <c r="I38" t="str">
        <f>データの貼付!I36</f>
        <v>(Side)</v>
      </c>
      <c r="J38" t="str">
        <f>データの貼付!J36</f>
        <v>B</v>
      </c>
      <c r="K38" t="str">
        <f>データの貼付!K36</f>
        <v>FS</v>
      </c>
      <c r="L38" t="str">
        <f>データの貼付!L36</f>
        <v>B</v>
      </c>
      <c r="M38" t="str">
        <f>データの貼付!M36</f>
        <v>Chiquita</v>
      </c>
      <c r="N38" t="str">
        <f>データの貼付!N36</f>
        <v>F</v>
      </c>
      <c r="R38">
        <f t="shared" si="59"/>
        <v>0</v>
      </c>
      <c r="S38">
        <f>SUM(R$4:R38)</f>
        <v>3</v>
      </c>
      <c r="T38" t="str">
        <f t="shared" si="60"/>
        <v/>
      </c>
      <c r="W38" t="str">
        <f t="shared" si="57"/>
        <v>KIHARA Miyuu_KIHARA Miyuu</v>
      </c>
      <c r="X38" t="str">
        <f t="shared" si="58"/>
        <v>KIHARA Miyuu_#07</v>
      </c>
      <c r="AC38" s="8" t="e">
        <f>IF(OR(ROW()-4&gt;INDEX($U$4:$U$11,AC$2+1)-INDEX($U$4:$U$11,AC$2),ROW()-4&gt;AD$2),NA(),COUNTIF(INDEX($W$4:$W$200,INDEX($U$4:$U$11,AC$2)):INDEX($W$4:$W$200,INDEX($U$4:$U$11,AC$2)+ROW()-5),AC$3&amp;"_"&amp;AC$3)/(COUNTIF(INDEX($W$4:$W$200,INDEX($U$4:$U$11,AC$2)):INDEX($W$4:$W$200,INDEX($U$4:$U$11,AC$2)+ROW()-5),AC$3&amp;"_"&amp;AC$3)+COUNTIF(INDEX($W$4:$W$200,INDEX($U$4:$U$11,AC$2)):INDEX($W$4:$W$200,INDEX($U$4:$U$11,AC$2)+ROW()-5),AD$3&amp;"_"&amp;AC$3)))</f>
        <v>#N/A</v>
      </c>
      <c r="AD38" s="8" t="e">
        <f>IF(OR(ROW()-4&gt;INDEX($U$4:$U$11,AC$2+1)-INDEX($U$4:$U$11,AC$2),ROW()-4&gt;AD$2),NA(),COUNTIF(INDEX($W$4:$W$200,INDEX($U$4:$U$11,AC$2)):INDEX($W$4:$W$200,INDEX($U$4:$U$11,AC$2)+ROW()-5),AD$3&amp;"_"&amp;AD$3)/(COUNTIF(INDEX($W$4:$W$200,INDEX($U$4:$U$11,AC$2)):INDEX($W$4:$W$200,INDEX($U$4:$U$11,AC$2)+ROW()-5),AD$3&amp;"_"&amp;AD$3)+COUNTIF(INDEX($W$4:$W$200,INDEX($U$4:$U$11,AC$2)):INDEX($W$4:$W$200,INDEX($U$4:$U$11,AC$2)+ROW()-5),AC$3&amp;"_"&amp;AD$3)))</f>
        <v>#N/A</v>
      </c>
      <c r="AE38" s="10" t="e">
        <f>IF(OR(ROW()-4&gt;INDEX($U$4:$U$11,AC$2+1)-INDEX($U$4:$U$11,AC$2),ROW()-4&gt;AD$2),NA(),COUNTIF(INDEX($W$4:$W$200,INDEX($U$4:$U$11,AC$2)):INDEX($W$4:$W$200,INDEX($U$4:$U$11,AC$2)+ROW()-5),AC$3&amp;"_"&amp;AD$3)/(COUNTIF(INDEX($W$4:$W$200,INDEX($U$4:$U$11,AC$2)):INDEX($W$4:$W$200,INDEX($U$4:$U$11,AC$2)+ROW()-5),AC$3&amp;"_"&amp;AD$3)+COUNTIF(INDEX($W$4:$W$200,INDEX($U$4:$U$11,AC$2)):INDEX($W$4:$W$200,INDEX($U$4:$U$11,AC$2)+ROW()-5),AD$3&amp;"_"&amp;AD$3)))</f>
        <v>#N/A</v>
      </c>
      <c r="AF38" s="10" t="e">
        <f>IF(OR(ROW()-4&gt;INDEX($U$4:$U$11,AC$2+1)-INDEX($U$4:$U$11,AC$2),ROW()-4&gt;AD$2),NA(),COUNTIF(INDEX($W$4:$W$200,INDEX($U$4:$U$11,AC$2)):INDEX($W$4:$W$200,INDEX($U$4:$U$11,AC$2)+ROW()-5),AD$3&amp;"_"&amp;AC$3)/(COUNTIF(INDEX($W$4:$W$200,INDEX($U$4:$U$11,AC$2)):INDEX($W$4:$W$200,INDEX($U$4:$U$11,AC$2)+ROW()-5),AD$3&amp;"_"&amp;AC$3)+COUNTIF(INDEX($W$4:$W$200,INDEX($U$4:$U$11,AC$2)):INDEX($W$4:$W$200,INDEX($U$4:$U$11,AC$2)+ROW()-5),AC$3&amp;"_"&amp;AC$3)))</f>
        <v>#N/A</v>
      </c>
      <c r="AG38" s="10" t="e">
        <f>IF(OR(ROW()-4&gt;INDEX($U$4:$U$11,AC$2+1)-INDEX($U$4:$U$11,AC$2),ROW()-4&gt;AD$2),NA(),COUNTIF(INDEX($X$4:$X$200,INDEX($U$4:$U$11,AC$2)):INDEX($X$4:$X$200,INDEX($U$4:$U$11,AC$2)+ROW()-5),AC$3&amp;"_#03")/(COUNTIF(INDEX($W$4:$W$200,INDEX($U$4:$U$11,AC$2)):INDEX($W$4:$W$200,INDEX($U$4:$U$11,AC$2)+ROW()-5),AC$3&amp;"_"&amp;AC$3)+COUNTIF(INDEX($W$4:$W$200,INDEX($U$4:$U$11,AC$2)):INDEX($W$4:$W$200,INDEX($U$4:$U$11,AC$2)+ROW()-5),AD$3&amp;"_"&amp;AC$3)))</f>
        <v>#N/A</v>
      </c>
      <c r="AH38" s="10" t="e">
        <f>IF(OR(ROW()-4&gt;INDEX($U$4:$U$11,AC$2+1)-INDEX($U$4:$U$11,AC$2),ROW()-4&gt;AD$2),NA(),COUNTIF(INDEX($X$4:$X$200,INDEX($U$4:$U$11,AC$2)):INDEX($X$4:$X$200,INDEX($U$4:$U$11,AC$2)+ROW()-5),AD$3&amp;"_#03")/(COUNTIF(INDEX($W$4:$W$200,INDEX($U$4:$U$11,AC$2)):INDEX($W$4:$W$200,INDEX($U$4:$U$11,AC$2)+ROW()-5),AD$3&amp;"_"&amp;AD$3)+COUNTIF(INDEX($W$4:$W$200,INDEX($U$4:$U$11,AC$2)):INDEX($W$4:$W$200,INDEX($U$4:$U$11,AC$2)+ROW()-5),AC$3&amp;"_"&amp;AD$3)))</f>
        <v>#N/A</v>
      </c>
      <c r="AI38" s="10" t="e">
        <f>IF(OR(ROW()-4&gt;INDEX($U$4:$U$11,AC$2+1)-INDEX($U$4:$U$11,AC$2),ROW()-4&gt;AD$2),NA(),(COUNTIF(INDEX($X$4:$X$200,INDEX($U$4:$U$11,AC$2)):INDEX($X$4:$X$200,INDEX($U$4:$U$11,AC$2)+ROW()-5),AC$3&amp;"_#03")-COUNTIF(INDEX($X$4:$X$200,INDEX($U$4:$U$11,AC$2)):INDEX($X$4:$X$200,INDEX($U$4:$U$11,AC$2)+ROW()-5),AD$3&amp;"_#02"))/(COUNTIF(INDEX($W$4:$W$200,INDEX($U$4:$U$11,AC$2)):INDEX($W$4:$W$200,INDEX($U$4:$U$11,AC$2)+ROW()-5),AC$3&amp;"_"&amp;AC$3)+COUNTIF(INDEX($W$4:$W$200,INDEX($U$4:$U$11,AC$2)):INDEX($W$4:$W$200,INDEX($U$4:$U$11,AC$2)+ROW()-5),AD$3&amp;"_"&amp;AC$3)))</f>
        <v>#N/A</v>
      </c>
      <c r="AJ38" s="10" t="e">
        <f>IF(OR(ROW()-4&gt;INDEX($U$4:$U$11,AC$2+1)-INDEX($U$4:$U$11,AC$2),ROW()-4&gt;AD$2),NA(),(COUNTIF(INDEX($X$4:$X$200,INDEX($U$4:$U$11,AC$2)):INDEX($X$4:$X$200,INDEX($U$4:$U$11,AC$2)+ROW()-5),AD$3&amp;"_#03")-COUNTIF(INDEX($X$4:$X$200,INDEX($U$4:$U$11,AC$2)):INDEX($X$4:$X$200,INDEX($U$4:$U$11,AC$2)+ROW()-5),AC$3&amp;"_#02"))/(COUNTIF(INDEX($W$4:$W$200,INDEX($U$4:$U$11,AC$2)):INDEX($W$4:$W$200,INDEX($U$4:$U$11,AC$2)+ROW()-5),AD$3&amp;"_"&amp;AD$3)+COUNTIF(INDEX($W$4:$W$200,INDEX($U$4:$U$11,AC$2)):INDEX($W$4:$W$200,INDEX($U$4:$U$11,AC$2)+ROW()-5),AC$3&amp;"_"&amp;AD$3)))</f>
        <v>#N/A</v>
      </c>
      <c r="AK38" s="10" t="e">
        <f>IF(OR(ROW()-4&gt;INDEX($U$4:$U$11,AC$2+1)-INDEX($U$4:$U$11,AC$2),ROW()-4&gt;AD$2),NA(),(COUNTIF(INDEX($X$4:$X$200,INDEX($U$4:$U$11,AC$2)):INDEX($X$4:$X$200,INDEX($U$4:$U$11,AC$2)+ROW()-5),AC$3&amp;"_#01")+COUNTIF(INDEX($X$4:$X$200,INDEX($U$4:$U$11,AC$2)):INDEX($X$4:$X$200,INDEX($U$4:$U$11,AC$2)+ROW()-5),AC$3&amp;"_#03"))/(COUNTIF(INDEX($W$4:$W$200,INDEX($U$4:$U$11,AC$2)):INDEX($W$4:$W$200,INDEX($U$4:$U$11,AC$2)+ROW()-5),AC$3&amp;"_"&amp;AC$3)+COUNTIF(INDEX($W$4:$W$200,INDEX($U$4:$U$11,AC$2)):INDEX($W$4:$W$200,INDEX($U$4:$U$11,AC$2)+ROW()-5),AD$3&amp;"_"&amp;AC$3)))</f>
        <v>#N/A</v>
      </c>
      <c r="AL38" s="10" t="e">
        <f>IF(OR(ROW()-4&gt;INDEX($U$4:$U$11,AC$2+1)-INDEX($U$4:$U$11,AC$2),ROW()-4&gt;AD$2),NA(),(COUNTIF(INDEX($X$4:$X$200,INDEX($U$4:$U$11,AC$2)):INDEX($X$4:$X$200,INDEX($U$4:$U$11,AC$2)+ROW()-5),AD$3&amp;"_#01")+COUNTIF(INDEX($X$4:$X$200,INDEX($U$4:$U$11,AC$2)):INDEX($X$4:$X$200,INDEX($U$4:$U$11,AC$2)+ROW()-5),AD$3&amp;"_#03"))/(COUNTIF(INDEX($W$4:$W$200,INDEX($U$4:$U$11,AC$2)):INDEX($W$4:$W$200,INDEX($U$4:$U$11,AC$2)+ROW()-5),AD$3&amp;"_"&amp;AD$3)+COUNTIF(INDEX($W$4:$W$200,INDEX($U$4:$U$11,AC$2)):INDEX($W$4:$W$200,INDEX($U$4:$U$11,AC$2)+ROW()-5),AC$3&amp;"_"&amp;AD$3)))</f>
        <v>#N/A</v>
      </c>
      <c r="AN38" t="str">
        <f t="shared" si="125"/>
        <v/>
      </c>
      <c r="AO38" t="str">
        <f t="shared" si="111"/>
        <v/>
      </c>
      <c r="AP38" t="str">
        <f t="shared" si="112"/>
        <v/>
      </c>
      <c r="AQ38" t="str">
        <f t="shared" si="113"/>
        <v/>
      </c>
      <c r="AR38" t="str">
        <f t="shared" si="114"/>
        <v/>
      </c>
      <c r="AS38" t="e">
        <f t="shared" si="115"/>
        <v>#VALUE!</v>
      </c>
      <c r="AT38" t="e">
        <f t="shared" si="116"/>
        <v>#VALUE!</v>
      </c>
      <c r="AV38" t="e">
        <f t="shared" si="117"/>
        <v>#VALUE!</v>
      </c>
      <c r="AW38" t="e">
        <f t="shared" si="63"/>
        <v>#VALUE!</v>
      </c>
      <c r="AX38" t="e">
        <f t="shared" si="64"/>
        <v>#VALUE!</v>
      </c>
      <c r="AY38" t="e">
        <f t="shared" si="65"/>
        <v>#VALUE!</v>
      </c>
      <c r="AZ38" t="e">
        <f t="shared" si="66"/>
        <v>#VALUE!</v>
      </c>
      <c r="BA38" t="e">
        <f t="shared" si="67"/>
        <v>#VALUE!</v>
      </c>
      <c r="BB38" t="e">
        <f t="shared" si="68"/>
        <v>#VALUE!</v>
      </c>
      <c r="BD38" t="e">
        <f t="shared" si="118"/>
        <v>#VALUE!</v>
      </c>
      <c r="BE38" t="e">
        <f t="shared" si="69"/>
        <v>#VALUE!</v>
      </c>
      <c r="BF38" t="e">
        <f t="shared" si="70"/>
        <v>#VALUE!</v>
      </c>
      <c r="BG38" t="e">
        <f t="shared" si="71"/>
        <v>#VALUE!</v>
      </c>
      <c r="BH38" t="e">
        <f t="shared" si="72"/>
        <v>#VALUE!</v>
      </c>
      <c r="BI38" t="e">
        <f t="shared" si="73"/>
        <v>#VALUE!</v>
      </c>
      <c r="BJ38" t="e">
        <f t="shared" si="74"/>
        <v>#VALUE!</v>
      </c>
      <c r="BL38" t="e">
        <f t="shared" si="119"/>
        <v>#VALUE!</v>
      </c>
      <c r="BM38" t="e">
        <f t="shared" si="75"/>
        <v>#VALUE!</v>
      </c>
      <c r="BN38" t="e">
        <f t="shared" si="76"/>
        <v>#VALUE!</v>
      </c>
      <c r="BO38" t="e">
        <f t="shared" si="77"/>
        <v>#VALUE!</v>
      </c>
      <c r="BP38" t="e">
        <f t="shared" si="78"/>
        <v>#VALUE!</v>
      </c>
      <c r="BQ38" t="e">
        <f t="shared" si="79"/>
        <v>#VALUE!</v>
      </c>
      <c r="BR38" t="e">
        <f t="shared" si="80"/>
        <v>#VALUE!</v>
      </c>
      <c r="BT38" t="e">
        <f t="shared" si="120"/>
        <v>#VALUE!</v>
      </c>
      <c r="BU38" t="e">
        <f t="shared" si="81"/>
        <v>#VALUE!</v>
      </c>
      <c r="BV38" t="e">
        <f t="shared" si="82"/>
        <v>#VALUE!</v>
      </c>
      <c r="BW38" t="e">
        <f t="shared" si="83"/>
        <v>#VALUE!</v>
      </c>
      <c r="BX38" t="e">
        <f t="shared" si="84"/>
        <v>#VALUE!</v>
      </c>
      <c r="BY38" t="e">
        <f t="shared" si="85"/>
        <v>#VALUE!</v>
      </c>
      <c r="BZ38" t="e">
        <f t="shared" si="86"/>
        <v>#VALUE!</v>
      </c>
      <c r="CB38" t="e">
        <f t="shared" si="121"/>
        <v>#VALUE!</v>
      </c>
      <c r="CC38" t="e">
        <f t="shared" si="87"/>
        <v>#VALUE!</v>
      </c>
      <c r="CD38" t="e">
        <f t="shared" si="88"/>
        <v>#VALUE!</v>
      </c>
      <c r="CE38" t="e">
        <f t="shared" si="89"/>
        <v>#VALUE!</v>
      </c>
      <c r="CF38" t="e">
        <f t="shared" si="90"/>
        <v>#VALUE!</v>
      </c>
      <c r="CG38" t="e">
        <f t="shared" si="91"/>
        <v>#VALUE!</v>
      </c>
      <c r="CH38" t="e">
        <f t="shared" si="92"/>
        <v>#VALUE!</v>
      </c>
      <c r="CJ38" t="e">
        <f t="shared" si="122"/>
        <v>#VALUE!</v>
      </c>
      <c r="CK38" t="e">
        <f t="shared" si="93"/>
        <v>#VALUE!</v>
      </c>
      <c r="CL38" t="e">
        <f t="shared" si="94"/>
        <v>#VALUE!</v>
      </c>
      <c r="CM38" t="e">
        <f t="shared" si="95"/>
        <v>#VALUE!</v>
      </c>
      <c r="CN38" t="e">
        <f t="shared" si="96"/>
        <v>#VALUE!</v>
      </c>
      <c r="CO38" t="e">
        <f t="shared" si="97"/>
        <v>#VALUE!</v>
      </c>
      <c r="CP38" t="e">
        <f t="shared" si="98"/>
        <v>#VALUE!</v>
      </c>
      <c r="CR38" t="e">
        <f t="shared" si="123"/>
        <v>#VALUE!</v>
      </c>
      <c r="CS38" t="e">
        <f t="shared" si="99"/>
        <v>#VALUE!</v>
      </c>
      <c r="CT38" t="e">
        <f t="shared" si="100"/>
        <v>#VALUE!</v>
      </c>
      <c r="CU38" t="e">
        <f t="shared" si="101"/>
        <v>#VALUE!</v>
      </c>
      <c r="CV38" t="e">
        <f t="shared" si="102"/>
        <v>#VALUE!</v>
      </c>
      <c r="CW38" t="e">
        <f t="shared" si="103"/>
        <v>#VALUE!</v>
      </c>
      <c r="CX38" t="e">
        <f t="shared" si="104"/>
        <v>#VALUE!</v>
      </c>
      <c r="CZ38" t="e">
        <f t="shared" si="124"/>
        <v>#VALUE!</v>
      </c>
      <c r="DA38" t="e">
        <f t="shared" si="105"/>
        <v>#VALUE!</v>
      </c>
      <c r="DB38" t="e">
        <f t="shared" si="106"/>
        <v>#VALUE!</v>
      </c>
      <c r="DC38" t="e">
        <f t="shared" si="107"/>
        <v>#VALUE!</v>
      </c>
      <c r="DD38" t="e">
        <f t="shared" si="108"/>
        <v>#VALUE!</v>
      </c>
      <c r="DE38" t="e">
        <f t="shared" si="109"/>
        <v>#VALUE!</v>
      </c>
      <c r="DF38" t="e">
        <f t="shared" si="110"/>
        <v>#VALUE!</v>
      </c>
      <c r="DH38" t="e">
        <f>IF(OR(ROW()-4&gt;INDEX($U$4:$U$11,$AC$2+1,1)-INDEX($U$4:$U$11,$AC$2,1),ROW()-4&gt;$AD$2),NA(),COUNTIF(INDEX($BL$5:$BR$50,INDEX($U$4:$U$11,1,1),$AC$2):INDEX($BL$5:$BR$50,INDEX($U$4:$U$11,1,1)+ROW()-5,$AC$2),DH$3))</f>
        <v>#N/A</v>
      </c>
      <c r="DI38" t="e">
        <f>IF(OR(ROW()-4&gt;INDEX($U$4:$U$11,$AC$2+1,1)-INDEX($U$4:$U$11,$AC$2,1),ROW()-4&gt;$AD$2),NA(),COUNTIF(INDEX($BL$5:$BR$50,INDEX($U$4:$U$11,1,1),$AC$2):INDEX($BL$5:$BR$50,INDEX($U$4:$U$11,1,1)+ROW()-5,$AC$2),DI$3))</f>
        <v>#N/A</v>
      </c>
      <c r="DJ38" t="e">
        <f>IF(OR(ROW()-4&gt;INDEX($U$4:$U$11,$AC$2+1,1)-INDEX($U$4:$U$11,$AC$2,1),ROW()-4&gt;$AD$2),NA(),COUNTIF(INDEX($BL$5:$BR$50,INDEX($U$4:$U$11,1,1),$AC$2):INDEX($BL$5:$BR$50,INDEX($U$4:$U$11,1,1)+ROW()-5,$AC$2),DJ$3))</f>
        <v>#N/A</v>
      </c>
      <c r="DL38" t="e">
        <f>IF(OR(ROW()-4&gt;INDEX($U$4:$U$11,$AC$2+1,1)-INDEX($U$4:$U$11,$AC$2,1),ROW()-4&gt;$AD$2),NA(),COUNTIF(INDEX($BL$5:$BR$50,INDEX($U$4:$U$11,1,1),$AC$2):INDEX($BL$5:$BR$50,INDEX($U$4:$U$11,1,1)+ROW()-5,$AC$2),DL$3))</f>
        <v>#N/A</v>
      </c>
      <c r="DM38" t="e">
        <f>IF(OR(ROW()-4&gt;INDEX($U$4:$U$11,$AC$2+1,1)-INDEX($U$4:$U$11,$AC$2,1),ROW()-4&gt;$AD$2),NA(),COUNTIF(INDEX($BL$5:$BR$50,INDEX($U$4:$U$11,1,1),$AC$2):INDEX($BL$5:$BR$50,INDEX($U$4:$U$11,1,1)+ROW()-5,$AC$2),DM$3))</f>
        <v>#N/A</v>
      </c>
      <c r="DN38" t="e">
        <f>IF(OR(ROW()-4&gt;INDEX($U$4:$U$11,$AC$2+1,1)-INDEX($U$4:$U$11,$AC$2,1),ROW()-4&gt;$AD$2),NA(),COUNTIF(INDEX($BL$5:$BR$50,INDEX($U$4:$U$11,1,1),$AC$2):INDEX($BL$5:$BR$50,INDEX($U$4:$U$11,1,1)+ROW()-5,$AC$2),DN$3))</f>
        <v>#N/A</v>
      </c>
      <c r="DP38" t="e">
        <f>IF(OR(ROW()-4&gt;INDEX($U$4:$U$11,$AC$2+1,1)-INDEX($U$4:$U$11,$AC$2,1),ROW()-4&gt;$AD$2),NA(),COUNTIF(INDEX($BT$5:$BZ$201,INDEX($U$4:$U$11,1,1),$AC$2):INDEX($BT$5:$BZ$201,INDEX($U$4:$U$11,1,1)+ROW()-5,$AC$2),DP$3))</f>
        <v>#N/A</v>
      </c>
      <c r="DQ38" t="e">
        <f>IF(OR(ROW()-4&gt;INDEX($U$4:$U$11,$AC$2+1,1)-INDEX($U$4:$U$11,$AC$2,1),ROW()-4&gt;$AD$2),NA(),COUNTIF(INDEX($BT$5:$BZ$201,INDEX($U$4:$U$11,1,1),$AC$2):INDEX($BT$5:$BZ$201,INDEX($U$4:$U$11,1,1)+ROW()-5,$AC$2),DQ$3))</f>
        <v>#N/A</v>
      </c>
      <c r="DS38" t="e">
        <f>IF(OR(ROW()-4&gt;INDEX($U$4:$U$11,$AC$2+1,1)-INDEX($U$4:$U$11,$AC$2,1),ROW()-4&gt;$AD$2),NA(),COUNTIF(INDEX($BT$5:$BZ$201,INDEX($U$4:$U$11,1,1),$AC$2):INDEX($BT$5:$BZ$201,INDEX($U$4:$U$11,1,1)+ROW()-5,$AC$2),DS$3))</f>
        <v>#N/A</v>
      </c>
      <c r="DT38" t="e">
        <f>IF(OR(ROW()-4&gt;INDEX($U$4:$U$11,$AC$2+1,1)-INDEX($U$4:$U$11,$AC$2,1),ROW()-4&gt;$AD$2),NA(),COUNTIF(INDEX($BT$5:$BZ$201,INDEX($U$4:$U$11,1,1),$AC$2):INDEX($BT$5:$BZ$201,INDEX($U$4:$U$11,1,1)+ROW()-5,$AC$2),DT$3))</f>
        <v>#N/A</v>
      </c>
      <c r="DV38" t="e">
        <f>IF(OR(ROW()-4&gt;INDEX($U$4:$U$11,$AC$2+1,1)-INDEX($U$4:$U$11,$AC$2,1),ROW()-4&gt;$AD$2),NA(),COUNTIF(INDEX($CB$5:$CH$201,INDEX($U$4:$U$11,1,1),$AC$2):INDEX($CB$5:$CH$201,INDEX($U$4:$U$11,1,1)+ROW()-5,$AC$2),DV$3))</f>
        <v>#N/A</v>
      </c>
      <c r="DW38" t="e">
        <f>IF(OR(ROW()-4&gt;INDEX($U$4:$U$11,$AC$2+1,1)-INDEX($U$4:$U$11,$AC$2,1),ROW()-4&gt;$AD$2),NA(),COUNTIF(INDEX($CB$5:$CH$201,INDEX($U$4:$U$11,1,1),$AC$2):INDEX($CB$5:$CH$201,INDEX($U$4:$U$11,1,1)+ROW()-5,$AC$2),DW$3))</f>
        <v>#N/A</v>
      </c>
      <c r="DX38" t="e">
        <f>IF(OR(ROW()-4&gt;INDEX($U$4:$U$11,$AC$2+1,1)-INDEX($U$4:$U$11,$AC$2,1),ROW()-4&gt;$AD$2),NA(),COUNTIF(INDEX($CB$5:$CH$201,INDEX($U$4:$U$11,1,1),$AC$2):INDEX($CB$5:$CH$201,INDEX($U$4:$U$11,1,1)+ROW()-5,$AC$2),DX$3))</f>
        <v>#N/A</v>
      </c>
      <c r="DY38" t="e">
        <f>IF(OR(ROW()-4&gt;INDEX($U$4:$U$11,$AC$2+1,1)-INDEX($U$4:$U$11,$AC$2,1),ROW()-4&gt;$AD$2),NA(),COUNTIF(INDEX($CB$5:$CH$201,INDEX($U$4:$U$11,1,1),$AC$2):INDEX($CB$5:$CH$201,INDEX($U$4:$U$11,1,1)+ROW()-5,$AC$2),DY$3))</f>
        <v>#N/A</v>
      </c>
      <c r="DZ38" t="e">
        <f>IF(OR(ROW()-4&gt;INDEX($U$4:$U$11,$AC$2+1,1)-INDEX($U$4:$U$11,$AC$2,1),ROW()-4&gt;$AD$2),NA(),COUNTIF(INDEX($CB$5:$CH$201,INDEX($U$4:$U$11,1,1),$AC$2):INDEX($CB$5:$CH$201,INDEX($U$4:$U$11,1,1)+ROW()-5,$AC$2),DZ$3))</f>
        <v>#N/A</v>
      </c>
      <c r="EA38" t="e">
        <f>IF(OR(ROW()-4&gt;INDEX($U$4:$U$11,$AC$2+1,1)-INDEX($U$4:$U$11,$AC$2,1),ROW()-4&gt;$AD$2),NA(),COUNTIF(INDEX($CB$5:$CH$201,INDEX($U$4:$U$11,1,1),$AC$2):INDEX($CB$5:$CH$201,INDEX($U$4:$U$11,1,1)+ROW()-5,$AC$2),EA$3))</f>
        <v>#N/A</v>
      </c>
      <c r="EB38" t="e">
        <f>IF(OR(ROW()-4&gt;INDEX($U$4:$U$11,$AC$2+1,1)-INDEX($U$4:$U$11,$AC$2,1),ROW()-4&gt;$AD$2),NA(),COUNTIF(INDEX($CB$5:$CH$201,INDEX($U$4:$U$11,1,1),$AC$2):INDEX($CB$5:$CH$201,INDEX($U$4:$U$11,1,1)+ROW()-5,$AC$2),EB$3))</f>
        <v>#N/A</v>
      </c>
      <c r="EC38" t="e">
        <f>IF(OR(ROW()-4&gt;INDEX($U$4:$U$11,$AC$2+1,1)-INDEX($U$4:$U$11,$AC$2,1),ROW()-4&gt;$AD$2),NA(),COUNTIF(INDEX($CB$5:$CH$201,INDEX($U$4:$U$11,1,1),$AC$2):INDEX($CB$5:$CH$201,INDEX($U$4:$U$11,1,1)+ROW()-5,$AC$2),EC$3))</f>
        <v>#N/A</v>
      </c>
      <c r="EE38" t="e">
        <f>IF(OR(ROW()-4&gt;INDEX($U$4:$U$11,$AC$2+1,1)-INDEX($U$4:$U$11,$AC$2,1),ROW()-4&gt;$AD$2),NA(),COUNTIF(INDEX($CB$5:$CH$201,INDEX($U$4:$U$11,1,1),$AC$2):INDEX($CB$5:$CH$201,INDEX($U$4:$U$11,1,1)+ROW()-5,$AC$2),EE$3))</f>
        <v>#N/A</v>
      </c>
      <c r="EF38" t="e">
        <f>IF(OR(ROW()-4&gt;INDEX($U$4:$U$11,$AC$2+1,1)-INDEX($U$4:$U$11,$AC$2,1),ROW()-4&gt;$AD$2),NA(),COUNTIF(INDEX($CB$5:$CH$201,INDEX($U$4:$U$11,1,1),$AC$2):INDEX($CB$5:$CH$201,INDEX($U$4:$U$11,1,1)+ROW()-5,$AC$2),EF$3))</f>
        <v>#N/A</v>
      </c>
      <c r="EG38" t="e">
        <f>IF(OR(ROW()-4&gt;INDEX($U$4:$U$11,$AC$2+1,1)-INDEX($U$4:$U$11,$AC$2,1),ROW()-4&gt;$AD$2),NA(),COUNTIF(INDEX($CB$5:$CH$201,INDEX($U$4:$U$11,1,1),$AC$2):INDEX($CB$5:$CH$201,INDEX($U$4:$U$11,1,1)+ROW()-5,$AC$2),EG$3))</f>
        <v>#N/A</v>
      </c>
      <c r="EH38" t="e">
        <f>IF(OR(ROW()-4&gt;INDEX($U$4:$U$11,$AC$2+1,1)-INDEX($U$4:$U$11,$AC$2,1),ROW()-4&gt;$AD$2),NA(),COUNTIF(INDEX($CB$5:$CH$201,INDEX($U$4:$U$11,1,1),$AC$2):INDEX($CB$5:$CH$201,INDEX($U$4:$U$11,1,1)+ROW()-5,$AC$2),EH$3))</f>
        <v>#N/A</v>
      </c>
      <c r="EI38" t="e">
        <f>IF(OR(ROW()-4&gt;INDEX($U$4:$U$11,$AC$2+1,1)-INDEX($U$4:$U$11,$AC$2,1),ROW()-4&gt;$AD$2),NA(),COUNTIF(INDEX($CB$5:$CH$201,INDEX($U$4:$U$11,1,1),$AC$2):INDEX($CB$5:$CH$201,INDEX($U$4:$U$11,1,1)+ROW()-5,$AC$2),EI$3))</f>
        <v>#N/A</v>
      </c>
      <c r="EJ38" t="e">
        <f>IF(OR(ROW()-4&gt;INDEX($U$4:$U$11,$AC$2+1,1)-INDEX($U$4:$U$11,$AC$2,1),ROW()-4&gt;$AD$2),NA(),COUNTIF(INDEX($CB$5:$CH$201,INDEX($U$4:$U$11,1,1),$AC$2):INDEX($CB$5:$CH$201,INDEX($U$4:$U$11,1,1)+ROW()-5,$AC$2),EJ$3))</f>
        <v>#N/A</v>
      </c>
      <c r="EK38" t="e">
        <f>IF(OR(ROW()-4&gt;INDEX($U$4:$U$11,$AC$2+1,1)-INDEX($U$4:$U$11,$AC$2,1),ROW()-4&gt;$AD$2),NA(),COUNTIF(INDEX($CB$5:$CH$201,INDEX($U$4:$U$11,1,1),$AC$2):INDEX($CB$5:$CH$201,INDEX($U$4:$U$11,1,1)+ROW()-5,$AC$2),EK$3))</f>
        <v>#N/A</v>
      </c>
      <c r="EL38" t="e">
        <f>IF(OR(ROW()-4&gt;INDEX($U$4:$U$11,$AC$2+1,1)-INDEX($U$4:$U$11,$AC$2,1),ROW()-4&gt;$AD$2),NA(),COUNTIF(INDEX($CB$5:$CH$201,INDEX($U$4:$U$11,1,1),$AC$2):INDEX($CB$5:$CH$201,INDEX($U$4:$U$11,1,1)+ROW()-5,$AC$2),EL$3))</f>
        <v>#N/A</v>
      </c>
      <c r="EN38" t="e">
        <f>IF(OR(ROW()-4&gt;INDEX($U$4:$U$11,$AC$2+1,1)-INDEX($U$4:$U$11,$AC$2,1),ROW()-4&gt;$AD$2),NA(),COUNTIF(INDEX($CJ$5:$CP$201,INDEX($U$4:$U$11,1,1),$AC$2):INDEX($CJ$5:$CP$201,INDEX($U$4:$U$11,1,1)+ROW()-5,$AC$2),EN$3))</f>
        <v>#N/A</v>
      </c>
      <c r="EO38" t="e">
        <f>IF(OR(ROW()-4&gt;INDEX($U$4:$U$11,$AC$2+1,1)-INDEX($U$4:$U$11,$AC$2,1),ROW()-4&gt;$AD$2),NA(),COUNTIF(INDEX($CJ$5:$CP$201,INDEX($U$4:$U$11,1,1),$AC$2):INDEX($CJ$5:$CP$201,INDEX($U$4:$U$11,1,1)+ROW()-5,$AC$2),EO$3))</f>
        <v>#N/A</v>
      </c>
      <c r="EQ38" t="e">
        <f>IF(OR(ROW()-4&gt;INDEX($U$4:$U$11,$AC$2+1,1)-INDEX($U$4:$U$11,$AC$2,1),ROW()-4&gt;$AD$2),NA(),COUNTIF(INDEX($CJ$5:$CP$201,INDEX($U$4:$U$11,1,1),$AC$2):INDEX($CJ$5:$CP$201,INDEX($U$4:$U$11,1,1)+ROW()-5,$AC$2),EQ$3))</f>
        <v>#N/A</v>
      </c>
      <c r="ER38" t="e">
        <f>IF(OR(ROW()-4&gt;INDEX($U$4:$U$11,$AC$2+1,1)-INDEX($U$4:$U$11,$AC$2,1),ROW()-4&gt;$AD$2),NA(),COUNTIF(INDEX($CJ$5:$CP$201,INDEX($U$4:$U$11,1,1),$AC$2):INDEX($CJ$5:$CP$201,INDEX($U$4:$U$11,1,1)+ROW()-5,$AC$2),ER$3))</f>
        <v>#N/A</v>
      </c>
      <c r="ET38" t="e">
        <f>IF(OR(ROW()-4&gt;INDEX($U$4:$U$11,$AC$2+1,1)-INDEX($U$4:$U$11,$AC$2,1),ROW()-4&gt;$AD$2),NA(),COUNTIF(INDEX($CR$5:$CX$201,INDEX($U$4:$U$11,1,1),$AC$2):INDEX($CR$5:$CX$201,INDEX($U$4:$U$11,1,1)+ROW()-5,$AC$2),ET$3))</f>
        <v>#N/A</v>
      </c>
      <c r="EU38" t="e">
        <f>IF(OR(ROW()-4&gt;INDEX($U$4:$U$11,$AC$2+1,1)-INDEX($U$4:$U$11,$AC$2,1),ROW()-4&gt;$AD$2),NA(),COUNTIF(INDEX($CR$5:$CX$201,INDEX($U$4:$U$11,1,1),$AC$2):INDEX($CR$5:$CX$201,INDEX($U$4:$U$11,1,1)+ROW()-5,$AC$2),EU$3))</f>
        <v>#N/A</v>
      </c>
      <c r="EV38" t="e">
        <f>IF(OR(ROW()-4&gt;INDEX($U$4:$U$11,$AC$2+1,1)-INDEX($U$4:$U$11,$AC$2,1),ROW()-4&gt;$AD$2),NA(),COUNTIF(INDEX($CR$5:$CX$201,INDEX($U$4:$U$11,1,1),$AC$2):INDEX($CR$5:$CX$201,INDEX($U$4:$U$11,1,1)+ROW()-5,$AC$2),EV$3))</f>
        <v>#N/A</v>
      </c>
      <c r="EW38" t="e">
        <f>IF(OR(ROW()-4&gt;INDEX($U$4:$U$11,$AC$2+1,1)-INDEX($U$4:$U$11,$AC$2,1),ROW()-4&gt;$AD$2),NA(),COUNTIF(INDEX($CR$5:$CX$201,INDEX($U$4:$U$11,1,1),$AC$2):INDEX($CR$5:$CX$201,INDEX($U$4:$U$11,1,1)+ROW()-5,$AC$2),EW$3))</f>
        <v>#N/A</v>
      </c>
      <c r="EX38" t="e">
        <f>IF(OR(ROW()-4&gt;INDEX($U$4:$U$11,$AC$2+1,1)-INDEX($U$4:$U$11,$AC$2,1),ROW()-4&gt;$AD$2),NA(),COUNTIF(INDEX($CR$5:$CX$201,INDEX($U$4:$U$11,1,1),$AC$2):INDEX($CR$5:$CX$201,INDEX($U$4:$U$11,1,1)+ROW()-5,$AC$2),EX$3))</f>
        <v>#N/A</v>
      </c>
      <c r="EY38" t="e">
        <f>IF(OR(ROW()-4&gt;INDEX($U$4:$U$11,$AC$2+1,1)-INDEX($U$4:$U$11,$AC$2,1),ROW()-4&gt;$AD$2),NA(),COUNTIF(INDEX($CR$5:$CX$201,INDEX($U$4:$U$11,1,1),$AC$2):INDEX($CR$5:$CX$201,INDEX($U$4:$U$11,1,1)+ROW()-5,$AC$2),EY$3))</f>
        <v>#N/A</v>
      </c>
      <c r="EZ38" t="e">
        <f>IF(OR(ROW()-4&gt;INDEX($U$4:$U$11,$AC$2+1,1)-INDEX($U$4:$U$11,$AC$2,1),ROW()-4&gt;$AD$2),NA(),COUNTIF(INDEX($CR$5:$CX$201,INDEX($U$4:$U$11,1,1),$AC$2):INDEX($CR$5:$CX$201,INDEX($U$4:$U$11,1,1)+ROW()-5,$AC$2),EZ$3))</f>
        <v>#N/A</v>
      </c>
      <c r="FA38" t="e">
        <f>IF(OR(ROW()-4&gt;INDEX($U$4:$U$11,$AC$2+1,1)-INDEX($U$4:$U$11,$AC$2,1),ROW()-4&gt;$AD$2),NA(),COUNTIF(INDEX($CR$5:$CX$201,INDEX($U$4:$U$11,1,1),$AC$2):INDEX($CR$5:$CX$201,INDEX($U$4:$U$11,1,1)+ROW()-5,$AC$2),FA$3))</f>
        <v>#N/A</v>
      </c>
      <c r="FC38" t="e">
        <f>IF(OR(ROW()-4&gt;INDEX($U$4:$U$11,$AC$2+1,1)-INDEX($U$4:$U$11,$AC$2,1),ROW()-4&gt;$AD$2),NA(),COUNTIF(INDEX($CR$5:$CX$201,INDEX($U$4:$U$11,1,1),$AC$2):INDEX($CR$5:$CX$201,INDEX($U$4:$U$11,1,1)+ROW()-5,$AC$2),FC$3))</f>
        <v>#N/A</v>
      </c>
      <c r="FD38" t="e">
        <f>IF(OR(ROW()-4&gt;INDEX($U$4:$U$11,$AC$2+1,1)-INDEX($U$4:$U$11,$AC$2,1),ROW()-4&gt;$AD$2),NA(),COUNTIF(INDEX($CR$5:$CX$201,INDEX($U$4:$U$11,1,1),$AC$2):INDEX($CR$5:$CX$201,INDEX($U$4:$U$11,1,1)+ROW()-5,$AC$2),FD$3))</f>
        <v>#N/A</v>
      </c>
      <c r="FE38" t="e">
        <f>IF(OR(ROW()-4&gt;INDEX($U$4:$U$11,$AC$2+1,1)-INDEX($U$4:$U$11,$AC$2,1),ROW()-4&gt;$AD$2),NA(),COUNTIF(INDEX($CR$5:$CX$201,INDEX($U$4:$U$11,1,1),$AC$2):INDEX($CR$5:$CX$201,INDEX($U$4:$U$11,1,1)+ROW()-5,$AC$2),FE$3))</f>
        <v>#N/A</v>
      </c>
      <c r="FF38" t="e">
        <f>IF(OR(ROW()-4&gt;INDEX($U$4:$U$11,$AC$2+1,1)-INDEX($U$4:$U$11,$AC$2,1),ROW()-4&gt;$AD$2),NA(),COUNTIF(INDEX($CR$5:$CX$201,INDEX($U$4:$U$11,1,1),$AC$2):INDEX($CR$5:$CX$201,INDEX($U$4:$U$11,1,1)+ROW()-5,$AC$2),FF$3))</f>
        <v>#N/A</v>
      </c>
      <c r="FG38" t="e">
        <f>IF(OR(ROW()-4&gt;INDEX($U$4:$U$11,$AC$2+1,1)-INDEX($U$4:$U$11,$AC$2,1),ROW()-4&gt;$AD$2),NA(),COUNTIF(INDEX($CR$5:$CX$201,INDEX($U$4:$U$11,1,1),$AC$2):INDEX($CR$5:$CX$201,INDEX($U$4:$U$11,1,1)+ROW()-5,$AC$2),FG$3))</f>
        <v>#N/A</v>
      </c>
      <c r="FH38" t="e">
        <f>IF(OR(ROW()-4&gt;INDEX($U$4:$U$11,$AC$2+1,1)-INDEX($U$4:$U$11,$AC$2,1),ROW()-4&gt;$AD$2),NA(),COUNTIF(INDEX($CR$5:$CX$201,INDEX($U$4:$U$11,1,1),$AC$2):INDEX($CR$5:$CX$201,INDEX($U$4:$U$11,1,1)+ROW()-5,$AC$2),FH$3))</f>
        <v>#N/A</v>
      </c>
      <c r="FI38" t="e">
        <f>IF(OR(ROW()-4&gt;INDEX($U$4:$U$11,$AC$2+1,1)-INDEX($U$4:$U$11,$AC$2,1),ROW()-4&gt;$AD$2),NA(),COUNTIF(INDEX($CR$5:$CX$201,INDEX($U$4:$U$11,1,1),$AC$2):INDEX($CR$5:$CX$201,INDEX($U$4:$U$11,1,1)+ROW()-5,$AC$2),FI$3))</f>
        <v>#N/A</v>
      </c>
      <c r="FJ38" t="e">
        <f>IF(OR(ROW()-4&gt;INDEX($U$4:$U$11,$AC$2+1,1)-INDEX($U$4:$U$11,$AC$2,1),ROW()-4&gt;$AD$2),NA(),COUNTIF(INDEX($CR$5:$CX$201,INDEX($U$4:$U$11,1,1),$AC$2):INDEX($CR$5:$CX$201,INDEX($U$4:$U$11,1,1)+ROW()-5,$AC$2),FJ$3))</f>
        <v>#N/A</v>
      </c>
      <c r="FL38" t="e">
        <f>IF(OR(ROW()-4&gt;INDEX($U$4:$U$11,$AC$2+1,1)-INDEX($U$4:$U$11,$AC$2,1),ROW()-4&gt;$AD$2),NA(),COUNTIF(INDEX($CZ$5:$DF$201,INDEX($U$4:$U$11,1,1),$AC$2):INDEX($CZ$5:$DF$201,INDEX($U$4:$U$11,1,1)+ROW()-5,$AC$2),FL$3))</f>
        <v>#N/A</v>
      </c>
      <c r="FM38" t="e">
        <f>IF(OR(ROW()-4&gt;INDEX($U$4:$U$11,$AC$2+1,1)-INDEX($U$4:$U$11,$AC$2,1),ROW()-4&gt;$AD$2),NA(),COUNTIF(INDEX($CZ$5:$DF$201,INDEX($U$4:$U$11,1,1),$AC$2):INDEX($CZ$5:$DF$201,INDEX($U$4:$U$11,1,1)+ROW()-5,$AC$2),FM$3))</f>
        <v>#N/A</v>
      </c>
      <c r="FN38" t="e">
        <f>IF(OR(ROW()-4&gt;INDEX($U$4:$U$11,$AC$2+1,1)-INDEX($U$4:$U$11,$AC$2,1),ROW()-4&gt;$AD$2),NA(),COUNTIF(INDEX($CZ$5:$DF$201,INDEX($U$4:$U$11,1,1),$AC$2):INDEX($CZ$5:$DF$201,INDEX($U$4:$U$11,1,1)+ROW()-5,$AC$2),FN$3))</f>
        <v>#N/A</v>
      </c>
      <c r="FO38" t="e">
        <f>IF(OR(ROW()-4&gt;INDEX($U$4:$U$11,$AC$2+1,1)-INDEX($U$4:$U$11,$AC$2,1),ROW()-4&gt;$AD$2),NA(),COUNTIF(INDEX($CZ$5:$DF$201,INDEX($U$4:$U$11,1,1),$AC$2):INDEX($CZ$5:$DF$201,INDEX($U$4:$U$11,1,1)+ROW()-5,$AC$2),FO$3))</f>
        <v>#N/A</v>
      </c>
      <c r="FP38" t="e">
        <f>IF(OR(ROW()-4&gt;INDEX($U$4:$U$11,$AC$2+1,1)-INDEX($U$4:$U$11,$AC$2,1),ROW()-4&gt;$AD$2),NA(),COUNTIF(INDEX($CZ$5:$DF$201,INDEX($U$4:$U$11,1,1),$AC$2):INDEX($CZ$5:$DF$201,INDEX($U$4:$U$11,1,1)+ROW()-5,$AC$2),FP$3))</f>
        <v>#N/A</v>
      </c>
      <c r="FQ38" t="e">
        <f>IF(OR(ROW()-4&gt;INDEX($U$4:$U$11,$AC$2+1,1)-INDEX($U$4:$U$11,$AC$2,1),ROW()-4&gt;$AD$2),NA(),COUNTIF(INDEX($CZ$5:$DF$201,INDEX($U$4:$U$11,1,1),$AC$2):INDEX($CZ$5:$DF$201,INDEX($U$4:$U$11,1,1)+ROW()-5,$AC$2),FQ$3))</f>
        <v>#N/A</v>
      </c>
      <c r="FR38" t="e">
        <f>IF(OR(ROW()-4&gt;INDEX($U$4:$U$11,$AC$2+1,1)-INDEX($U$4:$U$11,$AC$2,1),ROW()-4&gt;$AD$2),NA(),COUNTIF(INDEX($CZ$5:$DF$201,INDEX($U$4:$U$11,1,1),$AC$2):INDEX($CZ$5:$DF$201,INDEX($U$4:$U$11,1,1)+ROW()-5,$AC$2),FR$3))</f>
        <v>#N/A</v>
      </c>
      <c r="FS38" t="e">
        <f>IF(OR(ROW()-4&gt;INDEX($U$4:$U$11,$AC$2+1,1)-INDEX($U$4:$U$11,$AC$2,1),ROW()-4&gt;$AD$2),NA(),COUNTIF(INDEX($CZ$5:$DF$201,INDEX($U$4:$U$11,1,1),$AC$2):INDEX($CZ$5:$DF$201,INDEX($U$4:$U$11,1,1)+ROW()-5,$AC$2),FS$3))</f>
        <v>#N/A</v>
      </c>
      <c r="FT38" t="e">
        <f>IF(OR(ROW()-4&gt;INDEX($U$4:$U$11,$AC$2+1,1)-INDEX($U$4:$U$11,$AC$2,1),ROW()-4&gt;$AD$2),NA(),COUNTIF(INDEX($CZ$5:$DF$201,INDEX($U$4:$U$11,1,1),$AC$2):INDEX($CZ$5:$DF$201,INDEX($U$4:$U$11,1,1)+ROW()-5,$AC$2),FT$3))</f>
        <v>#N/A</v>
      </c>
      <c r="FU38" t="e">
        <f>IF(OR(ROW()-4&gt;INDEX($U$4:$U$11,$AC$2+1,1)-INDEX($U$4:$U$11,$AC$2,1),ROW()-4&gt;$AD$2),NA(),COUNTIF(INDEX($CZ$5:$DF$201,INDEX($U$4:$U$11,1,1),$AC$2):INDEX($CZ$5:$DF$201,INDEX($U$4:$U$11,1,1)+ROW()-5,$AC$2),FU$3))</f>
        <v>#N/A</v>
      </c>
      <c r="FW38" t="e">
        <f>IF(OR(ROW()-4&gt;INDEX($U$4:$U$11,$AC$2+1,1)-INDEX($U$4:$U$11,$AC$2,1),ROW()-4&gt;$AD$2),NA(),COUNTIF(INDEX($CZ$5:$DF$201,INDEX($U$4:$U$11,1,1),$AC$2):INDEX($CZ$5:$DF$201,INDEX($U$4:$U$11,1,1)+ROW()-5,$AC$2),FW$3))</f>
        <v>#N/A</v>
      </c>
      <c r="FX38" t="e">
        <f>IF(OR(ROW()-4&gt;INDEX($U$4:$U$11,$AC$2+1,1)-INDEX($U$4:$U$11,$AC$2,1),ROW()-4&gt;$AD$2),NA(),COUNTIF(INDEX($CZ$5:$DF$201,INDEX($U$4:$U$11,1,1),$AC$2):INDEX($CZ$5:$DF$201,INDEX($U$4:$U$11,1,1)+ROW()-5,$AC$2),FX$3))</f>
        <v>#N/A</v>
      </c>
      <c r="FY38" t="e">
        <f>IF(OR(ROW()-4&gt;INDEX($U$4:$U$11,$AC$2+1,1)-INDEX($U$4:$U$11,$AC$2,1),ROW()-4&gt;$AD$2),NA(),COUNTIF(INDEX($CZ$5:$DF$201,INDEX($U$4:$U$11,1,1),$AC$2):INDEX($CZ$5:$DF$201,INDEX($U$4:$U$11,1,1)+ROW()-5,$AC$2),FY$3))</f>
        <v>#N/A</v>
      </c>
      <c r="FZ38" t="e">
        <f>IF(OR(ROW()-4&gt;INDEX($U$4:$U$11,$AC$2+1,1)-INDEX($U$4:$U$11,$AC$2,1),ROW()-4&gt;$AD$2),NA(),COUNTIF(INDEX($CZ$5:$DF$201,INDEX($U$4:$U$11,1,1),$AC$2):INDEX($CZ$5:$DF$201,INDEX($U$4:$U$11,1,1)+ROW()-5,$AC$2),FZ$3))</f>
        <v>#N/A</v>
      </c>
      <c r="GA38" t="e">
        <f>IF(OR(ROW()-4&gt;INDEX($U$4:$U$11,$AC$2+1,1)-INDEX($U$4:$U$11,$AC$2,1),ROW()-4&gt;$AD$2),NA(),COUNTIF(INDEX($CZ$5:$DF$201,INDEX($U$4:$U$11,1,1),$AC$2):INDEX($CZ$5:$DF$201,INDEX($U$4:$U$11,1,1)+ROW()-5,$AC$2),GA$3))</f>
        <v>#N/A</v>
      </c>
      <c r="GB38" t="e">
        <f>IF(OR(ROW()-4&gt;INDEX($U$4:$U$11,$AC$2+1,1)-INDEX($U$4:$U$11,$AC$2,1),ROW()-4&gt;$AD$2),NA(),COUNTIF(INDEX($CZ$5:$DF$201,INDEX($U$4:$U$11,1,1),$AC$2):INDEX($CZ$5:$DF$201,INDEX($U$4:$U$11,1,1)+ROW()-5,$AC$2),GB$3))</f>
        <v>#N/A</v>
      </c>
      <c r="GC38" t="e">
        <f>IF(OR(ROW()-4&gt;INDEX($U$4:$U$11,$AC$2+1,1)-INDEX($U$4:$U$11,$AC$2,1),ROW()-4&gt;$AD$2),NA(),COUNTIF(INDEX($CZ$5:$DF$201,INDEX($U$4:$U$11,1,1),$AC$2):INDEX($CZ$5:$DF$201,INDEX($U$4:$U$11,1,1)+ROW()-5,$AC$2),GC$3))</f>
        <v>#N/A</v>
      </c>
      <c r="GD38" t="e">
        <f>IF(OR(ROW()-4&gt;INDEX($U$4:$U$11,$AC$2+1,1)-INDEX($U$4:$U$11,$AC$2,1),ROW()-4&gt;$AD$2),NA(),COUNTIF(INDEX($CZ$5:$DF$201,INDEX($U$4:$U$11,1,1),$AC$2):INDEX($CZ$5:$DF$201,INDEX($U$4:$U$11,1,1)+ROW()-5,$AC$2),GD$3))</f>
        <v>#N/A</v>
      </c>
      <c r="GE38" t="e">
        <f>IF(OR(ROW()-4&gt;INDEX($U$4:$U$11,$AC$2+1,1)-INDEX($U$4:$U$11,$AC$2,1),ROW()-4&gt;$AD$2),NA(),COUNTIF(INDEX($CZ$5:$DF$201,INDEX($U$4:$U$11,1,1),$AC$2):INDEX($CZ$5:$DF$201,INDEX($U$4:$U$11,1,1)+ROW()-5,$AC$2),GE$3))</f>
        <v>#N/A</v>
      </c>
      <c r="GF38" t="e">
        <f>IF(OR(ROW()-4&gt;INDEX($U$4:$U$11,$AC$2+1,1)-INDEX($U$4:$U$11,$AC$2,1),ROW()-4&gt;$AD$2),NA(),COUNTIF(INDEX($CZ$5:$DF$201,INDEX($U$4:$U$11,1,1),$AC$2):INDEX($CZ$5:$DF$201,INDEX($U$4:$U$11,1,1)+ROW()-5,$AC$2),GF$3))</f>
        <v>#N/A</v>
      </c>
      <c r="GO38" s="16"/>
      <c r="GP38" s="17"/>
      <c r="GQ38" s="17" t="s">
        <v>66</v>
      </c>
      <c r="GR38" s="17"/>
      <c r="GS38" s="17"/>
      <c r="GT38" s="17"/>
      <c r="GU38" s="17"/>
      <c r="GV38" s="17"/>
      <c r="GW38" s="17"/>
      <c r="GX38" s="17"/>
      <c r="GY38" s="17"/>
      <c r="GZ38" s="17"/>
      <c r="HA38" s="17"/>
      <c r="HB38" s="17"/>
      <c r="HC38" s="17"/>
      <c r="HD38" s="17"/>
      <c r="HE38" s="17" t="s">
        <v>57</v>
      </c>
      <c r="HF38" s="46">
        <f>EW43</f>
        <v>3</v>
      </c>
      <c r="HG38" s="43"/>
      <c r="HH38" s="59">
        <f>EW93</f>
        <v>1</v>
      </c>
      <c r="HI38" s="59">
        <f t="shared" si="132"/>
        <v>2</v>
      </c>
      <c r="HJ38" s="17" t="s">
        <v>66</v>
      </c>
      <c r="HK38" s="17"/>
      <c r="HL38" s="17"/>
      <c r="HM38" s="18"/>
    </row>
    <row r="39" spans="1:221" x14ac:dyDescent="0.45">
      <c r="A39" t="str">
        <f>データの貼付!A37</f>
        <v>KIHARA Miyuu</v>
      </c>
      <c r="B39">
        <f>データの貼付!B37</f>
        <v>1.0396956018518517E-2</v>
      </c>
      <c r="C39">
        <f>データの貼付!C37</f>
        <v>7.0277777777777775E-5</v>
      </c>
      <c r="D39">
        <f>データの貼付!D37</f>
        <v>1.3888888888888889E-3</v>
      </c>
      <c r="E39" t="str">
        <f>データの貼付!F37</f>
        <v>FENG Tianwei</v>
      </c>
      <c r="F39">
        <f>データの貼付!E37</f>
        <v>4.1666666666666664E-2</v>
      </c>
      <c r="G39" t="str">
        <f>データの貼付!G37</f>
        <v>#04</v>
      </c>
      <c r="H39" t="str">
        <f>データの貼付!H37</f>
        <v>KIHARA Miyuu</v>
      </c>
      <c r="I39" t="str">
        <f>データの貼付!I37</f>
        <v>(Side)</v>
      </c>
      <c r="J39" t="str">
        <f>データの貼付!J37</f>
        <v>B</v>
      </c>
      <c r="K39" t="str">
        <f>データの貼付!K37</f>
        <v>B</v>
      </c>
      <c r="L39" t="str">
        <f>データの貼付!L37</f>
        <v>B</v>
      </c>
      <c r="M39" t="str">
        <f>データの貼付!M37</f>
        <v>ドライブ</v>
      </c>
      <c r="N39" t="str">
        <f>データの貼付!N37</f>
        <v>F</v>
      </c>
      <c r="R39">
        <f t="shared" si="59"/>
        <v>0</v>
      </c>
      <c r="S39">
        <f>SUM(R$4:R39)</f>
        <v>3</v>
      </c>
      <c r="T39" t="str">
        <f t="shared" si="60"/>
        <v/>
      </c>
      <c r="W39" t="str">
        <f t="shared" si="57"/>
        <v>FENG Tianwei_KIHARA Miyuu</v>
      </c>
      <c r="X39" t="str">
        <f t="shared" si="58"/>
        <v>FENG Tianwei_#04</v>
      </c>
      <c r="AC39" s="8" t="e">
        <f>IF(OR(ROW()-4&gt;INDEX($U$4:$U$11,AC$2+1)-INDEX($U$4:$U$11,AC$2),ROW()-4&gt;AD$2),NA(),COUNTIF(INDEX($W$4:$W$200,INDEX($U$4:$U$11,AC$2)):INDEX($W$4:$W$200,INDEX($U$4:$U$11,AC$2)+ROW()-5),AC$3&amp;"_"&amp;AC$3)/(COUNTIF(INDEX($W$4:$W$200,INDEX($U$4:$U$11,AC$2)):INDEX($W$4:$W$200,INDEX($U$4:$U$11,AC$2)+ROW()-5),AC$3&amp;"_"&amp;AC$3)+COUNTIF(INDEX($W$4:$W$200,INDEX($U$4:$U$11,AC$2)):INDEX($W$4:$W$200,INDEX($U$4:$U$11,AC$2)+ROW()-5),AD$3&amp;"_"&amp;AC$3)))</f>
        <v>#N/A</v>
      </c>
      <c r="AD39" s="8" t="e">
        <f>IF(OR(ROW()-4&gt;INDEX($U$4:$U$11,AC$2+1)-INDEX($U$4:$U$11,AC$2),ROW()-4&gt;AD$2),NA(),COUNTIF(INDEX($W$4:$W$200,INDEX($U$4:$U$11,AC$2)):INDEX($W$4:$W$200,INDEX($U$4:$U$11,AC$2)+ROW()-5),AD$3&amp;"_"&amp;AD$3)/(COUNTIF(INDEX($W$4:$W$200,INDEX($U$4:$U$11,AC$2)):INDEX($W$4:$W$200,INDEX($U$4:$U$11,AC$2)+ROW()-5),AD$3&amp;"_"&amp;AD$3)+COUNTIF(INDEX($W$4:$W$200,INDEX($U$4:$U$11,AC$2)):INDEX($W$4:$W$200,INDEX($U$4:$U$11,AC$2)+ROW()-5),AC$3&amp;"_"&amp;AD$3)))</f>
        <v>#N/A</v>
      </c>
      <c r="AE39" s="10" t="e">
        <f>IF(OR(ROW()-4&gt;INDEX($U$4:$U$11,AC$2+1)-INDEX($U$4:$U$11,AC$2),ROW()-4&gt;AD$2),NA(),COUNTIF(INDEX($W$4:$W$200,INDEX($U$4:$U$11,AC$2)):INDEX($W$4:$W$200,INDEX($U$4:$U$11,AC$2)+ROW()-5),AC$3&amp;"_"&amp;AD$3)/(COUNTIF(INDEX($W$4:$W$200,INDEX($U$4:$U$11,AC$2)):INDEX($W$4:$W$200,INDEX($U$4:$U$11,AC$2)+ROW()-5),AC$3&amp;"_"&amp;AD$3)+COUNTIF(INDEX($W$4:$W$200,INDEX($U$4:$U$11,AC$2)):INDEX($W$4:$W$200,INDEX($U$4:$U$11,AC$2)+ROW()-5),AD$3&amp;"_"&amp;AD$3)))</f>
        <v>#N/A</v>
      </c>
      <c r="AF39" s="10" t="e">
        <f>IF(OR(ROW()-4&gt;INDEX($U$4:$U$11,AC$2+1)-INDEX($U$4:$U$11,AC$2),ROW()-4&gt;AD$2),NA(),COUNTIF(INDEX($W$4:$W$200,INDEX($U$4:$U$11,AC$2)):INDEX($W$4:$W$200,INDEX($U$4:$U$11,AC$2)+ROW()-5),AD$3&amp;"_"&amp;AC$3)/(COUNTIF(INDEX($W$4:$W$200,INDEX($U$4:$U$11,AC$2)):INDEX($W$4:$W$200,INDEX($U$4:$U$11,AC$2)+ROW()-5),AD$3&amp;"_"&amp;AC$3)+COUNTIF(INDEX($W$4:$W$200,INDEX($U$4:$U$11,AC$2)):INDEX($W$4:$W$200,INDEX($U$4:$U$11,AC$2)+ROW()-5),AC$3&amp;"_"&amp;AC$3)))</f>
        <v>#N/A</v>
      </c>
      <c r="AG39" s="10" t="e">
        <f>IF(OR(ROW()-4&gt;INDEX($U$4:$U$11,AC$2+1)-INDEX($U$4:$U$11,AC$2),ROW()-4&gt;AD$2),NA(),COUNTIF(INDEX($X$4:$X$200,INDEX($U$4:$U$11,AC$2)):INDEX($X$4:$X$200,INDEX($U$4:$U$11,AC$2)+ROW()-5),AC$3&amp;"_#03")/(COUNTIF(INDEX($W$4:$W$200,INDEX($U$4:$U$11,AC$2)):INDEX($W$4:$W$200,INDEX($U$4:$U$11,AC$2)+ROW()-5),AC$3&amp;"_"&amp;AC$3)+COUNTIF(INDEX($W$4:$W$200,INDEX($U$4:$U$11,AC$2)):INDEX($W$4:$W$200,INDEX($U$4:$U$11,AC$2)+ROW()-5),AD$3&amp;"_"&amp;AC$3)))</f>
        <v>#N/A</v>
      </c>
      <c r="AH39" s="10" t="e">
        <f>IF(OR(ROW()-4&gt;INDEX($U$4:$U$11,AC$2+1)-INDEX($U$4:$U$11,AC$2),ROW()-4&gt;AD$2),NA(),COUNTIF(INDEX($X$4:$X$200,INDEX($U$4:$U$11,AC$2)):INDEX($X$4:$X$200,INDEX($U$4:$U$11,AC$2)+ROW()-5),AD$3&amp;"_#03")/(COUNTIF(INDEX($W$4:$W$200,INDEX($U$4:$U$11,AC$2)):INDEX($W$4:$W$200,INDEX($U$4:$U$11,AC$2)+ROW()-5),AD$3&amp;"_"&amp;AD$3)+COUNTIF(INDEX($W$4:$W$200,INDEX($U$4:$U$11,AC$2)):INDEX($W$4:$W$200,INDEX($U$4:$U$11,AC$2)+ROW()-5),AC$3&amp;"_"&amp;AD$3)))</f>
        <v>#N/A</v>
      </c>
      <c r="AI39" s="10" t="e">
        <f>IF(OR(ROW()-4&gt;INDEX($U$4:$U$11,AC$2+1)-INDEX($U$4:$U$11,AC$2),ROW()-4&gt;AD$2),NA(),(COUNTIF(INDEX($X$4:$X$200,INDEX($U$4:$U$11,AC$2)):INDEX($X$4:$X$200,INDEX($U$4:$U$11,AC$2)+ROW()-5),AC$3&amp;"_#03")-COUNTIF(INDEX($X$4:$X$200,INDEX($U$4:$U$11,AC$2)):INDEX($X$4:$X$200,INDEX($U$4:$U$11,AC$2)+ROW()-5),AD$3&amp;"_#02"))/(COUNTIF(INDEX($W$4:$W$200,INDEX($U$4:$U$11,AC$2)):INDEX($W$4:$W$200,INDEX($U$4:$U$11,AC$2)+ROW()-5),AC$3&amp;"_"&amp;AC$3)+COUNTIF(INDEX($W$4:$W$200,INDEX($U$4:$U$11,AC$2)):INDEX($W$4:$W$200,INDEX($U$4:$U$11,AC$2)+ROW()-5),AD$3&amp;"_"&amp;AC$3)))</f>
        <v>#N/A</v>
      </c>
      <c r="AJ39" s="10" t="e">
        <f>IF(OR(ROW()-4&gt;INDEX($U$4:$U$11,AC$2+1)-INDEX($U$4:$U$11,AC$2),ROW()-4&gt;AD$2),NA(),(COUNTIF(INDEX($X$4:$X$200,INDEX($U$4:$U$11,AC$2)):INDEX($X$4:$X$200,INDEX($U$4:$U$11,AC$2)+ROW()-5),AD$3&amp;"_#03")-COUNTIF(INDEX($X$4:$X$200,INDEX($U$4:$U$11,AC$2)):INDEX($X$4:$X$200,INDEX($U$4:$U$11,AC$2)+ROW()-5),AC$3&amp;"_#02"))/(COUNTIF(INDEX($W$4:$W$200,INDEX($U$4:$U$11,AC$2)):INDEX($W$4:$W$200,INDEX($U$4:$U$11,AC$2)+ROW()-5),AD$3&amp;"_"&amp;AD$3)+COUNTIF(INDEX($W$4:$W$200,INDEX($U$4:$U$11,AC$2)):INDEX($W$4:$W$200,INDEX($U$4:$U$11,AC$2)+ROW()-5),AC$3&amp;"_"&amp;AD$3)))</f>
        <v>#N/A</v>
      </c>
      <c r="AK39" s="10" t="e">
        <f>IF(OR(ROW()-4&gt;INDEX($U$4:$U$11,AC$2+1)-INDEX($U$4:$U$11,AC$2),ROW()-4&gt;AD$2),NA(),(COUNTIF(INDEX($X$4:$X$200,INDEX($U$4:$U$11,AC$2)):INDEX($X$4:$X$200,INDEX($U$4:$U$11,AC$2)+ROW()-5),AC$3&amp;"_#01")+COUNTIF(INDEX($X$4:$X$200,INDEX($U$4:$U$11,AC$2)):INDEX($X$4:$X$200,INDEX($U$4:$U$11,AC$2)+ROW()-5),AC$3&amp;"_#03"))/(COUNTIF(INDEX($W$4:$W$200,INDEX($U$4:$U$11,AC$2)):INDEX($W$4:$W$200,INDEX($U$4:$U$11,AC$2)+ROW()-5),AC$3&amp;"_"&amp;AC$3)+COUNTIF(INDEX($W$4:$W$200,INDEX($U$4:$U$11,AC$2)):INDEX($W$4:$W$200,INDEX($U$4:$U$11,AC$2)+ROW()-5),AD$3&amp;"_"&amp;AC$3)))</f>
        <v>#N/A</v>
      </c>
      <c r="AL39" s="10" t="e">
        <f>IF(OR(ROW()-4&gt;INDEX($U$4:$U$11,AC$2+1)-INDEX($U$4:$U$11,AC$2),ROW()-4&gt;AD$2),NA(),(COUNTIF(INDEX($X$4:$X$200,INDEX($U$4:$U$11,AC$2)):INDEX($X$4:$X$200,INDEX($U$4:$U$11,AC$2)+ROW()-5),AD$3&amp;"_#01")+COUNTIF(INDEX($X$4:$X$200,INDEX($U$4:$U$11,AC$2)):INDEX($X$4:$X$200,INDEX($U$4:$U$11,AC$2)+ROW()-5),AD$3&amp;"_#03"))/(COUNTIF(INDEX($W$4:$W$200,INDEX($U$4:$U$11,AC$2)):INDEX($W$4:$W$200,INDEX($U$4:$U$11,AC$2)+ROW()-5),AD$3&amp;"_"&amp;AD$3)+COUNTIF(INDEX($W$4:$W$200,INDEX($U$4:$U$11,AC$2)):INDEX($W$4:$W$200,INDEX($U$4:$U$11,AC$2)+ROW()-5),AC$3&amp;"_"&amp;AD$3)))</f>
        <v>#N/A</v>
      </c>
      <c r="AN39" t="str">
        <f t="shared" si="125"/>
        <v/>
      </c>
      <c r="AO39" t="str">
        <f t="shared" si="111"/>
        <v/>
      </c>
      <c r="AP39" t="str">
        <f t="shared" si="112"/>
        <v/>
      </c>
      <c r="AQ39" t="str">
        <f t="shared" si="113"/>
        <v/>
      </c>
      <c r="AR39" t="str">
        <f t="shared" si="114"/>
        <v/>
      </c>
      <c r="AS39" t="e">
        <f t="shared" si="115"/>
        <v>#VALUE!</v>
      </c>
      <c r="AT39" t="e">
        <f t="shared" si="116"/>
        <v>#VALUE!</v>
      </c>
      <c r="AV39" t="e">
        <f t="shared" si="117"/>
        <v>#VALUE!</v>
      </c>
      <c r="AW39" t="e">
        <f t="shared" si="63"/>
        <v>#VALUE!</v>
      </c>
      <c r="AX39" t="e">
        <f t="shared" si="64"/>
        <v>#VALUE!</v>
      </c>
      <c r="AY39" t="e">
        <f t="shared" si="65"/>
        <v>#VALUE!</v>
      </c>
      <c r="AZ39" t="e">
        <f t="shared" si="66"/>
        <v>#VALUE!</v>
      </c>
      <c r="BA39" t="e">
        <f t="shared" si="67"/>
        <v>#VALUE!</v>
      </c>
      <c r="BB39" t="e">
        <f t="shared" si="68"/>
        <v>#VALUE!</v>
      </c>
      <c r="BD39" t="e">
        <f t="shared" si="118"/>
        <v>#VALUE!</v>
      </c>
      <c r="BE39" t="e">
        <f t="shared" si="69"/>
        <v>#VALUE!</v>
      </c>
      <c r="BF39" t="e">
        <f t="shared" si="70"/>
        <v>#VALUE!</v>
      </c>
      <c r="BG39" t="e">
        <f t="shared" si="71"/>
        <v>#VALUE!</v>
      </c>
      <c r="BH39" t="e">
        <f t="shared" si="72"/>
        <v>#VALUE!</v>
      </c>
      <c r="BI39" t="e">
        <f t="shared" si="73"/>
        <v>#VALUE!</v>
      </c>
      <c r="BJ39" t="e">
        <f t="shared" si="74"/>
        <v>#VALUE!</v>
      </c>
      <c r="BL39" t="e">
        <f t="shared" si="119"/>
        <v>#VALUE!</v>
      </c>
      <c r="BM39" t="e">
        <f t="shared" si="75"/>
        <v>#VALUE!</v>
      </c>
      <c r="BN39" t="e">
        <f t="shared" si="76"/>
        <v>#VALUE!</v>
      </c>
      <c r="BO39" t="e">
        <f t="shared" si="77"/>
        <v>#VALUE!</v>
      </c>
      <c r="BP39" t="e">
        <f t="shared" si="78"/>
        <v>#VALUE!</v>
      </c>
      <c r="BQ39" t="e">
        <f t="shared" si="79"/>
        <v>#VALUE!</v>
      </c>
      <c r="BR39" t="e">
        <f t="shared" si="80"/>
        <v>#VALUE!</v>
      </c>
      <c r="BT39" t="e">
        <f t="shared" si="120"/>
        <v>#VALUE!</v>
      </c>
      <c r="BU39" t="e">
        <f t="shared" si="81"/>
        <v>#VALUE!</v>
      </c>
      <c r="BV39" t="e">
        <f t="shared" si="82"/>
        <v>#VALUE!</v>
      </c>
      <c r="BW39" t="e">
        <f t="shared" si="83"/>
        <v>#VALUE!</v>
      </c>
      <c r="BX39" t="e">
        <f t="shared" si="84"/>
        <v>#VALUE!</v>
      </c>
      <c r="BY39" t="e">
        <f t="shared" si="85"/>
        <v>#VALUE!</v>
      </c>
      <c r="BZ39" t="e">
        <f t="shared" si="86"/>
        <v>#VALUE!</v>
      </c>
      <c r="CB39" t="e">
        <f t="shared" si="121"/>
        <v>#VALUE!</v>
      </c>
      <c r="CC39" t="e">
        <f t="shared" si="87"/>
        <v>#VALUE!</v>
      </c>
      <c r="CD39" t="e">
        <f t="shared" si="88"/>
        <v>#VALUE!</v>
      </c>
      <c r="CE39" t="e">
        <f t="shared" si="89"/>
        <v>#VALUE!</v>
      </c>
      <c r="CF39" t="e">
        <f t="shared" si="90"/>
        <v>#VALUE!</v>
      </c>
      <c r="CG39" t="e">
        <f t="shared" si="91"/>
        <v>#VALUE!</v>
      </c>
      <c r="CH39" t="e">
        <f t="shared" si="92"/>
        <v>#VALUE!</v>
      </c>
      <c r="CJ39" t="e">
        <f t="shared" si="122"/>
        <v>#VALUE!</v>
      </c>
      <c r="CK39" t="e">
        <f t="shared" si="93"/>
        <v>#VALUE!</v>
      </c>
      <c r="CL39" t="e">
        <f t="shared" si="94"/>
        <v>#VALUE!</v>
      </c>
      <c r="CM39" t="e">
        <f t="shared" si="95"/>
        <v>#VALUE!</v>
      </c>
      <c r="CN39" t="e">
        <f t="shared" si="96"/>
        <v>#VALUE!</v>
      </c>
      <c r="CO39" t="e">
        <f t="shared" si="97"/>
        <v>#VALUE!</v>
      </c>
      <c r="CP39" t="e">
        <f t="shared" si="98"/>
        <v>#VALUE!</v>
      </c>
      <c r="CR39" t="e">
        <f t="shared" si="123"/>
        <v>#VALUE!</v>
      </c>
      <c r="CS39" t="e">
        <f t="shared" si="99"/>
        <v>#VALUE!</v>
      </c>
      <c r="CT39" t="e">
        <f t="shared" si="100"/>
        <v>#VALUE!</v>
      </c>
      <c r="CU39" t="e">
        <f t="shared" si="101"/>
        <v>#VALUE!</v>
      </c>
      <c r="CV39" t="e">
        <f t="shared" si="102"/>
        <v>#VALUE!</v>
      </c>
      <c r="CW39" t="e">
        <f t="shared" si="103"/>
        <v>#VALUE!</v>
      </c>
      <c r="CX39" t="e">
        <f t="shared" si="104"/>
        <v>#VALUE!</v>
      </c>
      <c r="CZ39" t="e">
        <f t="shared" si="124"/>
        <v>#VALUE!</v>
      </c>
      <c r="DA39" t="e">
        <f t="shared" si="105"/>
        <v>#VALUE!</v>
      </c>
      <c r="DB39" t="e">
        <f t="shared" si="106"/>
        <v>#VALUE!</v>
      </c>
      <c r="DC39" t="e">
        <f t="shared" si="107"/>
        <v>#VALUE!</v>
      </c>
      <c r="DD39" t="e">
        <f t="shared" si="108"/>
        <v>#VALUE!</v>
      </c>
      <c r="DE39" t="e">
        <f t="shared" si="109"/>
        <v>#VALUE!</v>
      </c>
      <c r="DF39" t="e">
        <f t="shared" si="110"/>
        <v>#VALUE!</v>
      </c>
      <c r="DH39" t="e">
        <f>IF(OR(ROW()-4&gt;INDEX($U$4:$U$11,$AC$2+1,1)-INDEX($U$4:$U$11,$AC$2,1),ROW()-4&gt;$AD$2),NA(),COUNTIF(INDEX($BL$5:$BR$50,INDEX($U$4:$U$11,1,1),$AC$2):INDEX($BL$5:$BR$50,INDEX($U$4:$U$11,1,1)+ROW()-5,$AC$2),DH$3))</f>
        <v>#N/A</v>
      </c>
      <c r="DI39" t="e">
        <f>IF(OR(ROW()-4&gt;INDEX($U$4:$U$11,$AC$2+1,1)-INDEX($U$4:$U$11,$AC$2,1),ROW()-4&gt;$AD$2),NA(),COUNTIF(INDEX($BL$5:$BR$50,INDEX($U$4:$U$11,1,1),$AC$2):INDEX($BL$5:$BR$50,INDEX($U$4:$U$11,1,1)+ROW()-5,$AC$2),DI$3))</f>
        <v>#N/A</v>
      </c>
      <c r="DJ39" t="e">
        <f>IF(OR(ROW()-4&gt;INDEX($U$4:$U$11,$AC$2+1,1)-INDEX($U$4:$U$11,$AC$2,1),ROW()-4&gt;$AD$2),NA(),COUNTIF(INDEX($BL$5:$BR$50,INDEX($U$4:$U$11,1,1),$AC$2):INDEX($BL$5:$BR$50,INDEX($U$4:$U$11,1,1)+ROW()-5,$AC$2),DJ$3))</f>
        <v>#N/A</v>
      </c>
      <c r="DL39" t="e">
        <f>IF(OR(ROW()-4&gt;INDEX($U$4:$U$11,$AC$2+1,1)-INDEX($U$4:$U$11,$AC$2,1),ROW()-4&gt;$AD$2),NA(),COUNTIF(INDEX($BL$5:$BR$50,INDEX($U$4:$U$11,1,1),$AC$2):INDEX($BL$5:$BR$50,INDEX($U$4:$U$11,1,1)+ROW()-5,$AC$2),DL$3))</f>
        <v>#N/A</v>
      </c>
      <c r="DM39" t="e">
        <f>IF(OR(ROW()-4&gt;INDEX($U$4:$U$11,$AC$2+1,1)-INDEX($U$4:$U$11,$AC$2,1),ROW()-4&gt;$AD$2),NA(),COUNTIF(INDEX($BL$5:$BR$50,INDEX($U$4:$U$11,1,1),$AC$2):INDEX($BL$5:$BR$50,INDEX($U$4:$U$11,1,1)+ROW()-5,$AC$2),DM$3))</f>
        <v>#N/A</v>
      </c>
      <c r="DN39" t="e">
        <f>IF(OR(ROW()-4&gt;INDEX($U$4:$U$11,$AC$2+1,1)-INDEX($U$4:$U$11,$AC$2,1),ROW()-4&gt;$AD$2),NA(),COUNTIF(INDEX($BL$5:$BR$50,INDEX($U$4:$U$11,1,1),$AC$2):INDEX($BL$5:$BR$50,INDEX($U$4:$U$11,1,1)+ROW()-5,$AC$2),DN$3))</f>
        <v>#N/A</v>
      </c>
      <c r="DP39" t="e">
        <f>IF(OR(ROW()-4&gt;INDEX($U$4:$U$11,$AC$2+1,1)-INDEX($U$4:$U$11,$AC$2,1),ROW()-4&gt;$AD$2),NA(),COUNTIF(INDEX($BT$5:$BZ$201,INDEX($U$4:$U$11,1,1),$AC$2):INDEX($BT$5:$BZ$201,INDEX($U$4:$U$11,1,1)+ROW()-5,$AC$2),DP$3))</f>
        <v>#N/A</v>
      </c>
      <c r="DQ39" t="e">
        <f>IF(OR(ROW()-4&gt;INDEX($U$4:$U$11,$AC$2+1,1)-INDEX($U$4:$U$11,$AC$2,1),ROW()-4&gt;$AD$2),NA(),COUNTIF(INDEX($BT$5:$BZ$201,INDEX($U$4:$U$11,1,1),$AC$2):INDEX($BT$5:$BZ$201,INDEX($U$4:$U$11,1,1)+ROW()-5,$AC$2),DQ$3))</f>
        <v>#N/A</v>
      </c>
      <c r="DS39" t="e">
        <f>IF(OR(ROW()-4&gt;INDEX($U$4:$U$11,$AC$2+1,1)-INDEX($U$4:$U$11,$AC$2,1),ROW()-4&gt;$AD$2),NA(),COUNTIF(INDEX($BT$5:$BZ$201,INDEX($U$4:$U$11,1,1),$AC$2):INDEX($BT$5:$BZ$201,INDEX($U$4:$U$11,1,1)+ROW()-5,$AC$2),DS$3))</f>
        <v>#N/A</v>
      </c>
      <c r="DT39" t="e">
        <f>IF(OR(ROW()-4&gt;INDEX($U$4:$U$11,$AC$2+1,1)-INDEX($U$4:$U$11,$AC$2,1),ROW()-4&gt;$AD$2),NA(),COUNTIF(INDEX($BT$5:$BZ$201,INDEX($U$4:$U$11,1,1),$AC$2):INDEX($BT$5:$BZ$201,INDEX($U$4:$U$11,1,1)+ROW()-5,$AC$2),DT$3))</f>
        <v>#N/A</v>
      </c>
      <c r="DV39" t="e">
        <f>IF(OR(ROW()-4&gt;INDEX($U$4:$U$11,$AC$2+1,1)-INDEX($U$4:$U$11,$AC$2,1),ROW()-4&gt;$AD$2),NA(),COUNTIF(INDEX($CB$5:$CH$201,INDEX($U$4:$U$11,1,1),$AC$2):INDEX($CB$5:$CH$201,INDEX($U$4:$U$11,1,1)+ROW()-5,$AC$2),DV$3))</f>
        <v>#N/A</v>
      </c>
      <c r="DW39" t="e">
        <f>IF(OR(ROW()-4&gt;INDEX($U$4:$U$11,$AC$2+1,1)-INDEX($U$4:$U$11,$AC$2,1),ROW()-4&gt;$AD$2),NA(),COUNTIF(INDEX($CB$5:$CH$201,INDEX($U$4:$U$11,1,1),$AC$2):INDEX($CB$5:$CH$201,INDEX($U$4:$U$11,1,1)+ROW()-5,$AC$2),DW$3))</f>
        <v>#N/A</v>
      </c>
      <c r="DX39" t="e">
        <f>IF(OR(ROW()-4&gt;INDEX($U$4:$U$11,$AC$2+1,1)-INDEX($U$4:$U$11,$AC$2,1),ROW()-4&gt;$AD$2),NA(),COUNTIF(INDEX($CB$5:$CH$201,INDEX($U$4:$U$11,1,1),$AC$2):INDEX($CB$5:$CH$201,INDEX($U$4:$U$11,1,1)+ROW()-5,$AC$2),DX$3))</f>
        <v>#N/A</v>
      </c>
      <c r="DY39" t="e">
        <f>IF(OR(ROW()-4&gt;INDEX($U$4:$U$11,$AC$2+1,1)-INDEX($U$4:$U$11,$AC$2,1),ROW()-4&gt;$AD$2),NA(),COUNTIF(INDEX($CB$5:$CH$201,INDEX($U$4:$U$11,1,1),$AC$2):INDEX($CB$5:$CH$201,INDEX($U$4:$U$11,1,1)+ROW()-5,$AC$2),DY$3))</f>
        <v>#N/A</v>
      </c>
      <c r="DZ39" t="e">
        <f>IF(OR(ROW()-4&gt;INDEX($U$4:$U$11,$AC$2+1,1)-INDEX($U$4:$U$11,$AC$2,1),ROW()-4&gt;$AD$2),NA(),COUNTIF(INDEX($CB$5:$CH$201,INDEX($U$4:$U$11,1,1),$AC$2):INDEX($CB$5:$CH$201,INDEX($U$4:$U$11,1,1)+ROW()-5,$AC$2),DZ$3))</f>
        <v>#N/A</v>
      </c>
      <c r="EA39" t="e">
        <f>IF(OR(ROW()-4&gt;INDEX($U$4:$U$11,$AC$2+1,1)-INDEX($U$4:$U$11,$AC$2,1),ROW()-4&gt;$AD$2),NA(),COUNTIF(INDEX($CB$5:$CH$201,INDEX($U$4:$U$11,1,1),$AC$2):INDEX($CB$5:$CH$201,INDEX($U$4:$U$11,1,1)+ROW()-5,$AC$2),EA$3))</f>
        <v>#N/A</v>
      </c>
      <c r="EB39" t="e">
        <f>IF(OR(ROW()-4&gt;INDEX($U$4:$U$11,$AC$2+1,1)-INDEX($U$4:$U$11,$AC$2,1),ROW()-4&gt;$AD$2),NA(),COUNTIF(INDEX($CB$5:$CH$201,INDEX($U$4:$U$11,1,1),$AC$2):INDEX($CB$5:$CH$201,INDEX($U$4:$U$11,1,1)+ROW()-5,$AC$2),EB$3))</f>
        <v>#N/A</v>
      </c>
      <c r="EC39" t="e">
        <f>IF(OR(ROW()-4&gt;INDEX($U$4:$U$11,$AC$2+1,1)-INDEX($U$4:$U$11,$AC$2,1),ROW()-4&gt;$AD$2),NA(),COUNTIF(INDEX($CB$5:$CH$201,INDEX($U$4:$U$11,1,1),$AC$2):INDEX($CB$5:$CH$201,INDEX($U$4:$U$11,1,1)+ROW()-5,$AC$2),EC$3))</f>
        <v>#N/A</v>
      </c>
      <c r="EE39" t="e">
        <f>IF(OR(ROW()-4&gt;INDEX($U$4:$U$11,$AC$2+1,1)-INDEX($U$4:$U$11,$AC$2,1),ROW()-4&gt;$AD$2),NA(),COUNTIF(INDEX($CB$5:$CH$201,INDEX($U$4:$U$11,1,1),$AC$2):INDEX($CB$5:$CH$201,INDEX($U$4:$U$11,1,1)+ROW()-5,$AC$2),EE$3))</f>
        <v>#N/A</v>
      </c>
      <c r="EF39" t="e">
        <f>IF(OR(ROW()-4&gt;INDEX($U$4:$U$11,$AC$2+1,1)-INDEX($U$4:$U$11,$AC$2,1),ROW()-4&gt;$AD$2),NA(),COUNTIF(INDEX($CB$5:$CH$201,INDEX($U$4:$U$11,1,1),$AC$2):INDEX($CB$5:$CH$201,INDEX($U$4:$U$11,1,1)+ROW()-5,$AC$2),EF$3))</f>
        <v>#N/A</v>
      </c>
      <c r="EG39" t="e">
        <f>IF(OR(ROW()-4&gt;INDEX($U$4:$U$11,$AC$2+1,1)-INDEX($U$4:$U$11,$AC$2,1),ROW()-4&gt;$AD$2),NA(),COUNTIF(INDEX($CB$5:$CH$201,INDEX($U$4:$U$11,1,1),$AC$2):INDEX($CB$5:$CH$201,INDEX($U$4:$U$11,1,1)+ROW()-5,$AC$2),EG$3))</f>
        <v>#N/A</v>
      </c>
      <c r="EH39" t="e">
        <f>IF(OR(ROW()-4&gt;INDEX($U$4:$U$11,$AC$2+1,1)-INDEX($U$4:$U$11,$AC$2,1),ROW()-4&gt;$AD$2),NA(),COUNTIF(INDEX($CB$5:$CH$201,INDEX($U$4:$U$11,1,1),$AC$2):INDEX($CB$5:$CH$201,INDEX($U$4:$U$11,1,1)+ROW()-5,$AC$2),EH$3))</f>
        <v>#N/A</v>
      </c>
      <c r="EI39" t="e">
        <f>IF(OR(ROW()-4&gt;INDEX($U$4:$U$11,$AC$2+1,1)-INDEX($U$4:$U$11,$AC$2,1),ROW()-4&gt;$AD$2),NA(),COUNTIF(INDEX($CB$5:$CH$201,INDEX($U$4:$U$11,1,1),$AC$2):INDEX($CB$5:$CH$201,INDEX($U$4:$U$11,1,1)+ROW()-5,$AC$2),EI$3))</f>
        <v>#N/A</v>
      </c>
      <c r="EJ39" t="e">
        <f>IF(OR(ROW()-4&gt;INDEX($U$4:$U$11,$AC$2+1,1)-INDEX($U$4:$U$11,$AC$2,1),ROW()-4&gt;$AD$2),NA(),COUNTIF(INDEX($CB$5:$CH$201,INDEX($U$4:$U$11,1,1),$AC$2):INDEX($CB$5:$CH$201,INDEX($U$4:$U$11,1,1)+ROW()-5,$AC$2),EJ$3))</f>
        <v>#N/A</v>
      </c>
      <c r="EK39" t="e">
        <f>IF(OR(ROW()-4&gt;INDEX($U$4:$U$11,$AC$2+1,1)-INDEX($U$4:$U$11,$AC$2,1),ROW()-4&gt;$AD$2),NA(),COUNTIF(INDEX($CB$5:$CH$201,INDEX($U$4:$U$11,1,1),$AC$2):INDEX($CB$5:$CH$201,INDEX($U$4:$U$11,1,1)+ROW()-5,$AC$2),EK$3))</f>
        <v>#N/A</v>
      </c>
      <c r="EL39" t="e">
        <f>IF(OR(ROW()-4&gt;INDEX($U$4:$U$11,$AC$2+1,1)-INDEX($U$4:$U$11,$AC$2,1),ROW()-4&gt;$AD$2),NA(),COUNTIF(INDEX($CB$5:$CH$201,INDEX($U$4:$U$11,1,1),$AC$2):INDEX($CB$5:$CH$201,INDEX($U$4:$U$11,1,1)+ROW()-5,$AC$2),EL$3))</f>
        <v>#N/A</v>
      </c>
      <c r="EN39" t="e">
        <f>IF(OR(ROW()-4&gt;INDEX($U$4:$U$11,$AC$2+1,1)-INDEX($U$4:$U$11,$AC$2,1),ROW()-4&gt;$AD$2),NA(),COUNTIF(INDEX($CJ$5:$CP$201,INDEX($U$4:$U$11,1,1),$AC$2):INDEX($CJ$5:$CP$201,INDEX($U$4:$U$11,1,1)+ROW()-5,$AC$2),EN$3))</f>
        <v>#N/A</v>
      </c>
      <c r="EO39" t="e">
        <f>IF(OR(ROW()-4&gt;INDEX($U$4:$U$11,$AC$2+1,1)-INDEX($U$4:$U$11,$AC$2,1),ROW()-4&gt;$AD$2),NA(),COUNTIF(INDEX($CJ$5:$CP$201,INDEX($U$4:$U$11,1,1),$AC$2):INDEX($CJ$5:$CP$201,INDEX($U$4:$U$11,1,1)+ROW()-5,$AC$2),EO$3))</f>
        <v>#N/A</v>
      </c>
      <c r="EQ39" t="e">
        <f>IF(OR(ROW()-4&gt;INDEX($U$4:$U$11,$AC$2+1,1)-INDEX($U$4:$U$11,$AC$2,1),ROW()-4&gt;$AD$2),NA(),COUNTIF(INDEX($CJ$5:$CP$201,INDEX($U$4:$U$11,1,1),$AC$2):INDEX($CJ$5:$CP$201,INDEX($U$4:$U$11,1,1)+ROW()-5,$AC$2),EQ$3))</f>
        <v>#N/A</v>
      </c>
      <c r="ER39" t="e">
        <f>IF(OR(ROW()-4&gt;INDEX($U$4:$U$11,$AC$2+1,1)-INDEX($U$4:$U$11,$AC$2,1),ROW()-4&gt;$AD$2),NA(),COUNTIF(INDEX($CJ$5:$CP$201,INDEX($U$4:$U$11,1,1),$AC$2):INDEX($CJ$5:$CP$201,INDEX($U$4:$U$11,1,1)+ROW()-5,$AC$2),ER$3))</f>
        <v>#N/A</v>
      </c>
      <c r="ET39" t="e">
        <f>IF(OR(ROW()-4&gt;INDEX($U$4:$U$11,$AC$2+1,1)-INDEX($U$4:$U$11,$AC$2,1),ROW()-4&gt;$AD$2),NA(),COUNTIF(INDEX($CR$5:$CX$201,INDEX($U$4:$U$11,1,1),$AC$2):INDEX($CR$5:$CX$201,INDEX($U$4:$U$11,1,1)+ROW()-5,$AC$2),ET$3))</f>
        <v>#N/A</v>
      </c>
      <c r="EU39" t="e">
        <f>IF(OR(ROW()-4&gt;INDEX($U$4:$U$11,$AC$2+1,1)-INDEX($U$4:$U$11,$AC$2,1),ROW()-4&gt;$AD$2),NA(),COUNTIF(INDEX($CR$5:$CX$201,INDEX($U$4:$U$11,1,1),$AC$2):INDEX($CR$5:$CX$201,INDEX($U$4:$U$11,1,1)+ROW()-5,$AC$2),EU$3))</f>
        <v>#N/A</v>
      </c>
      <c r="EV39" t="e">
        <f>IF(OR(ROW()-4&gt;INDEX($U$4:$U$11,$AC$2+1,1)-INDEX($U$4:$U$11,$AC$2,1),ROW()-4&gt;$AD$2),NA(),COUNTIF(INDEX($CR$5:$CX$201,INDEX($U$4:$U$11,1,1),$AC$2):INDEX($CR$5:$CX$201,INDEX($U$4:$U$11,1,1)+ROW()-5,$AC$2),EV$3))</f>
        <v>#N/A</v>
      </c>
      <c r="EW39" t="e">
        <f>IF(OR(ROW()-4&gt;INDEX($U$4:$U$11,$AC$2+1,1)-INDEX($U$4:$U$11,$AC$2,1),ROW()-4&gt;$AD$2),NA(),COUNTIF(INDEX($CR$5:$CX$201,INDEX($U$4:$U$11,1,1),$AC$2):INDEX($CR$5:$CX$201,INDEX($U$4:$U$11,1,1)+ROW()-5,$AC$2),EW$3))</f>
        <v>#N/A</v>
      </c>
      <c r="EX39" t="e">
        <f>IF(OR(ROW()-4&gt;INDEX($U$4:$U$11,$AC$2+1,1)-INDEX($U$4:$U$11,$AC$2,1),ROW()-4&gt;$AD$2),NA(),COUNTIF(INDEX($CR$5:$CX$201,INDEX($U$4:$U$11,1,1),$AC$2):INDEX($CR$5:$CX$201,INDEX($U$4:$U$11,1,1)+ROW()-5,$AC$2),EX$3))</f>
        <v>#N/A</v>
      </c>
      <c r="EY39" t="e">
        <f>IF(OR(ROW()-4&gt;INDEX($U$4:$U$11,$AC$2+1,1)-INDEX($U$4:$U$11,$AC$2,1),ROW()-4&gt;$AD$2),NA(),COUNTIF(INDEX($CR$5:$CX$201,INDEX($U$4:$U$11,1,1),$AC$2):INDEX($CR$5:$CX$201,INDEX($U$4:$U$11,1,1)+ROW()-5,$AC$2),EY$3))</f>
        <v>#N/A</v>
      </c>
      <c r="EZ39" t="e">
        <f>IF(OR(ROW()-4&gt;INDEX($U$4:$U$11,$AC$2+1,1)-INDEX($U$4:$U$11,$AC$2,1),ROW()-4&gt;$AD$2),NA(),COUNTIF(INDEX($CR$5:$CX$201,INDEX($U$4:$U$11,1,1),$AC$2):INDEX($CR$5:$CX$201,INDEX($U$4:$U$11,1,1)+ROW()-5,$AC$2),EZ$3))</f>
        <v>#N/A</v>
      </c>
      <c r="FA39" t="e">
        <f>IF(OR(ROW()-4&gt;INDEX($U$4:$U$11,$AC$2+1,1)-INDEX($U$4:$U$11,$AC$2,1),ROW()-4&gt;$AD$2),NA(),COUNTIF(INDEX($CR$5:$CX$201,INDEX($U$4:$U$11,1,1),$AC$2):INDEX($CR$5:$CX$201,INDEX($U$4:$U$11,1,1)+ROW()-5,$AC$2),FA$3))</f>
        <v>#N/A</v>
      </c>
      <c r="FC39" t="e">
        <f>IF(OR(ROW()-4&gt;INDEX($U$4:$U$11,$AC$2+1,1)-INDEX($U$4:$U$11,$AC$2,1),ROW()-4&gt;$AD$2),NA(),COUNTIF(INDEX($CR$5:$CX$201,INDEX($U$4:$U$11,1,1),$AC$2):INDEX($CR$5:$CX$201,INDEX($U$4:$U$11,1,1)+ROW()-5,$AC$2),FC$3))</f>
        <v>#N/A</v>
      </c>
      <c r="FD39" t="e">
        <f>IF(OR(ROW()-4&gt;INDEX($U$4:$U$11,$AC$2+1,1)-INDEX($U$4:$U$11,$AC$2,1),ROW()-4&gt;$AD$2),NA(),COUNTIF(INDEX($CR$5:$CX$201,INDEX($U$4:$U$11,1,1),$AC$2):INDEX($CR$5:$CX$201,INDEX($U$4:$U$11,1,1)+ROW()-5,$AC$2),FD$3))</f>
        <v>#N/A</v>
      </c>
      <c r="FE39" t="e">
        <f>IF(OR(ROW()-4&gt;INDEX($U$4:$U$11,$AC$2+1,1)-INDEX($U$4:$U$11,$AC$2,1),ROW()-4&gt;$AD$2),NA(),COUNTIF(INDEX($CR$5:$CX$201,INDEX($U$4:$U$11,1,1),$AC$2):INDEX($CR$5:$CX$201,INDEX($U$4:$U$11,1,1)+ROW()-5,$AC$2),FE$3))</f>
        <v>#N/A</v>
      </c>
      <c r="FF39" t="e">
        <f>IF(OR(ROW()-4&gt;INDEX($U$4:$U$11,$AC$2+1,1)-INDEX($U$4:$U$11,$AC$2,1),ROW()-4&gt;$AD$2),NA(),COUNTIF(INDEX($CR$5:$CX$201,INDEX($U$4:$U$11,1,1),$AC$2):INDEX($CR$5:$CX$201,INDEX($U$4:$U$11,1,1)+ROW()-5,$AC$2),FF$3))</f>
        <v>#N/A</v>
      </c>
      <c r="FG39" t="e">
        <f>IF(OR(ROW()-4&gt;INDEX($U$4:$U$11,$AC$2+1,1)-INDEX($U$4:$U$11,$AC$2,1),ROW()-4&gt;$AD$2),NA(),COUNTIF(INDEX($CR$5:$CX$201,INDEX($U$4:$U$11,1,1),$AC$2):INDEX($CR$5:$CX$201,INDEX($U$4:$U$11,1,1)+ROW()-5,$AC$2),FG$3))</f>
        <v>#N/A</v>
      </c>
      <c r="FH39" t="e">
        <f>IF(OR(ROW()-4&gt;INDEX($U$4:$U$11,$AC$2+1,1)-INDEX($U$4:$U$11,$AC$2,1),ROW()-4&gt;$AD$2),NA(),COUNTIF(INDEX($CR$5:$CX$201,INDEX($U$4:$U$11,1,1),$AC$2):INDEX($CR$5:$CX$201,INDEX($U$4:$U$11,1,1)+ROW()-5,$AC$2),FH$3))</f>
        <v>#N/A</v>
      </c>
      <c r="FI39" t="e">
        <f>IF(OR(ROW()-4&gt;INDEX($U$4:$U$11,$AC$2+1,1)-INDEX($U$4:$U$11,$AC$2,1),ROW()-4&gt;$AD$2),NA(),COUNTIF(INDEX($CR$5:$CX$201,INDEX($U$4:$U$11,1,1),$AC$2):INDEX($CR$5:$CX$201,INDEX($U$4:$U$11,1,1)+ROW()-5,$AC$2),FI$3))</f>
        <v>#N/A</v>
      </c>
      <c r="FJ39" t="e">
        <f>IF(OR(ROW()-4&gt;INDEX($U$4:$U$11,$AC$2+1,1)-INDEX($U$4:$U$11,$AC$2,1),ROW()-4&gt;$AD$2),NA(),COUNTIF(INDEX($CR$5:$CX$201,INDEX($U$4:$U$11,1,1),$AC$2):INDEX($CR$5:$CX$201,INDEX($U$4:$U$11,1,1)+ROW()-5,$AC$2),FJ$3))</f>
        <v>#N/A</v>
      </c>
      <c r="FL39" t="e">
        <f>IF(OR(ROW()-4&gt;INDEX($U$4:$U$11,$AC$2+1,1)-INDEX($U$4:$U$11,$AC$2,1),ROW()-4&gt;$AD$2),NA(),COUNTIF(INDEX($CZ$5:$DF$201,INDEX($U$4:$U$11,1,1),$AC$2):INDEX($CZ$5:$DF$201,INDEX($U$4:$U$11,1,1)+ROW()-5,$AC$2),FL$3))</f>
        <v>#N/A</v>
      </c>
      <c r="FM39" t="e">
        <f>IF(OR(ROW()-4&gt;INDEX($U$4:$U$11,$AC$2+1,1)-INDEX($U$4:$U$11,$AC$2,1),ROW()-4&gt;$AD$2),NA(),COUNTIF(INDEX($CZ$5:$DF$201,INDEX($U$4:$U$11,1,1),$AC$2):INDEX($CZ$5:$DF$201,INDEX($U$4:$U$11,1,1)+ROW()-5,$AC$2),FM$3))</f>
        <v>#N/A</v>
      </c>
      <c r="FN39" t="e">
        <f>IF(OR(ROW()-4&gt;INDEX($U$4:$U$11,$AC$2+1,1)-INDEX($U$4:$U$11,$AC$2,1),ROW()-4&gt;$AD$2),NA(),COUNTIF(INDEX($CZ$5:$DF$201,INDEX($U$4:$U$11,1,1),$AC$2):INDEX($CZ$5:$DF$201,INDEX($U$4:$U$11,1,1)+ROW()-5,$AC$2),FN$3))</f>
        <v>#N/A</v>
      </c>
      <c r="FO39" t="e">
        <f>IF(OR(ROW()-4&gt;INDEX($U$4:$U$11,$AC$2+1,1)-INDEX($U$4:$U$11,$AC$2,1),ROW()-4&gt;$AD$2),NA(),COUNTIF(INDEX($CZ$5:$DF$201,INDEX($U$4:$U$11,1,1),$AC$2):INDEX($CZ$5:$DF$201,INDEX($U$4:$U$11,1,1)+ROW()-5,$AC$2),FO$3))</f>
        <v>#N/A</v>
      </c>
      <c r="FP39" t="e">
        <f>IF(OR(ROW()-4&gt;INDEX($U$4:$U$11,$AC$2+1,1)-INDEX($U$4:$U$11,$AC$2,1),ROW()-4&gt;$AD$2),NA(),COUNTIF(INDEX($CZ$5:$DF$201,INDEX($U$4:$U$11,1,1),$AC$2):INDEX($CZ$5:$DF$201,INDEX($U$4:$U$11,1,1)+ROW()-5,$AC$2),FP$3))</f>
        <v>#N/A</v>
      </c>
      <c r="FQ39" t="e">
        <f>IF(OR(ROW()-4&gt;INDEX($U$4:$U$11,$AC$2+1,1)-INDEX($U$4:$U$11,$AC$2,1),ROW()-4&gt;$AD$2),NA(),COUNTIF(INDEX($CZ$5:$DF$201,INDEX($U$4:$U$11,1,1),$AC$2):INDEX($CZ$5:$DF$201,INDEX($U$4:$U$11,1,1)+ROW()-5,$AC$2),FQ$3))</f>
        <v>#N/A</v>
      </c>
      <c r="FR39" t="e">
        <f>IF(OR(ROW()-4&gt;INDEX($U$4:$U$11,$AC$2+1,1)-INDEX($U$4:$U$11,$AC$2,1),ROW()-4&gt;$AD$2),NA(),COUNTIF(INDEX($CZ$5:$DF$201,INDEX($U$4:$U$11,1,1),$AC$2):INDEX($CZ$5:$DF$201,INDEX($U$4:$U$11,1,1)+ROW()-5,$AC$2),FR$3))</f>
        <v>#N/A</v>
      </c>
      <c r="FS39" t="e">
        <f>IF(OR(ROW()-4&gt;INDEX($U$4:$U$11,$AC$2+1,1)-INDEX($U$4:$U$11,$AC$2,1),ROW()-4&gt;$AD$2),NA(),COUNTIF(INDEX($CZ$5:$DF$201,INDEX($U$4:$U$11,1,1),$AC$2):INDEX($CZ$5:$DF$201,INDEX($U$4:$U$11,1,1)+ROW()-5,$AC$2),FS$3))</f>
        <v>#N/A</v>
      </c>
      <c r="FT39" t="e">
        <f>IF(OR(ROW()-4&gt;INDEX($U$4:$U$11,$AC$2+1,1)-INDEX($U$4:$U$11,$AC$2,1),ROW()-4&gt;$AD$2),NA(),COUNTIF(INDEX($CZ$5:$DF$201,INDEX($U$4:$U$11,1,1),$AC$2):INDEX($CZ$5:$DF$201,INDEX($U$4:$U$11,1,1)+ROW()-5,$AC$2),FT$3))</f>
        <v>#N/A</v>
      </c>
      <c r="FU39" t="e">
        <f>IF(OR(ROW()-4&gt;INDEX($U$4:$U$11,$AC$2+1,1)-INDEX($U$4:$U$11,$AC$2,1),ROW()-4&gt;$AD$2),NA(),COUNTIF(INDEX($CZ$5:$DF$201,INDEX($U$4:$U$11,1,1),$AC$2):INDEX($CZ$5:$DF$201,INDEX($U$4:$U$11,1,1)+ROW()-5,$AC$2),FU$3))</f>
        <v>#N/A</v>
      </c>
      <c r="FW39" t="e">
        <f>IF(OR(ROW()-4&gt;INDEX($U$4:$U$11,$AC$2+1,1)-INDEX($U$4:$U$11,$AC$2,1),ROW()-4&gt;$AD$2),NA(),COUNTIF(INDEX($CZ$5:$DF$201,INDEX($U$4:$U$11,1,1),$AC$2):INDEX($CZ$5:$DF$201,INDEX($U$4:$U$11,1,1)+ROW()-5,$AC$2),FW$3))</f>
        <v>#N/A</v>
      </c>
      <c r="FX39" t="e">
        <f>IF(OR(ROW()-4&gt;INDEX($U$4:$U$11,$AC$2+1,1)-INDEX($U$4:$U$11,$AC$2,1),ROW()-4&gt;$AD$2),NA(),COUNTIF(INDEX($CZ$5:$DF$201,INDEX($U$4:$U$11,1,1),$AC$2):INDEX($CZ$5:$DF$201,INDEX($U$4:$U$11,1,1)+ROW()-5,$AC$2),FX$3))</f>
        <v>#N/A</v>
      </c>
      <c r="FY39" t="e">
        <f>IF(OR(ROW()-4&gt;INDEX($U$4:$U$11,$AC$2+1,1)-INDEX($U$4:$U$11,$AC$2,1),ROW()-4&gt;$AD$2),NA(),COUNTIF(INDEX($CZ$5:$DF$201,INDEX($U$4:$U$11,1,1),$AC$2):INDEX($CZ$5:$DF$201,INDEX($U$4:$U$11,1,1)+ROW()-5,$AC$2),FY$3))</f>
        <v>#N/A</v>
      </c>
      <c r="FZ39" t="e">
        <f>IF(OR(ROW()-4&gt;INDEX($U$4:$U$11,$AC$2+1,1)-INDEX($U$4:$U$11,$AC$2,1),ROW()-4&gt;$AD$2),NA(),COUNTIF(INDEX($CZ$5:$DF$201,INDEX($U$4:$U$11,1,1),$AC$2):INDEX($CZ$5:$DF$201,INDEX($U$4:$U$11,1,1)+ROW()-5,$AC$2),FZ$3))</f>
        <v>#N/A</v>
      </c>
      <c r="GA39" t="e">
        <f>IF(OR(ROW()-4&gt;INDEX($U$4:$U$11,$AC$2+1,1)-INDEX($U$4:$U$11,$AC$2,1),ROW()-4&gt;$AD$2),NA(),COUNTIF(INDEX($CZ$5:$DF$201,INDEX($U$4:$U$11,1,1),$AC$2):INDEX($CZ$5:$DF$201,INDEX($U$4:$U$11,1,1)+ROW()-5,$AC$2),GA$3))</f>
        <v>#N/A</v>
      </c>
      <c r="GB39" t="e">
        <f>IF(OR(ROW()-4&gt;INDEX($U$4:$U$11,$AC$2+1,1)-INDEX($U$4:$U$11,$AC$2,1),ROW()-4&gt;$AD$2),NA(),COUNTIF(INDEX($CZ$5:$DF$201,INDEX($U$4:$U$11,1,1),$AC$2):INDEX($CZ$5:$DF$201,INDEX($U$4:$U$11,1,1)+ROW()-5,$AC$2),GB$3))</f>
        <v>#N/A</v>
      </c>
      <c r="GC39" t="e">
        <f>IF(OR(ROW()-4&gt;INDEX($U$4:$U$11,$AC$2+1,1)-INDEX($U$4:$U$11,$AC$2,1),ROW()-4&gt;$AD$2),NA(),COUNTIF(INDEX($CZ$5:$DF$201,INDEX($U$4:$U$11,1,1),$AC$2):INDEX($CZ$5:$DF$201,INDEX($U$4:$U$11,1,1)+ROW()-5,$AC$2),GC$3))</f>
        <v>#N/A</v>
      </c>
      <c r="GD39" t="e">
        <f>IF(OR(ROW()-4&gt;INDEX($U$4:$U$11,$AC$2+1,1)-INDEX($U$4:$U$11,$AC$2,1),ROW()-4&gt;$AD$2),NA(),COUNTIF(INDEX($CZ$5:$DF$201,INDEX($U$4:$U$11,1,1),$AC$2):INDEX($CZ$5:$DF$201,INDEX($U$4:$U$11,1,1)+ROW()-5,$AC$2),GD$3))</f>
        <v>#N/A</v>
      </c>
      <c r="GE39" t="e">
        <f>IF(OR(ROW()-4&gt;INDEX($U$4:$U$11,$AC$2+1,1)-INDEX($U$4:$U$11,$AC$2,1),ROW()-4&gt;$AD$2),NA(),COUNTIF(INDEX($CZ$5:$DF$201,INDEX($U$4:$U$11,1,1),$AC$2):INDEX($CZ$5:$DF$201,INDEX($U$4:$U$11,1,1)+ROW()-5,$AC$2),GE$3))</f>
        <v>#N/A</v>
      </c>
      <c r="GF39" t="e">
        <f>IF(OR(ROW()-4&gt;INDEX($U$4:$U$11,$AC$2+1,1)-INDEX($U$4:$U$11,$AC$2,1),ROW()-4&gt;$AD$2),NA(),COUNTIF(INDEX($CZ$5:$DF$201,INDEX($U$4:$U$11,1,1),$AC$2):INDEX($CZ$5:$DF$201,INDEX($U$4:$U$11,1,1)+ROW()-5,$AC$2),GF$3))</f>
        <v>#N/A</v>
      </c>
      <c r="GO39" s="16"/>
      <c r="GP39" s="17"/>
      <c r="GQ39" s="65" t="s">
        <v>66</v>
      </c>
      <c r="GR39" s="65"/>
      <c r="GS39" s="65"/>
      <c r="GT39" s="65"/>
      <c r="GV39" s="65" t="s">
        <v>66</v>
      </c>
      <c r="GW39" s="65"/>
      <c r="GX39" s="65"/>
      <c r="GY39" s="65"/>
      <c r="GZ39" s="17"/>
      <c r="HA39" s="17"/>
      <c r="HB39" s="17"/>
      <c r="HC39" s="17"/>
      <c r="HD39" s="17"/>
      <c r="HE39" s="17" t="s">
        <v>58</v>
      </c>
      <c r="HF39" s="46">
        <f>EX43</f>
        <v>0</v>
      </c>
      <c r="HG39" s="43"/>
      <c r="HH39" s="59">
        <f>EX93</f>
        <v>0</v>
      </c>
      <c r="HI39" s="59">
        <f t="shared" si="132"/>
        <v>0</v>
      </c>
      <c r="HJ39" s="43"/>
      <c r="HK39" s="43"/>
      <c r="HL39" s="43"/>
      <c r="HM39" s="44"/>
    </row>
    <row r="40" spans="1:221" x14ac:dyDescent="0.45">
      <c r="A40" t="str">
        <f>データの貼付!A38</f>
        <v>FENG Tianwei</v>
      </c>
      <c r="B40">
        <f>データの貼付!B38</f>
        <v>1.0584641203703704E-2</v>
      </c>
      <c r="C40">
        <f>データの貼付!C38</f>
        <v>5.6377314814814821E-5</v>
      </c>
      <c r="D40">
        <f>データの貼付!D38</f>
        <v>1.3888888888888889E-3</v>
      </c>
      <c r="E40" t="str">
        <f>データの貼付!F38</f>
        <v>FENG Tianwei</v>
      </c>
      <c r="F40">
        <f>データの貼付!E38</f>
        <v>4.1666666666666664E-2</v>
      </c>
      <c r="G40" t="str">
        <f>データの貼付!G38</f>
        <v>#01</v>
      </c>
      <c r="H40" t="str">
        <f>データの貼付!H38</f>
        <v>FENG Tianwei</v>
      </c>
      <c r="I40" t="str">
        <f>データの貼付!I38</f>
        <v>Side</v>
      </c>
      <c r="J40" t="str">
        <f>データの貼付!J38</f>
        <v>B</v>
      </c>
      <c r="K40" t="str">
        <f>データの貼付!K38</f>
        <v>BM</v>
      </c>
      <c r="L40" t="str">
        <f>データの貼付!L38</f>
        <v>F</v>
      </c>
      <c r="M40" t="str">
        <f>データの貼付!M38</f>
        <v>ドライブ</v>
      </c>
      <c r="N40" t="str">
        <f>データの貼付!N38</f>
        <v>ネットオーバー</v>
      </c>
      <c r="R40">
        <f t="shared" si="59"/>
        <v>0</v>
      </c>
      <c r="S40">
        <f>SUM(R$4:R40)</f>
        <v>3</v>
      </c>
      <c r="T40" t="str">
        <f t="shared" si="60"/>
        <v/>
      </c>
      <c r="W40" t="str">
        <f t="shared" si="57"/>
        <v>FENG Tianwei_FENG Tianwei</v>
      </c>
      <c r="X40" t="str">
        <f t="shared" si="58"/>
        <v>FENG Tianwei_#01</v>
      </c>
      <c r="AC40" s="8" t="e">
        <f>IF(OR(ROW()-4&gt;INDEX($U$4:$U$11,AC$2+1)-INDEX($U$4:$U$11,AC$2),ROW()-4&gt;AD$2),NA(),COUNTIF(INDEX($W$4:$W$200,INDEX($U$4:$U$11,AC$2)):INDEX($W$4:$W$200,INDEX($U$4:$U$11,AC$2)+ROW()-5),AC$3&amp;"_"&amp;AC$3)/(COUNTIF(INDEX($W$4:$W$200,INDEX($U$4:$U$11,AC$2)):INDEX($W$4:$W$200,INDEX($U$4:$U$11,AC$2)+ROW()-5),AC$3&amp;"_"&amp;AC$3)+COUNTIF(INDEX($W$4:$W$200,INDEX($U$4:$U$11,AC$2)):INDEX($W$4:$W$200,INDEX($U$4:$U$11,AC$2)+ROW()-5),AD$3&amp;"_"&amp;AC$3)))</f>
        <v>#N/A</v>
      </c>
      <c r="AD40" s="8" t="e">
        <f>IF(OR(ROW()-4&gt;INDEX($U$4:$U$11,AC$2+1)-INDEX($U$4:$U$11,AC$2),ROW()-4&gt;AD$2),NA(),COUNTIF(INDEX($W$4:$W$200,INDEX($U$4:$U$11,AC$2)):INDEX($W$4:$W$200,INDEX($U$4:$U$11,AC$2)+ROW()-5),AD$3&amp;"_"&amp;AD$3)/(COUNTIF(INDEX($W$4:$W$200,INDEX($U$4:$U$11,AC$2)):INDEX($W$4:$W$200,INDEX($U$4:$U$11,AC$2)+ROW()-5),AD$3&amp;"_"&amp;AD$3)+COUNTIF(INDEX($W$4:$W$200,INDEX($U$4:$U$11,AC$2)):INDEX($W$4:$W$200,INDEX($U$4:$U$11,AC$2)+ROW()-5),AC$3&amp;"_"&amp;AD$3)))</f>
        <v>#N/A</v>
      </c>
      <c r="AE40" s="10" t="e">
        <f>IF(OR(ROW()-4&gt;INDEX($U$4:$U$11,AC$2+1)-INDEX($U$4:$U$11,AC$2),ROW()-4&gt;AD$2),NA(),COUNTIF(INDEX($W$4:$W$200,INDEX($U$4:$U$11,AC$2)):INDEX($W$4:$W$200,INDEX($U$4:$U$11,AC$2)+ROW()-5),AC$3&amp;"_"&amp;AD$3)/(COUNTIF(INDEX($W$4:$W$200,INDEX($U$4:$U$11,AC$2)):INDEX($W$4:$W$200,INDEX($U$4:$U$11,AC$2)+ROW()-5),AC$3&amp;"_"&amp;AD$3)+COUNTIF(INDEX($W$4:$W$200,INDEX($U$4:$U$11,AC$2)):INDEX($W$4:$W$200,INDEX($U$4:$U$11,AC$2)+ROW()-5),AD$3&amp;"_"&amp;AD$3)))</f>
        <v>#N/A</v>
      </c>
      <c r="AF40" s="10" t="e">
        <f>IF(OR(ROW()-4&gt;INDEX($U$4:$U$11,AC$2+1)-INDEX($U$4:$U$11,AC$2),ROW()-4&gt;AD$2),NA(),COUNTIF(INDEX($W$4:$W$200,INDEX($U$4:$U$11,AC$2)):INDEX($W$4:$W$200,INDEX($U$4:$U$11,AC$2)+ROW()-5),AD$3&amp;"_"&amp;AC$3)/(COUNTIF(INDEX($W$4:$W$200,INDEX($U$4:$U$11,AC$2)):INDEX($W$4:$W$200,INDEX($U$4:$U$11,AC$2)+ROW()-5),AD$3&amp;"_"&amp;AC$3)+COUNTIF(INDEX($W$4:$W$200,INDEX($U$4:$U$11,AC$2)):INDEX($W$4:$W$200,INDEX($U$4:$U$11,AC$2)+ROW()-5),AC$3&amp;"_"&amp;AC$3)))</f>
        <v>#N/A</v>
      </c>
      <c r="AG40" s="10" t="e">
        <f>IF(OR(ROW()-4&gt;INDEX($U$4:$U$11,AC$2+1)-INDEX($U$4:$U$11,AC$2),ROW()-4&gt;AD$2),NA(),COUNTIF(INDEX($X$4:$X$200,INDEX($U$4:$U$11,AC$2)):INDEX($X$4:$X$200,INDEX($U$4:$U$11,AC$2)+ROW()-5),AC$3&amp;"_#03")/(COUNTIF(INDEX($W$4:$W$200,INDEX($U$4:$U$11,AC$2)):INDEX($W$4:$W$200,INDEX($U$4:$U$11,AC$2)+ROW()-5),AC$3&amp;"_"&amp;AC$3)+COUNTIF(INDEX($W$4:$W$200,INDEX($U$4:$U$11,AC$2)):INDEX($W$4:$W$200,INDEX($U$4:$U$11,AC$2)+ROW()-5),AD$3&amp;"_"&amp;AC$3)))</f>
        <v>#N/A</v>
      </c>
      <c r="AH40" s="10" t="e">
        <f>IF(OR(ROW()-4&gt;INDEX($U$4:$U$11,AC$2+1)-INDEX($U$4:$U$11,AC$2),ROW()-4&gt;AD$2),NA(),COUNTIF(INDEX($X$4:$X$200,INDEX($U$4:$U$11,AC$2)):INDEX($X$4:$X$200,INDEX($U$4:$U$11,AC$2)+ROW()-5),AD$3&amp;"_#03")/(COUNTIF(INDEX($W$4:$W$200,INDEX($U$4:$U$11,AC$2)):INDEX($W$4:$W$200,INDEX($U$4:$U$11,AC$2)+ROW()-5),AD$3&amp;"_"&amp;AD$3)+COUNTIF(INDEX($W$4:$W$200,INDEX($U$4:$U$11,AC$2)):INDEX($W$4:$W$200,INDEX($U$4:$U$11,AC$2)+ROW()-5),AC$3&amp;"_"&amp;AD$3)))</f>
        <v>#N/A</v>
      </c>
      <c r="AI40" s="10" t="e">
        <f>IF(OR(ROW()-4&gt;INDEX($U$4:$U$11,AC$2+1)-INDEX($U$4:$U$11,AC$2),ROW()-4&gt;AD$2),NA(),(COUNTIF(INDEX($X$4:$X$200,INDEX($U$4:$U$11,AC$2)):INDEX($X$4:$X$200,INDEX($U$4:$U$11,AC$2)+ROW()-5),AC$3&amp;"_#03")-COUNTIF(INDEX($X$4:$X$200,INDEX($U$4:$U$11,AC$2)):INDEX($X$4:$X$200,INDEX($U$4:$U$11,AC$2)+ROW()-5),AD$3&amp;"_#02"))/(COUNTIF(INDEX($W$4:$W$200,INDEX($U$4:$U$11,AC$2)):INDEX($W$4:$W$200,INDEX($U$4:$U$11,AC$2)+ROW()-5),AC$3&amp;"_"&amp;AC$3)+COUNTIF(INDEX($W$4:$W$200,INDEX($U$4:$U$11,AC$2)):INDEX($W$4:$W$200,INDEX($U$4:$U$11,AC$2)+ROW()-5),AD$3&amp;"_"&amp;AC$3)))</f>
        <v>#N/A</v>
      </c>
      <c r="AJ40" s="10" t="e">
        <f>IF(OR(ROW()-4&gt;INDEX($U$4:$U$11,AC$2+1)-INDEX($U$4:$U$11,AC$2),ROW()-4&gt;AD$2),NA(),(COUNTIF(INDEX($X$4:$X$200,INDEX($U$4:$U$11,AC$2)):INDEX($X$4:$X$200,INDEX($U$4:$U$11,AC$2)+ROW()-5),AD$3&amp;"_#03")-COUNTIF(INDEX($X$4:$X$200,INDEX($U$4:$U$11,AC$2)):INDEX($X$4:$X$200,INDEX($U$4:$U$11,AC$2)+ROW()-5),AC$3&amp;"_#02"))/(COUNTIF(INDEX($W$4:$W$200,INDEX($U$4:$U$11,AC$2)):INDEX($W$4:$W$200,INDEX($U$4:$U$11,AC$2)+ROW()-5),AD$3&amp;"_"&amp;AD$3)+COUNTIF(INDEX($W$4:$W$200,INDEX($U$4:$U$11,AC$2)):INDEX($W$4:$W$200,INDEX($U$4:$U$11,AC$2)+ROW()-5),AC$3&amp;"_"&amp;AD$3)))</f>
        <v>#N/A</v>
      </c>
      <c r="AK40" s="10" t="e">
        <f>IF(OR(ROW()-4&gt;INDEX($U$4:$U$11,AC$2+1)-INDEX($U$4:$U$11,AC$2),ROW()-4&gt;AD$2),NA(),(COUNTIF(INDEX($X$4:$X$200,INDEX($U$4:$U$11,AC$2)):INDEX($X$4:$X$200,INDEX($U$4:$U$11,AC$2)+ROW()-5),AC$3&amp;"_#01")+COUNTIF(INDEX($X$4:$X$200,INDEX($U$4:$U$11,AC$2)):INDEX($X$4:$X$200,INDEX($U$4:$U$11,AC$2)+ROW()-5),AC$3&amp;"_#03"))/(COUNTIF(INDEX($W$4:$W$200,INDEX($U$4:$U$11,AC$2)):INDEX($W$4:$W$200,INDEX($U$4:$U$11,AC$2)+ROW()-5),AC$3&amp;"_"&amp;AC$3)+COUNTIF(INDEX($W$4:$W$200,INDEX($U$4:$U$11,AC$2)):INDEX($W$4:$W$200,INDEX($U$4:$U$11,AC$2)+ROW()-5),AD$3&amp;"_"&amp;AC$3)))</f>
        <v>#N/A</v>
      </c>
      <c r="AL40" s="10" t="e">
        <f>IF(OR(ROW()-4&gt;INDEX($U$4:$U$11,AC$2+1)-INDEX($U$4:$U$11,AC$2),ROW()-4&gt;AD$2),NA(),(COUNTIF(INDEX($X$4:$X$200,INDEX($U$4:$U$11,AC$2)):INDEX($X$4:$X$200,INDEX($U$4:$U$11,AC$2)+ROW()-5),AD$3&amp;"_#01")+COUNTIF(INDEX($X$4:$X$200,INDEX($U$4:$U$11,AC$2)):INDEX($X$4:$X$200,INDEX($U$4:$U$11,AC$2)+ROW()-5),AD$3&amp;"_#03"))/(COUNTIF(INDEX($W$4:$W$200,INDEX($U$4:$U$11,AC$2)):INDEX($W$4:$W$200,INDEX($U$4:$U$11,AC$2)+ROW()-5),AD$3&amp;"_"&amp;AD$3)+COUNTIF(INDEX($W$4:$W$200,INDEX($U$4:$U$11,AC$2)):INDEX($W$4:$W$200,INDEX($U$4:$U$11,AC$2)+ROW()-5),AC$3&amp;"_"&amp;AD$3)))</f>
        <v>#N/A</v>
      </c>
      <c r="AN40" t="str">
        <f t="shared" si="125"/>
        <v/>
      </c>
      <c r="AO40" t="str">
        <f t="shared" si="111"/>
        <v/>
      </c>
      <c r="AP40" t="str">
        <f t="shared" si="112"/>
        <v/>
      </c>
      <c r="AQ40" t="str">
        <f t="shared" si="113"/>
        <v/>
      </c>
      <c r="AR40" t="str">
        <f t="shared" si="114"/>
        <v/>
      </c>
      <c r="AS40" t="e">
        <f t="shared" si="115"/>
        <v>#VALUE!</v>
      </c>
      <c r="AT40" t="e">
        <f t="shared" si="116"/>
        <v>#VALUE!</v>
      </c>
      <c r="AV40" t="e">
        <f t="shared" si="117"/>
        <v>#VALUE!</v>
      </c>
      <c r="AW40" t="e">
        <f t="shared" si="63"/>
        <v>#VALUE!</v>
      </c>
      <c r="AX40" t="e">
        <f t="shared" si="64"/>
        <v>#VALUE!</v>
      </c>
      <c r="AY40" t="e">
        <f t="shared" si="65"/>
        <v>#VALUE!</v>
      </c>
      <c r="AZ40" t="e">
        <f t="shared" si="66"/>
        <v>#VALUE!</v>
      </c>
      <c r="BA40" t="e">
        <f t="shared" si="67"/>
        <v>#VALUE!</v>
      </c>
      <c r="BB40" t="e">
        <f t="shared" si="68"/>
        <v>#VALUE!</v>
      </c>
      <c r="BD40" t="e">
        <f t="shared" si="118"/>
        <v>#VALUE!</v>
      </c>
      <c r="BE40" t="e">
        <f t="shared" si="69"/>
        <v>#VALUE!</v>
      </c>
      <c r="BF40" t="e">
        <f t="shared" si="70"/>
        <v>#VALUE!</v>
      </c>
      <c r="BG40" t="e">
        <f t="shared" si="71"/>
        <v>#VALUE!</v>
      </c>
      <c r="BH40" t="e">
        <f t="shared" si="72"/>
        <v>#VALUE!</v>
      </c>
      <c r="BI40" t="e">
        <f t="shared" si="73"/>
        <v>#VALUE!</v>
      </c>
      <c r="BJ40" t="e">
        <f t="shared" si="74"/>
        <v>#VALUE!</v>
      </c>
      <c r="BL40" t="e">
        <f t="shared" si="119"/>
        <v>#VALUE!</v>
      </c>
      <c r="BM40" t="e">
        <f t="shared" si="75"/>
        <v>#VALUE!</v>
      </c>
      <c r="BN40" t="e">
        <f t="shared" si="76"/>
        <v>#VALUE!</v>
      </c>
      <c r="BO40" t="e">
        <f t="shared" si="77"/>
        <v>#VALUE!</v>
      </c>
      <c r="BP40" t="e">
        <f t="shared" si="78"/>
        <v>#VALUE!</v>
      </c>
      <c r="BQ40" t="e">
        <f t="shared" si="79"/>
        <v>#VALUE!</v>
      </c>
      <c r="BR40" t="e">
        <f t="shared" si="80"/>
        <v>#VALUE!</v>
      </c>
      <c r="BT40" t="e">
        <f t="shared" si="120"/>
        <v>#VALUE!</v>
      </c>
      <c r="BU40" t="e">
        <f t="shared" si="81"/>
        <v>#VALUE!</v>
      </c>
      <c r="BV40" t="e">
        <f t="shared" si="82"/>
        <v>#VALUE!</v>
      </c>
      <c r="BW40" t="e">
        <f t="shared" si="83"/>
        <v>#VALUE!</v>
      </c>
      <c r="BX40" t="e">
        <f t="shared" si="84"/>
        <v>#VALUE!</v>
      </c>
      <c r="BY40" t="e">
        <f t="shared" si="85"/>
        <v>#VALUE!</v>
      </c>
      <c r="BZ40" t="e">
        <f t="shared" si="86"/>
        <v>#VALUE!</v>
      </c>
      <c r="CB40" t="e">
        <f t="shared" si="121"/>
        <v>#VALUE!</v>
      </c>
      <c r="CC40" t="e">
        <f t="shared" si="87"/>
        <v>#VALUE!</v>
      </c>
      <c r="CD40" t="e">
        <f t="shared" si="88"/>
        <v>#VALUE!</v>
      </c>
      <c r="CE40" t="e">
        <f t="shared" si="89"/>
        <v>#VALUE!</v>
      </c>
      <c r="CF40" t="e">
        <f t="shared" si="90"/>
        <v>#VALUE!</v>
      </c>
      <c r="CG40" t="e">
        <f t="shared" si="91"/>
        <v>#VALUE!</v>
      </c>
      <c r="CH40" t="e">
        <f t="shared" si="92"/>
        <v>#VALUE!</v>
      </c>
      <c r="CJ40" t="e">
        <f t="shared" si="122"/>
        <v>#VALUE!</v>
      </c>
      <c r="CK40" t="e">
        <f t="shared" si="93"/>
        <v>#VALUE!</v>
      </c>
      <c r="CL40" t="e">
        <f t="shared" si="94"/>
        <v>#VALUE!</v>
      </c>
      <c r="CM40" t="e">
        <f t="shared" si="95"/>
        <v>#VALUE!</v>
      </c>
      <c r="CN40" t="e">
        <f t="shared" si="96"/>
        <v>#VALUE!</v>
      </c>
      <c r="CO40" t="e">
        <f t="shared" si="97"/>
        <v>#VALUE!</v>
      </c>
      <c r="CP40" t="e">
        <f t="shared" si="98"/>
        <v>#VALUE!</v>
      </c>
      <c r="CR40" t="e">
        <f t="shared" si="123"/>
        <v>#VALUE!</v>
      </c>
      <c r="CS40" t="e">
        <f t="shared" si="99"/>
        <v>#VALUE!</v>
      </c>
      <c r="CT40" t="e">
        <f t="shared" si="100"/>
        <v>#VALUE!</v>
      </c>
      <c r="CU40" t="e">
        <f t="shared" si="101"/>
        <v>#VALUE!</v>
      </c>
      <c r="CV40" t="e">
        <f t="shared" si="102"/>
        <v>#VALUE!</v>
      </c>
      <c r="CW40" t="e">
        <f t="shared" si="103"/>
        <v>#VALUE!</v>
      </c>
      <c r="CX40" t="e">
        <f t="shared" si="104"/>
        <v>#VALUE!</v>
      </c>
      <c r="CZ40" t="e">
        <f t="shared" si="124"/>
        <v>#VALUE!</v>
      </c>
      <c r="DA40" t="e">
        <f t="shared" si="105"/>
        <v>#VALUE!</v>
      </c>
      <c r="DB40" t="e">
        <f t="shared" si="106"/>
        <v>#VALUE!</v>
      </c>
      <c r="DC40" t="e">
        <f t="shared" si="107"/>
        <v>#VALUE!</v>
      </c>
      <c r="DD40" t="e">
        <f t="shared" si="108"/>
        <v>#VALUE!</v>
      </c>
      <c r="DE40" t="e">
        <f t="shared" si="109"/>
        <v>#VALUE!</v>
      </c>
      <c r="DF40" t="e">
        <f t="shared" si="110"/>
        <v>#VALUE!</v>
      </c>
      <c r="DH40" t="e">
        <f>IF(OR(ROW()-4&gt;INDEX($U$4:$U$11,$AC$2+1,1)-INDEX($U$4:$U$11,$AC$2,1),ROW()-4&gt;$AD$2),NA(),COUNTIF(INDEX($BL$5:$BR$50,INDEX($U$4:$U$11,1,1),$AC$2):INDEX($BL$5:$BR$50,INDEX($U$4:$U$11,1,1)+ROW()-5,$AC$2),DH$3))</f>
        <v>#N/A</v>
      </c>
      <c r="DI40" t="e">
        <f>IF(OR(ROW()-4&gt;INDEX($U$4:$U$11,$AC$2+1,1)-INDEX($U$4:$U$11,$AC$2,1),ROW()-4&gt;$AD$2),NA(),COUNTIF(INDEX($BL$5:$BR$50,INDEX($U$4:$U$11,1,1),$AC$2):INDEX($BL$5:$BR$50,INDEX($U$4:$U$11,1,1)+ROW()-5,$AC$2),DI$3))</f>
        <v>#N/A</v>
      </c>
      <c r="DJ40" t="e">
        <f>IF(OR(ROW()-4&gt;INDEX($U$4:$U$11,$AC$2+1,1)-INDEX($U$4:$U$11,$AC$2,1),ROW()-4&gt;$AD$2),NA(),COUNTIF(INDEX($BL$5:$BR$50,INDEX($U$4:$U$11,1,1),$AC$2):INDEX($BL$5:$BR$50,INDEX($U$4:$U$11,1,1)+ROW()-5,$AC$2),DJ$3))</f>
        <v>#N/A</v>
      </c>
      <c r="DL40" t="e">
        <f>IF(OR(ROW()-4&gt;INDEX($U$4:$U$11,$AC$2+1,1)-INDEX($U$4:$U$11,$AC$2,1),ROW()-4&gt;$AD$2),NA(),COUNTIF(INDEX($BL$5:$BR$50,INDEX($U$4:$U$11,1,1),$AC$2):INDEX($BL$5:$BR$50,INDEX($U$4:$U$11,1,1)+ROW()-5,$AC$2),DL$3))</f>
        <v>#N/A</v>
      </c>
      <c r="DM40" t="e">
        <f>IF(OR(ROW()-4&gt;INDEX($U$4:$U$11,$AC$2+1,1)-INDEX($U$4:$U$11,$AC$2,1),ROW()-4&gt;$AD$2),NA(),COUNTIF(INDEX($BL$5:$BR$50,INDEX($U$4:$U$11,1,1),$AC$2):INDEX($BL$5:$BR$50,INDEX($U$4:$U$11,1,1)+ROW()-5,$AC$2),DM$3))</f>
        <v>#N/A</v>
      </c>
      <c r="DN40" t="e">
        <f>IF(OR(ROW()-4&gt;INDEX($U$4:$U$11,$AC$2+1,1)-INDEX($U$4:$U$11,$AC$2,1),ROW()-4&gt;$AD$2),NA(),COUNTIF(INDEX($BL$5:$BR$50,INDEX($U$4:$U$11,1,1),$AC$2):INDEX($BL$5:$BR$50,INDEX($U$4:$U$11,1,1)+ROW()-5,$AC$2),DN$3))</f>
        <v>#N/A</v>
      </c>
      <c r="DP40" t="e">
        <f>IF(OR(ROW()-4&gt;INDEX($U$4:$U$11,$AC$2+1,1)-INDEX($U$4:$U$11,$AC$2,1),ROW()-4&gt;$AD$2),NA(),COUNTIF(INDEX($BT$5:$BZ$201,INDEX($U$4:$U$11,1,1),$AC$2):INDEX($BT$5:$BZ$201,INDEX($U$4:$U$11,1,1)+ROW()-5,$AC$2),DP$3))</f>
        <v>#N/A</v>
      </c>
      <c r="DQ40" t="e">
        <f>IF(OR(ROW()-4&gt;INDEX($U$4:$U$11,$AC$2+1,1)-INDEX($U$4:$U$11,$AC$2,1),ROW()-4&gt;$AD$2),NA(),COUNTIF(INDEX($BT$5:$BZ$201,INDEX($U$4:$U$11,1,1),$AC$2):INDEX($BT$5:$BZ$201,INDEX($U$4:$U$11,1,1)+ROW()-5,$AC$2),DQ$3))</f>
        <v>#N/A</v>
      </c>
      <c r="DS40" t="e">
        <f>IF(OR(ROW()-4&gt;INDEX($U$4:$U$11,$AC$2+1,1)-INDEX($U$4:$U$11,$AC$2,1),ROW()-4&gt;$AD$2),NA(),COUNTIF(INDEX($BT$5:$BZ$201,INDEX($U$4:$U$11,1,1),$AC$2):INDEX($BT$5:$BZ$201,INDEX($U$4:$U$11,1,1)+ROW()-5,$AC$2),DS$3))</f>
        <v>#N/A</v>
      </c>
      <c r="DT40" t="e">
        <f>IF(OR(ROW()-4&gt;INDEX($U$4:$U$11,$AC$2+1,1)-INDEX($U$4:$U$11,$AC$2,1),ROW()-4&gt;$AD$2),NA(),COUNTIF(INDEX($BT$5:$BZ$201,INDEX($U$4:$U$11,1,1),$AC$2):INDEX($BT$5:$BZ$201,INDEX($U$4:$U$11,1,1)+ROW()-5,$AC$2),DT$3))</f>
        <v>#N/A</v>
      </c>
      <c r="DV40" t="e">
        <f>IF(OR(ROW()-4&gt;INDEX($U$4:$U$11,$AC$2+1,1)-INDEX($U$4:$U$11,$AC$2,1),ROW()-4&gt;$AD$2),NA(),COUNTIF(INDEX($CB$5:$CH$201,INDEX($U$4:$U$11,1,1),$AC$2):INDEX($CB$5:$CH$201,INDEX($U$4:$U$11,1,1)+ROW()-5,$AC$2),DV$3))</f>
        <v>#N/A</v>
      </c>
      <c r="DW40" t="e">
        <f>IF(OR(ROW()-4&gt;INDEX($U$4:$U$11,$AC$2+1,1)-INDEX($U$4:$U$11,$AC$2,1),ROW()-4&gt;$AD$2),NA(),COUNTIF(INDEX($CB$5:$CH$201,INDEX($U$4:$U$11,1,1),$AC$2):INDEX($CB$5:$CH$201,INDEX($U$4:$U$11,1,1)+ROW()-5,$AC$2),DW$3))</f>
        <v>#N/A</v>
      </c>
      <c r="DX40" t="e">
        <f>IF(OR(ROW()-4&gt;INDEX($U$4:$U$11,$AC$2+1,1)-INDEX($U$4:$U$11,$AC$2,1),ROW()-4&gt;$AD$2),NA(),COUNTIF(INDEX($CB$5:$CH$201,INDEX($U$4:$U$11,1,1),$AC$2):INDEX($CB$5:$CH$201,INDEX($U$4:$U$11,1,1)+ROW()-5,$AC$2),DX$3))</f>
        <v>#N/A</v>
      </c>
      <c r="DY40" t="e">
        <f>IF(OR(ROW()-4&gt;INDEX($U$4:$U$11,$AC$2+1,1)-INDEX($U$4:$U$11,$AC$2,1),ROW()-4&gt;$AD$2),NA(),COUNTIF(INDEX($CB$5:$CH$201,INDEX($U$4:$U$11,1,1),$AC$2):INDEX($CB$5:$CH$201,INDEX($U$4:$U$11,1,1)+ROW()-5,$AC$2),DY$3))</f>
        <v>#N/A</v>
      </c>
      <c r="DZ40" t="e">
        <f>IF(OR(ROW()-4&gt;INDEX($U$4:$U$11,$AC$2+1,1)-INDEX($U$4:$U$11,$AC$2,1),ROW()-4&gt;$AD$2),NA(),COUNTIF(INDEX($CB$5:$CH$201,INDEX($U$4:$U$11,1,1),$AC$2):INDEX($CB$5:$CH$201,INDEX($U$4:$U$11,1,1)+ROW()-5,$AC$2),DZ$3))</f>
        <v>#N/A</v>
      </c>
      <c r="EA40" t="e">
        <f>IF(OR(ROW()-4&gt;INDEX($U$4:$U$11,$AC$2+1,1)-INDEX($U$4:$U$11,$AC$2,1),ROW()-4&gt;$AD$2),NA(),COUNTIF(INDEX($CB$5:$CH$201,INDEX($U$4:$U$11,1,1),$AC$2):INDEX($CB$5:$CH$201,INDEX($U$4:$U$11,1,1)+ROW()-5,$AC$2),EA$3))</f>
        <v>#N/A</v>
      </c>
      <c r="EB40" t="e">
        <f>IF(OR(ROW()-4&gt;INDEX($U$4:$U$11,$AC$2+1,1)-INDEX($U$4:$U$11,$AC$2,1),ROW()-4&gt;$AD$2),NA(),COUNTIF(INDEX($CB$5:$CH$201,INDEX($U$4:$U$11,1,1),$AC$2):INDEX($CB$5:$CH$201,INDEX($U$4:$U$11,1,1)+ROW()-5,$AC$2),EB$3))</f>
        <v>#N/A</v>
      </c>
      <c r="EC40" t="e">
        <f>IF(OR(ROW()-4&gt;INDEX($U$4:$U$11,$AC$2+1,1)-INDEX($U$4:$U$11,$AC$2,1),ROW()-4&gt;$AD$2),NA(),COUNTIF(INDEX($CB$5:$CH$201,INDEX($U$4:$U$11,1,1),$AC$2):INDEX($CB$5:$CH$201,INDEX($U$4:$U$11,1,1)+ROW()-5,$AC$2),EC$3))</f>
        <v>#N/A</v>
      </c>
      <c r="EE40" t="e">
        <f>IF(OR(ROW()-4&gt;INDEX($U$4:$U$11,$AC$2+1,1)-INDEX($U$4:$U$11,$AC$2,1),ROW()-4&gt;$AD$2),NA(),COUNTIF(INDEX($CB$5:$CH$201,INDEX($U$4:$U$11,1,1),$AC$2):INDEX($CB$5:$CH$201,INDEX($U$4:$U$11,1,1)+ROW()-5,$AC$2),EE$3))</f>
        <v>#N/A</v>
      </c>
      <c r="EF40" t="e">
        <f>IF(OR(ROW()-4&gt;INDEX($U$4:$U$11,$AC$2+1,1)-INDEX($U$4:$U$11,$AC$2,1),ROW()-4&gt;$AD$2),NA(),COUNTIF(INDEX($CB$5:$CH$201,INDEX($U$4:$U$11,1,1),$AC$2):INDEX($CB$5:$CH$201,INDEX($U$4:$U$11,1,1)+ROW()-5,$AC$2),EF$3))</f>
        <v>#N/A</v>
      </c>
      <c r="EG40" t="e">
        <f>IF(OR(ROW()-4&gt;INDEX($U$4:$U$11,$AC$2+1,1)-INDEX($U$4:$U$11,$AC$2,1),ROW()-4&gt;$AD$2),NA(),COUNTIF(INDEX($CB$5:$CH$201,INDEX($U$4:$U$11,1,1),$AC$2):INDEX($CB$5:$CH$201,INDEX($U$4:$U$11,1,1)+ROW()-5,$AC$2),EG$3))</f>
        <v>#N/A</v>
      </c>
      <c r="EH40" t="e">
        <f>IF(OR(ROW()-4&gt;INDEX($U$4:$U$11,$AC$2+1,1)-INDEX($U$4:$U$11,$AC$2,1),ROW()-4&gt;$AD$2),NA(),COUNTIF(INDEX($CB$5:$CH$201,INDEX($U$4:$U$11,1,1),$AC$2):INDEX($CB$5:$CH$201,INDEX($U$4:$U$11,1,1)+ROW()-5,$AC$2),EH$3))</f>
        <v>#N/A</v>
      </c>
      <c r="EI40" t="e">
        <f>IF(OR(ROW()-4&gt;INDEX($U$4:$U$11,$AC$2+1,1)-INDEX($U$4:$U$11,$AC$2,1),ROW()-4&gt;$AD$2),NA(),COUNTIF(INDEX($CB$5:$CH$201,INDEX($U$4:$U$11,1,1),$AC$2):INDEX($CB$5:$CH$201,INDEX($U$4:$U$11,1,1)+ROW()-5,$AC$2),EI$3))</f>
        <v>#N/A</v>
      </c>
      <c r="EJ40" t="e">
        <f>IF(OR(ROW()-4&gt;INDEX($U$4:$U$11,$AC$2+1,1)-INDEX($U$4:$U$11,$AC$2,1),ROW()-4&gt;$AD$2),NA(),COUNTIF(INDEX($CB$5:$CH$201,INDEX($U$4:$U$11,1,1),$AC$2):INDEX($CB$5:$CH$201,INDEX($U$4:$U$11,1,1)+ROW()-5,$AC$2),EJ$3))</f>
        <v>#N/A</v>
      </c>
      <c r="EK40" t="e">
        <f>IF(OR(ROW()-4&gt;INDEX($U$4:$U$11,$AC$2+1,1)-INDEX($U$4:$U$11,$AC$2,1),ROW()-4&gt;$AD$2),NA(),COUNTIF(INDEX($CB$5:$CH$201,INDEX($U$4:$U$11,1,1),$AC$2):INDEX($CB$5:$CH$201,INDEX($U$4:$U$11,1,1)+ROW()-5,$AC$2),EK$3))</f>
        <v>#N/A</v>
      </c>
      <c r="EL40" t="e">
        <f>IF(OR(ROW()-4&gt;INDEX($U$4:$U$11,$AC$2+1,1)-INDEX($U$4:$U$11,$AC$2,1),ROW()-4&gt;$AD$2),NA(),COUNTIF(INDEX($CB$5:$CH$201,INDEX($U$4:$U$11,1,1),$AC$2):INDEX($CB$5:$CH$201,INDEX($U$4:$U$11,1,1)+ROW()-5,$AC$2),EL$3))</f>
        <v>#N/A</v>
      </c>
      <c r="EN40" t="e">
        <f>IF(OR(ROW()-4&gt;INDEX($U$4:$U$11,$AC$2+1,1)-INDEX($U$4:$U$11,$AC$2,1),ROW()-4&gt;$AD$2),NA(),COUNTIF(INDEX($CJ$5:$CP$201,INDEX($U$4:$U$11,1,1),$AC$2):INDEX($CJ$5:$CP$201,INDEX($U$4:$U$11,1,1)+ROW()-5,$AC$2),EN$3))</f>
        <v>#N/A</v>
      </c>
      <c r="EO40" t="e">
        <f>IF(OR(ROW()-4&gt;INDEX($U$4:$U$11,$AC$2+1,1)-INDEX($U$4:$U$11,$AC$2,1),ROW()-4&gt;$AD$2),NA(),COUNTIF(INDEX($CJ$5:$CP$201,INDEX($U$4:$U$11,1,1),$AC$2):INDEX($CJ$5:$CP$201,INDEX($U$4:$U$11,1,1)+ROW()-5,$AC$2),EO$3))</f>
        <v>#N/A</v>
      </c>
      <c r="EQ40" t="e">
        <f>IF(OR(ROW()-4&gt;INDEX($U$4:$U$11,$AC$2+1,1)-INDEX($U$4:$U$11,$AC$2,1),ROW()-4&gt;$AD$2),NA(),COUNTIF(INDEX($CJ$5:$CP$201,INDEX($U$4:$U$11,1,1),$AC$2):INDEX($CJ$5:$CP$201,INDEX($U$4:$U$11,1,1)+ROW()-5,$AC$2),EQ$3))</f>
        <v>#N/A</v>
      </c>
      <c r="ER40" t="e">
        <f>IF(OR(ROW()-4&gt;INDEX($U$4:$U$11,$AC$2+1,1)-INDEX($U$4:$U$11,$AC$2,1),ROW()-4&gt;$AD$2),NA(),COUNTIF(INDEX($CJ$5:$CP$201,INDEX($U$4:$U$11,1,1),$AC$2):INDEX($CJ$5:$CP$201,INDEX($U$4:$U$11,1,1)+ROW()-5,$AC$2),ER$3))</f>
        <v>#N/A</v>
      </c>
      <c r="ET40" t="e">
        <f>IF(OR(ROW()-4&gt;INDEX($U$4:$U$11,$AC$2+1,1)-INDEX($U$4:$U$11,$AC$2,1),ROW()-4&gt;$AD$2),NA(),COUNTIF(INDEX($CR$5:$CX$201,INDEX($U$4:$U$11,1,1),$AC$2):INDEX($CR$5:$CX$201,INDEX($U$4:$U$11,1,1)+ROW()-5,$AC$2),ET$3))</f>
        <v>#N/A</v>
      </c>
      <c r="EU40" t="e">
        <f>IF(OR(ROW()-4&gt;INDEX($U$4:$U$11,$AC$2+1,1)-INDEX($U$4:$U$11,$AC$2,1),ROW()-4&gt;$AD$2),NA(),COUNTIF(INDEX($CR$5:$CX$201,INDEX($U$4:$U$11,1,1),$AC$2):INDEX($CR$5:$CX$201,INDEX($U$4:$U$11,1,1)+ROW()-5,$AC$2),EU$3))</f>
        <v>#N/A</v>
      </c>
      <c r="EV40" t="e">
        <f>IF(OR(ROW()-4&gt;INDEX($U$4:$U$11,$AC$2+1,1)-INDEX($U$4:$U$11,$AC$2,1),ROW()-4&gt;$AD$2),NA(),COUNTIF(INDEX($CR$5:$CX$201,INDEX($U$4:$U$11,1,1),$AC$2):INDEX($CR$5:$CX$201,INDEX($U$4:$U$11,1,1)+ROW()-5,$AC$2),EV$3))</f>
        <v>#N/A</v>
      </c>
      <c r="EW40" t="e">
        <f>IF(OR(ROW()-4&gt;INDEX($U$4:$U$11,$AC$2+1,1)-INDEX($U$4:$U$11,$AC$2,1),ROW()-4&gt;$AD$2),NA(),COUNTIF(INDEX($CR$5:$CX$201,INDEX($U$4:$U$11,1,1),$AC$2):INDEX($CR$5:$CX$201,INDEX($U$4:$U$11,1,1)+ROW()-5,$AC$2),EW$3))</f>
        <v>#N/A</v>
      </c>
      <c r="EX40" t="e">
        <f>IF(OR(ROW()-4&gt;INDEX($U$4:$U$11,$AC$2+1,1)-INDEX($U$4:$U$11,$AC$2,1),ROW()-4&gt;$AD$2),NA(),COUNTIF(INDEX($CR$5:$CX$201,INDEX($U$4:$U$11,1,1),$AC$2):INDEX($CR$5:$CX$201,INDEX($U$4:$U$11,1,1)+ROW()-5,$AC$2),EX$3))</f>
        <v>#N/A</v>
      </c>
      <c r="EY40" t="e">
        <f>IF(OR(ROW()-4&gt;INDEX($U$4:$U$11,$AC$2+1,1)-INDEX($U$4:$U$11,$AC$2,1),ROW()-4&gt;$AD$2),NA(),COUNTIF(INDEX($CR$5:$CX$201,INDEX($U$4:$U$11,1,1),$AC$2):INDEX($CR$5:$CX$201,INDEX($U$4:$U$11,1,1)+ROW()-5,$AC$2),EY$3))</f>
        <v>#N/A</v>
      </c>
      <c r="EZ40" t="e">
        <f>IF(OR(ROW()-4&gt;INDEX($U$4:$U$11,$AC$2+1,1)-INDEX($U$4:$U$11,$AC$2,1),ROW()-4&gt;$AD$2),NA(),COUNTIF(INDEX($CR$5:$CX$201,INDEX($U$4:$U$11,1,1),$AC$2):INDEX($CR$5:$CX$201,INDEX($U$4:$U$11,1,1)+ROW()-5,$AC$2),EZ$3))</f>
        <v>#N/A</v>
      </c>
      <c r="FA40" t="e">
        <f>IF(OR(ROW()-4&gt;INDEX($U$4:$U$11,$AC$2+1,1)-INDEX($U$4:$U$11,$AC$2,1),ROW()-4&gt;$AD$2),NA(),COUNTIF(INDEX($CR$5:$CX$201,INDEX($U$4:$U$11,1,1),$AC$2):INDEX($CR$5:$CX$201,INDEX($U$4:$U$11,1,1)+ROW()-5,$AC$2),FA$3))</f>
        <v>#N/A</v>
      </c>
      <c r="FC40" t="e">
        <f>IF(OR(ROW()-4&gt;INDEX($U$4:$U$11,$AC$2+1,1)-INDEX($U$4:$U$11,$AC$2,1),ROW()-4&gt;$AD$2),NA(),COUNTIF(INDEX($CR$5:$CX$201,INDEX($U$4:$U$11,1,1),$AC$2):INDEX($CR$5:$CX$201,INDEX($U$4:$U$11,1,1)+ROW()-5,$AC$2),FC$3))</f>
        <v>#N/A</v>
      </c>
      <c r="FD40" t="e">
        <f>IF(OR(ROW()-4&gt;INDEX($U$4:$U$11,$AC$2+1,1)-INDEX($U$4:$U$11,$AC$2,1),ROW()-4&gt;$AD$2),NA(),COUNTIF(INDEX($CR$5:$CX$201,INDEX($U$4:$U$11,1,1),$AC$2):INDEX($CR$5:$CX$201,INDEX($U$4:$U$11,1,1)+ROW()-5,$AC$2),FD$3))</f>
        <v>#N/A</v>
      </c>
      <c r="FE40" t="e">
        <f>IF(OR(ROW()-4&gt;INDEX($U$4:$U$11,$AC$2+1,1)-INDEX($U$4:$U$11,$AC$2,1),ROW()-4&gt;$AD$2),NA(),COUNTIF(INDEX($CR$5:$CX$201,INDEX($U$4:$U$11,1,1),$AC$2):INDEX($CR$5:$CX$201,INDEX($U$4:$U$11,1,1)+ROW()-5,$AC$2),FE$3))</f>
        <v>#N/A</v>
      </c>
      <c r="FF40" t="e">
        <f>IF(OR(ROW()-4&gt;INDEX($U$4:$U$11,$AC$2+1,1)-INDEX($U$4:$U$11,$AC$2,1),ROW()-4&gt;$AD$2),NA(),COUNTIF(INDEX($CR$5:$CX$201,INDEX($U$4:$U$11,1,1),$AC$2):INDEX($CR$5:$CX$201,INDEX($U$4:$U$11,1,1)+ROW()-5,$AC$2),FF$3))</f>
        <v>#N/A</v>
      </c>
      <c r="FG40" t="e">
        <f>IF(OR(ROW()-4&gt;INDEX($U$4:$U$11,$AC$2+1,1)-INDEX($U$4:$U$11,$AC$2,1),ROW()-4&gt;$AD$2),NA(),COUNTIF(INDEX($CR$5:$CX$201,INDEX($U$4:$U$11,1,1),$AC$2):INDEX($CR$5:$CX$201,INDEX($U$4:$U$11,1,1)+ROW()-5,$AC$2),FG$3))</f>
        <v>#N/A</v>
      </c>
      <c r="FH40" t="e">
        <f>IF(OR(ROW()-4&gt;INDEX($U$4:$U$11,$AC$2+1,1)-INDEX($U$4:$U$11,$AC$2,1),ROW()-4&gt;$AD$2),NA(),COUNTIF(INDEX($CR$5:$CX$201,INDEX($U$4:$U$11,1,1),$AC$2):INDEX($CR$5:$CX$201,INDEX($U$4:$U$11,1,1)+ROW()-5,$AC$2),FH$3))</f>
        <v>#N/A</v>
      </c>
      <c r="FI40" t="e">
        <f>IF(OR(ROW()-4&gt;INDEX($U$4:$U$11,$AC$2+1,1)-INDEX($U$4:$U$11,$AC$2,1),ROW()-4&gt;$AD$2),NA(),COUNTIF(INDEX($CR$5:$CX$201,INDEX($U$4:$U$11,1,1),$AC$2):INDEX($CR$5:$CX$201,INDEX($U$4:$U$11,1,1)+ROW()-5,$AC$2),FI$3))</f>
        <v>#N/A</v>
      </c>
      <c r="FJ40" t="e">
        <f>IF(OR(ROW()-4&gt;INDEX($U$4:$U$11,$AC$2+1,1)-INDEX($U$4:$U$11,$AC$2,1),ROW()-4&gt;$AD$2),NA(),COUNTIF(INDEX($CR$5:$CX$201,INDEX($U$4:$U$11,1,1),$AC$2):INDEX($CR$5:$CX$201,INDEX($U$4:$U$11,1,1)+ROW()-5,$AC$2),FJ$3))</f>
        <v>#N/A</v>
      </c>
      <c r="FL40" t="e">
        <f>IF(OR(ROW()-4&gt;INDEX($U$4:$U$11,$AC$2+1,1)-INDEX($U$4:$U$11,$AC$2,1),ROW()-4&gt;$AD$2),NA(),COUNTIF(INDEX($CZ$5:$DF$201,INDEX($U$4:$U$11,1,1),$AC$2):INDEX($CZ$5:$DF$201,INDEX($U$4:$U$11,1,1)+ROW()-5,$AC$2),FL$3))</f>
        <v>#N/A</v>
      </c>
      <c r="FM40" t="e">
        <f>IF(OR(ROW()-4&gt;INDEX($U$4:$U$11,$AC$2+1,1)-INDEX($U$4:$U$11,$AC$2,1),ROW()-4&gt;$AD$2),NA(),COUNTIF(INDEX($CZ$5:$DF$201,INDEX($U$4:$U$11,1,1),$AC$2):INDEX($CZ$5:$DF$201,INDEX($U$4:$U$11,1,1)+ROW()-5,$AC$2),FM$3))</f>
        <v>#N/A</v>
      </c>
      <c r="FN40" t="e">
        <f>IF(OR(ROW()-4&gt;INDEX($U$4:$U$11,$AC$2+1,1)-INDEX($U$4:$U$11,$AC$2,1),ROW()-4&gt;$AD$2),NA(),COUNTIF(INDEX($CZ$5:$DF$201,INDEX($U$4:$U$11,1,1),$AC$2):INDEX($CZ$5:$DF$201,INDEX($U$4:$U$11,1,1)+ROW()-5,$AC$2),FN$3))</f>
        <v>#N/A</v>
      </c>
      <c r="FO40" t="e">
        <f>IF(OR(ROW()-4&gt;INDEX($U$4:$U$11,$AC$2+1,1)-INDEX($U$4:$U$11,$AC$2,1),ROW()-4&gt;$AD$2),NA(),COUNTIF(INDEX($CZ$5:$DF$201,INDEX($U$4:$U$11,1,1),$AC$2):INDEX($CZ$5:$DF$201,INDEX($U$4:$U$11,1,1)+ROW()-5,$AC$2),FO$3))</f>
        <v>#N/A</v>
      </c>
      <c r="FP40" t="e">
        <f>IF(OR(ROW()-4&gt;INDEX($U$4:$U$11,$AC$2+1,1)-INDEX($U$4:$U$11,$AC$2,1),ROW()-4&gt;$AD$2),NA(),COUNTIF(INDEX($CZ$5:$DF$201,INDEX($U$4:$U$11,1,1),$AC$2):INDEX($CZ$5:$DF$201,INDEX($U$4:$U$11,1,1)+ROW()-5,$AC$2),FP$3))</f>
        <v>#N/A</v>
      </c>
      <c r="FQ40" t="e">
        <f>IF(OR(ROW()-4&gt;INDEX($U$4:$U$11,$AC$2+1,1)-INDEX($U$4:$U$11,$AC$2,1),ROW()-4&gt;$AD$2),NA(),COUNTIF(INDEX($CZ$5:$DF$201,INDEX($U$4:$U$11,1,1),$AC$2):INDEX($CZ$5:$DF$201,INDEX($U$4:$U$11,1,1)+ROW()-5,$AC$2),FQ$3))</f>
        <v>#N/A</v>
      </c>
      <c r="FR40" t="e">
        <f>IF(OR(ROW()-4&gt;INDEX($U$4:$U$11,$AC$2+1,1)-INDEX($U$4:$U$11,$AC$2,1),ROW()-4&gt;$AD$2),NA(),COUNTIF(INDEX($CZ$5:$DF$201,INDEX($U$4:$U$11,1,1),$AC$2):INDEX($CZ$5:$DF$201,INDEX($U$4:$U$11,1,1)+ROW()-5,$AC$2),FR$3))</f>
        <v>#N/A</v>
      </c>
      <c r="FS40" t="e">
        <f>IF(OR(ROW()-4&gt;INDEX($U$4:$U$11,$AC$2+1,1)-INDEX($U$4:$U$11,$AC$2,1),ROW()-4&gt;$AD$2),NA(),COUNTIF(INDEX($CZ$5:$DF$201,INDEX($U$4:$U$11,1,1),$AC$2):INDEX($CZ$5:$DF$201,INDEX($U$4:$U$11,1,1)+ROW()-5,$AC$2),FS$3))</f>
        <v>#N/A</v>
      </c>
      <c r="FT40" t="e">
        <f>IF(OR(ROW()-4&gt;INDEX($U$4:$U$11,$AC$2+1,1)-INDEX($U$4:$U$11,$AC$2,1),ROW()-4&gt;$AD$2),NA(),COUNTIF(INDEX($CZ$5:$DF$201,INDEX($U$4:$U$11,1,1),$AC$2):INDEX($CZ$5:$DF$201,INDEX($U$4:$U$11,1,1)+ROW()-5,$AC$2),FT$3))</f>
        <v>#N/A</v>
      </c>
      <c r="FU40" t="e">
        <f>IF(OR(ROW()-4&gt;INDEX($U$4:$U$11,$AC$2+1,1)-INDEX($U$4:$U$11,$AC$2,1),ROW()-4&gt;$AD$2),NA(),COUNTIF(INDEX($CZ$5:$DF$201,INDEX($U$4:$U$11,1,1),$AC$2):INDEX($CZ$5:$DF$201,INDEX($U$4:$U$11,1,1)+ROW()-5,$AC$2),FU$3))</f>
        <v>#N/A</v>
      </c>
      <c r="FW40" t="e">
        <f>IF(OR(ROW()-4&gt;INDEX($U$4:$U$11,$AC$2+1,1)-INDEX($U$4:$U$11,$AC$2,1),ROW()-4&gt;$AD$2),NA(),COUNTIF(INDEX($CZ$5:$DF$201,INDEX($U$4:$U$11,1,1),$AC$2):INDEX($CZ$5:$DF$201,INDEX($U$4:$U$11,1,1)+ROW()-5,$AC$2),FW$3))</f>
        <v>#N/A</v>
      </c>
      <c r="FX40" t="e">
        <f>IF(OR(ROW()-4&gt;INDEX($U$4:$U$11,$AC$2+1,1)-INDEX($U$4:$U$11,$AC$2,1),ROW()-4&gt;$AD$2),NA(),COUNTIF(INDEX($CZ$5:$DF$201,INDEX($U$4:$U$11,1,1),$AC$2):INDEX($CZ$5:$DF$201,INDEX($U$4:$U$11,1,1)+ROW()-5,$AC$2),FX$3))</f>
        <v>#N/A</v>
      </c>
      <c r="FY40" t="e">
        <f>IF(OR(ROW()-4&gt;INDEX($U$4:$U$11,$AC$2+1,1)-INDEX($U$4:$U$11,$AC$2,1),ROW()-4&gt;$AD$2),NA(),COUNTIF(INDEX($CZ$5:$DF$201,INDEX($U$4:$U$11,1,1),$AC$2):INDEX($CZ$5:$DF$201,INDEX($U$4:$U$11,1,1)+ROW()-5,$AC$2),FY$3))</f>
        <v>#N/A</v>
      </c>
      <c r="FZ40" t="e">
        <f>IF(OR(ROW()-4&gt;INDEX($U$4:$U$11,$AC$2+1,1)-INDEX($U$4:$U$11,$AC$2,1),ROW()-4&gt;$AD$2),NA(),COUNTIF(INDEX($CZ$5:$DF$201,INDEX($U$4:$U$11,1,1),$AC$2):INDEX($CZ$5:$DF$201,INDEX($U$4:$U$11,1,1)+ROW()-5,$AC$2),FZ$3))</f>
        <v>#N/A</v>
      </c>
      <c r="GA40" t="e">
        <f>IF(OR(ROW()-4&gt;INDEX($U$4:$U$11,$AC$2+1,1)-INDEX($U$4:$U$11,$AC$2,1),ROW()-4&gt;$AD$2),NA(),COUNTIF(INDEX($CZ$5:$DF$201,INDEX($U$4:$U$11,1,1),$AC$2):INDEX($CZ$5:$DF$201,INDEX($U$4:$U$11,1,1)+ROW()-5,$AC$2),GA$3))</f>
        <v>#N/A</v>
      </c>
      <c r="GB40" t="e">
        <f>IF(OR(ROW()-4&gt;INDEX($U$4:$U$11,$AC$2+1,1)-INDEX($U$4:$U$11,$AC$2,1),ROW()-4&gt;$AD$2),NA(),COUNTIF(INDEX($CZ$5:$DF$201,INDEX($U$4:$U$11,1,1),$AC$2):INDEX($CZ$5:$DF$201,INDEX($U$4:$U$11,1,1)+ROW()-5,$AC$2),GB$3))</f>
        <v>#N/A</v>
      </c>
      <c r="GC40" t="e">
        <f>IF(OR(ROW()-4&gt;INDEX($U$4:$U$11,$AC$2+1,1)-INDEX($U$4:$U$11,$AC$2,1),ROW()-4&gt;$AD$2),NA(),COUNTIF(INDEX($CZ$5:$DF$201,INDEX($U$4:$U$11,1,1),$AC$2):INDEX($CZ$5:$DF$201,INDEX($U$4:$U$11,1,1)+ROW()-5,$AC$2),GC$3))</f>
        <v>#N/A</v>
      </c>
      <c r="GD40" t="e">
        <f>IF(OR(ROW()-4&gt;INDEX($U$4:$U$11,$AC$2+1,1)-INDEX($U$4:$U$11,$AC$2,1),ROW()-4&gt;$AD$2),NA(),COUNTIF(INDEX($CZ$5:$DF$201,INDEX($U$4:$U$11,1,1),$AC$2):INDEX($CZ$5:$DF$201,INDEX($U$4:$U$11,1,1)+ROW()-5,$AC$2),GD$3))</f>
        <v>#N/A</v>
      </c>
      <c r="GE40" t="e">
        <f>IF(OR(ROW()-4&gt;INDEX($U$4:$U$11,$AC$2+1,1)-INDEX($U$4:$U$11,$AC$2,1),ROW()-4&gt;$AD$2),NA(),COUNTIF(INDEX($CZ$5:$DF$201,INDEX($U$4:$U$11,1,1),$AC$2):INDEX($CZ$5:$DF$201,INDEX($U$4:$U$11,1,1)+ROW()-5,$AC$2),GE$3))</f>
        <v>#N/A</v>
      </c>
      <c r="GF40" t="e">
        <f>IF(OR(ROW()-4&gt;INDEX($U$4:$U$11,$AC$2+1,1)-INDEX($U$4:$U$11,$AC$2,1),ROW()-4&gt;$AD$2),NA(),COUNTIF(INDEX($CZ$5:$DF$201,INDEX($U$4:$U$11,1,1),$AC$2):INDEX($CZ$5:$DF$201,INDEX($U$4:$U$11,1,1)+ROW()-5,$AC$2),GF$3))</f>
        <v>#N/A</v>
      </c>
      <c r="GO40" s="16"/>
      <c r="GP40" s="17"/>
      <c r="GQ40" s="65"/>
      <c r="GR40" s="65"/>
      <c r="GS40" s="65"/>
      <c r="GT40" s="65"/>
      <c r="GV40" s="65"/>
      <c r="GW40" s="65"/>
      <c r="GX40" s="65"/>
      <c r="GY40" s="65"/>
      <c r="GZ40" s="17"/>
      <c r="HA40" s="17"/>
      <c r="HB40" s="17"/>
      <c r="HC40" s="17"/>
      <c r="HD40" s="17"/>
      <c r="HE40" s="17" t="s">
        <v>59</v>
      </c>
      <c r="HF40" s="46">
        <f>EY43</f>
        <v>13</v>
      </c>
      <c r="HG40" s="43"/>
      <c r="HH40" s="59">
        <f>EY93</f>
        <v>8</v>
      </c>
      <c r="HI40" s="59">
        <f t="shared" si="132"/>
        <v>5</v>
      </c>
      <c r="HJ40" s="17"/>
      <c r="HK40" s="17"/>
      <c r="HL40" s="17"/>
      <c r="HM40" s="18"/>
    </row>
    <row r="41" spans="1:221" x14ac:dyDescent="0.45">
      <c r="A41" t="str">
        <f>データの貼付!A39</f>
        <v>FENG Tianwei</v>
      </c>
      <c r="B41">
        <f>データの貼付!B39</f>
        <v>1.0763067129629629E-2</v>
      </c>
      <c r="C41">
        <f>データの貼付!C39</f>
        <v>6.178240740740741E-5</v>
      </c>
      <c r="D41">
        <f>データの貼付!D39</f>
        <v>1.3888888888888889E-3</v>
      </c>
      <c r="E41" t="str">
        <f>データの貼付!F39</f>
        <v>FENG Tianwei</v>
      </c>
      <c r="F41">
        <f>データの貼付!E39</f>
        <v>4.1666666666666664E-2</v>
      </c>
      <c r="G41" t="str">
        <f>データの貼付!G39</f>
        <v>#05</v>
      </c>
      <c r="H41" t="str">
        <f>データの貼付!H39</f>
        <v>FENG Tianwei</v>
      </c>
      <c r="I41" t="str">
        <f>データの貼付!I39</f>
        <v>Side</v>
      </c>
      <c r="J41" t="str">
        <f>データの貼付!J39</f>
        <v>B</v>
      </c>
      <c r="K41" t="str">
        <f>データの貼付!K39</f>
        <v>BM</v>
      </c>
      <c r="L41" t="str">
        <f>データの貼付!L39</f>
        <v>B</v>
      </c>
      <c r="M41" t="str">
        <f>データの貼付!M39</f>
        <v>ドライブ</v>
      </c>
      <c r="N41" t="str">
        <f>データの貼付!N39</f>
        <v>BS</v>
      </c>
      <c r="R41">
        <f t="shared" si="59"/>
        <v>0</v>
      </c>
      <c r="S41">
        <f>SUM(R$4:R41)</f>
        <v>3</v>
      </c>
      <c r="T41" t="str">
        <f t="shared" si="60"/>
        <v/>
      </c>
      <c r="W41" t="str">
        <f t="shared" si="57"/>
        <v>FENG Tianwei_FENG Tianwei</v>
      </c>
      <c r="X41" t="str">
        <f t="shared" si="58"/>
        <v>FENG Tianwei_#05</v>
      </c>
      <c r="AC41" s="8" t="e">
        <f>IF(OR(ROW()-4&gt;INDEX($U$4:$U$11,AC$2+1)-INDEX($U$4:$U$11,AC$2),ROW()-4&gt;AD$2),NA(),COUNTIF(INDEX($W$4:$W$200,INDEX($U$4:$U$11,AC$2)):INDEX($W$4:$W$200,INDEX($U$4:$U$11,AC$2)+ROW()-5),AC$3&amp;"_"&amp;AC$3)/(COUNTIF(INDEX($W$4:$W$200,INDEX($U$4:$U$11,AC$2)):INDEX($W$4:$W$200,INDEX($U$4:$U$11,AC$2)+ROW()-5),AC$3&amp;"_"&amp;AC$3)+COUNTIF(INDEX($W$4:$W$200,INDEX($U$4:$U$11,AC$2)):INDEX($W$4:$W$200,INDEX($U$4:$U$11,AC$2)+ROW()-5),AD$3&amp;"_"&amp;AC$3)))</f>
        <v>#N/A</v>
      </c>
      <c r="AD41" s="8" t="e">
        <f>IF(OR(ROW()-4&gt;INDEX($U$4:$U$11,AC$2+1)-INDEX($U$4:$U$11,AC$2),ROW()-4&gt;AD$2),NA(),COUNTIF(INDEX($W$4:$W$200,INDEX($U$4:$U$11,AC$2)):INDEX($W$4:$W$200,INDEX($U$4:$U$11,AC$2)+ROW()-5),AD$3&amp;"_"&amp;AD$3)/(COUNTIF(INDEX($W$4:$W$200,INDEX($U$4:$U$11,AC$2)):INDEX($W$4:$W$200,INDEX($U$4:$U$11,AC$2)+ROW()-5),AD$3&amp;"_"&amp;AD$3)+COUNTIF(INDEX($W$4:$W$200,INDEX($U$4:$U$11,AC$2)):INDEX($W$4:$W$200,INDEX($U$4:$U$11,AC$2)+ROW()-5),AC$3&amp;"_"&amp;AD$3)))</f>
        <v>#N/A</v>
      </c>
      <c r="AE41" s="10" t="e">
        <f>IF(OR(ROW()-4&gt;INDEX($U$4:$U$11,AC$2+1)-INDEX($U$4:$U$11,AC$2),ROW()-4&gt;AD$2),NA(),COUNTIF(INDEX($W$4:$W$200,INDEX($U$4:$U$11,AC$2)):INDEX($W$4:$W$200,INDEX($U$4:$U$11,AC$2)+ROW()-5),AC$3&amp;"_"&amp;AD$3)/(COUNTIF(INDEX($W$4:$W$200,INDEX($U$4:$U$11,AC$2)):INDEX($W$4:$W$200,INDEX($U$4:$U$11,AC$2)+ROW()-5),AC$3&amp;"_"&amp;AD$3)+COUNTIF(INDEX($W$4:$W$200,INDEX($U$4:$U$11,AC$2)):INDEX($W$4:$W$200,INDEX($U$4:$U$11,AC$2)+ROW()-5),AD$3&amp;"_"&amp;AD$3)))</f>
        <v>#N/A</v>
      </c>
      <c r="AF41" s="10" t="e">
        <f>IF(OR(ROW()-4&gt;INDEX($U$4:$U$11,AC$2+1)-INDEX($U$4:$U$11,AC$2),ROW()-4&gt;AD$2),NA(),COUNTIF(INDEX($W$4:$W$200,INDEX($U$4:$U$11,AC$2)):INDEX($W$4:$W$200,INDEX($U$4:$U$11,AC$2)+ROW()-5),AD$3&amp;"_"&amp;AC$3)/(COUNTIF(INDEX($W$4:$W$200,INDEX($U$4:$U$11,AC$2)):INDEX($W$4:$W$200,INDEX($U$4:$U$11,AC$2)+ROW()-5),AD$3&amp;"_"&amp;AC$3)+COUNTIF(INDEX($W$4:$W$200,INDEX($U$4:$U$11,AC$2)):INDEX($W$4:$W$200,INDEX($U$4:$U$11,AC$2)+ROW()-5),AC$3&amp;"_"&amp;AC$3)))</f>
        <v>#N/A</v>
      </c>
      <c r="AG41" s="10" t="e">
        <f>IF(OR(ROW()-4&gt;INDEX($U$4:$U$11,AC$2+1)-INDEX($U$4:$U$11,AC$2),ROW()-4&gt;AD$2),NA(),COUNTIF(INDEX($X$4:$X$200,INDEX($U$4:$U$11,AC$2)):INDEX($X$4:$X$200,INDEX($U$4:$U$11,AC$2)+ROW()-5),AC$3&amp;"_#03")/(COUNTIF(INDEX($W$4:$W$200,INDEX($U$4:$U$11,AC$2)):INDEX($W$4:$W$200,INDEX($U$4:$U$11,AC$2)+ROW()-5),AC$3&amp;"_"&amp;AC$3)+COUNTIF(INDEX($W$4:$W$200,INDEX($U$4:$U$11,AC$2)):INDEX($W$4:$W$200,INDEX($U$4:$U$11,AC$2)+ROW()-5),AD$3&amp;"_"&amp;AC$3)))</f>
        <v>#N/A</v>
      </c>
      <c r="AH41" s="10" t="e">
        <f>IF(OR(ROW()-4&gt;INDEX($U$4:$U$11,AC$2+1)-INDEX($U$4:$U$11,AC$2),ROW()-4&gt;AD$2),NA(),COUNTIF(INDEX($X$4:$X$200,INDEX($U$4:$U$11,AC$2)):INDEX($X$4:$X$200,INDEX($U$4:$U$11,AC$2)+ROW()-5),AD$3&amp;"_#03")/(COUNTIF(INDEX($W$4:$W$200,INDEX($U$4:$U$11,AC$2)):INDEX($W$4:$W$200,INDEX($U$4:$U$11,AC$2)+ROW()-5),AD$3&amp;"_"&amp;AD$3)+COUNTIF(INDEX($W$4:$W$200,INDEX($U$4:$U$11,AC$2)):INDEX($W$4:$W$200,INDEX($U$4:$U$11,AC$2)+ROW()-5),AC$3&amp;"_"&amp;AD$3)))</f>
        <v>#N/A</v>
      </c>
      <c r="AI41" s="10" t="e">
        <f>IF(OR(ROW()-4&gt;INDEX($U$4:$U$11,AC$2+1)-INDEX($U$4:$U$11,AC$2),ROW()-4&gt;AD$2),NA(),(COUNTIF(INDEX($X$4:$X$200,INDEX($U$4:$U$11,AC$2)):INDEX($X$4:$X$200,INDEX($U$4:$U$11,AC$2)+ROW()-5),AC$3&amp;"_#03")-COUNTIF(INDEX($X$4:$X$200,INDEX($U$4:$U$11,AC$2)):INDEX($X$4:$X$200,INDEX($U$4:$U$11,AC$2)+ROW()-5),AD$3&amp;"_#02"))/(COUNTIF(INDEX($W$4:$W$200,INDEX($U$4:$U$11,AC$2)):INDEX($W$4:$W$200,INDEX($U$4:$U$11,AC$2)+ROW()-5),AC$3&amp;"_"&amp;AC$3)+COUNTIF(INDEX($W$4:$W$200,INDEX($U$4:$U$11,AC$2)):INDEX($W$4:$W$200,INDEX($U$4:$U$11,AC$2)+ROW()-5),AD$3&amp;"_"&amp;AC$3)))</f>
        <v>#N/A</v>
      </c>
      <c r="AJ41" s="10" t="e">
        <f>IF(OR(ROW()-4&gt;INDEX($U$4:$U$11,AC$2+1)-INDEX($U$4:$U$11,AC$2),ROW()-4&gt;AD$2),NA(),(COUNTIF(INDEX($X$4:$X$200,INDEX($U$4:$U$11,AC$2)):INDEX($X$4:$X$200,INDEX($U$4:$U$11,AC$2)+ROW()-5),AD$3&amp;"_#03")-COUNTIF(INDEX($X$4:$X$200,INDEX($U$4:$U$11,AC$2)):INDEX($X$4:$X$200,INDEX($U$4:$U$11,AC$2)+ROW()-5),AC$3&amp;"_#02"))/(COUNTIF(INDEX($W$4:$W$200,INDEX($U$4:$U$11,AC$2)):INDEX($W$4:$W$200,INDEX($U$4:$U$11,AC$2)+ROW()-5),AD$3&amp;"_"&amp;AD$3)+COUNTIF(INDEX($W$4:$W$200,INDEX($U$4:$U$11,AC$2)):INDEX($W$4:$W$200,INDEX($U$4:$U$11,AC$2)+ROW()-5),AC$3&amp;"_"&amp;AD$3)))</f>
        <v>#N/A</v>
      </c>
      <c r="AK41" s="10" t="e">
        <f>IF(OR(ROW()-4&gt;INDEX($U$4:$U$11,AC$2+1)-INDEX($U$4:$U$11,AC$2),ROW()-4&gt;AD$2),NA(),(COUNTIF(INDEX($X$4:$X$200,INDEX($U$4:$U$11,AC$2)):INDEX($X$4:$X$200,INDEX($U$4:$U$11,AC$2)+ROW()-5),AC$3&amp;"_#01")+COUNTIF(INDEX($X$4:$X$200,INDEX($U$4:$U$11,AC$2)):INDEX($X$4:$X$200,INDEX($U$4:$U$11,AC$2)+ROW()-5),AC$3&amp;"_#03"))/(COUNTIF(INDEX($W$4:$W$200,INDEX($U$4:$U$11,AC$2)):INDEX($W$4:$W$200,INDEX($U$4:$U$11,AC$2)+ROW()-5),AC$3&amp;"_"&amp;AC$3)+COUNTIF(INDEX($W$4:$W$200,INDEX($U$4:$U$11,AC$2)):INDEX($W$4:$W$200,INDEX($U$4:$U$11,AC$2)+ROW()-5),AD$3&amp;"_"&amp;AC$3)))</f>
        <v>#N/A</v>
      </c>
      <c r="AL41" s="10" t="e">
        <f>IF(OR(ROW()-4&gt;INDEX($U$4:$U$11,AC$2+1)-INDEX($U$4:$U$11,AC$2),ROW()-4&gt;AD$2),NA(),(COUNTIF(INDEX($X$4:$X$200,INDEX($U$4:$U$11,AC$2)):INDEX($X$4:$X$200,INDEX($U$4:$U$11,AC$2)+ROW()-5),AD$3&amp;"_#01")+COUNTIF(INDEX($X$4:$X$200,INDEX($U$4:$U$11,AC$2)):INDEX($X$4:$X$200,INDEX($U$4:$U$11,AC$2)+ROW()-5),AD$3&amp;"_#03"))/(COUNTIF(INDEX($W$4:$W$200,INDEX($U$4:$U$11,AC$2)):INDEX($W$4:$W$200,INDEX($U$4:$U$11,AC$2)+ROW()-5),AD$3&amp;"_"&amp;AD$3)+COUNTIF(INDEX($W$4:$W$200,INDEX($U$4:$U$11,AC$2)):INDEX($W$4:$W$200,INDEX($U$4:$U$11,AC$2)+ROW()-5),AC$3&amp;"_"&amp;AD$3)))</f>
        <v>#N/A</v>
      </c>
      <c r="GO41" s="16"/>
      <c r="GP41" s="17"/>
      <c r="GQ41" s="65"/>
      <c r="GR41" s="65"/>
      <c r="GS41" s="65"/>
      <c r="GT41" s="65"/>
      <c r="GV41" s="65"/>
      <c r="GW41" s="65"/>
      <c r="GX41" s="65"/>
      <c r="GY41" s="65"/>
      <c r="GZ41" s="17" t="str">
        <f>$AD$3</f>
        <v>KIHARA Miyuu</v>
      </c>
      <c r="HA41" s="17"/>
      <c r="HB41" s="17" t="s">
        <v>67</v>
      </c>
      <c r="HC41" t="s">
        <v>83</v>
      </c>
      <c r="HD41" t="s">
        <v>84</v>
      </c>
      <c r="HE41" s="17" t="s">
        <v>60</v>
      </c>
      <c r="HF41" s="46">
        <f>EZ43</f>
        <v>0</v>
      </c>
      <c r="HG41" s="43"/>
      <c r="HH41" s="59">
        <f>EZ93</f>
        <v>0</v>
      </c>
      <c r="HI41" s="59">
        <f t="shared" si="132"/>
        <v>0</v>
      </c>
      <c r="HJ41" s="43"/>
      <c r="HK41" s="43"/>
      <c r="HL41" s="43"/>
      <c r="HM41" s="44"/>
    </row>
    <row r="42" spans="1:221" x14ac:dyDescent="0.45">
      <c r="A42" t="str">
        <f>データの貼付!A40</f>
        <v>KIHARA Miyuu</v>
      </c>
      <c r="B42">
        <f>データの貼付!B40</f>
        <v>1.0994780092592594E-2</v>
      </c>
      <c r="C42">
        <f>データの貼付!C40</f>
        <v>7.4143518518518512E-5</v>
      </c>
      <c r="D42">
        <f>データの貼付!D40</f>
        <v>1.3888888888888889E-3</v>
      </c>
      <c r="E42" t="str">
        <f>データの貼付!F40</f>
        <v>FENG Tianwei</v>
      </c>
      <c r="F42">
        <f>データの貼付!E40</f>
        <v>4.1666666666666664E-2</v>
      </c>
      <c r="G42" t="str">
        <f>データの貼付!G40</f>
        <v>#04</v>
      </c>
      <c r="H42" t="str">
        <f>データの貼付!H40</f>
        <v>KIHARA Miyuu</v>
      </c>
      <c r="I42" t="str">
        <f>データの貼付!I40</f>
        <v>(Side)</v>
      </c>
      <c r="J42" t="str">
        <f>データの貼付!J40</f>
        <v>B</v>
      </c>
      <c r="K42" t="str">
        <f>データの貼付!K40</f>
        <v>FS</v>
      </c>
      <c r="L42">
        <f>データの貼付!L40</f>
        <v>0</v>
      </c>
      <c r="M42" t="str">
        <f>データの貼付!M40</f>
        <v>Stop</v>
      </c>
      <c r="N42" t="str">
        <f>データの貼付!N40</f>
        <v>BMS</v>
      </c>
      <c r="R42">
        <f t="shared" si="59"/>
        <v>0</v>
      </c>
      <c r="S42">
        <f>SUM(R$4:R42)</f>
        <v>3</v>
      </c>
      <c r="T42" t="str">
        <f t="shared" si="60"/>
        <v/>
      </c>
      <c r="W42" t="str">
        <f t="shared" si="57"/>
        <v>FENG Tianwei_KIHARA Miyuu</v>
      </c>
      <c r="X42" t="str">
        <f t="shared" si="58"/>
        <v>FENG Tianwei_#04</v>
      </c>
      <c r="AC42" s="8" t="e">
        <f>IF(OR(ROW()-4&gt;INDEX($U$4:$U$11,AC$2+1)-INDEX($U$4:$U$11,AC$2),ROW()-4&gt;AD$2),NA(),COUNTIF(INDEX($W$4:$W$200,INDEX($U$4:$U$11,AC$2)):INDEX($W$4:$W$200,INDEX($U$4:$U$11,AC$2)+ROW()-5),AC$3&amp;"_"&amp;AC$3)/(COUNTIF(INDEX($W$4:$W$200,INDEX($U$4:$U$11,AC$2)):INDEX($W$4:$W$200,INDEX($U$4:$U$11,AC$2)+ROW()-5),AC$3&amp;"_"&amp;AC$3)+COUNTIF(INDEX($W$4:$W$200,INDEX($U$4:$U$11,AC$2)):INDEX($W$4:$W$200,INDEX($U$4:$U$11,AC$2)+ROW()-5),AD$3&amp;"_"&amp;AC$3)))</f>
        <v>#N/A</v>
      </c>
      <c r="AD42" s="8" t="e">
        <f>IF(OR(ROW()-4&gt;INDEX($U$4:$U$11,AC$2+1)-INDEX($U$4:$U$11,AC$2),ROW()-4&gt;AD$2),NA(),COUNTIF(INDEX($W$4:$W$200,INDEX($U$4:$U$11,AC$2)):INDEX($W$4:$W$200,INDEX($U$4:$U$11,AC$2)+ROW()-5),AD$3&amp;"_"&amp;AD$3)/(COUNTIF(INDEX($W$4:$W$200,INDEX($U$4:$U$11,AC$2)):INDEX($W$4:$W$200,INDEX($U$4:$U$11,AC$2)+ROW()-5),AD$3&amp;"_"&amp;AD$3)+COUNTIF(INDEX($W$4:$W$200,INDEX($U$4:$U$11,AC$2)):INDEX($W$4:$W$200,INDEX($U$4:$U$11,AC$2)+ROW()-5),AC$3&amp;"_"&amp;AD$3)))</f>
        <v>#N/A</v>
      </c>
      <c r="AE42" s="10" t="e">
        <f>IF(OR(ROW()-4&gt;INDEX($U$4:$U$11,AC$2+1)-INDEX($U$4:$U$11,AC$2),ROW()-4&gt;AD$2),NA(),COUNTIF(INDEX($W$4:$W$200,INDEX($U$4:$U$11,AC$2)):INDEX($W$4:$W$200,INDEX($U$4:$U$11,AC$2)+ROW()-5),AC$3&amp;"_"&amp;AD$3)/(COUNTIF(INDEX($W$4:$W$200,INDEX($U$4:$U$11,AC$2)):INDEX($W$4:$W$200,INDEX($U$4:$U$11,AC$2)+ROW()-5),AC$3&amp;"_"&amp;AD$3)+COUNTIF(INDEX($W$4:$W$200,INDEX($U$4:$U$11,AC$2)):INDEX($W$4:$W$200,INDEX($U$4:$U$11,AC$2)+ROW()-5),AD$3&amp;"_"&amp;AD$3)))</f>
        <v>#N/A</v>
      </c>
      <c r="AF42" s="10" t="e">
        <f>IF(OR(ROW()-4&gt;INDEX($U$4:$U$11,AC$2+1)-INDEX($U$4:$U$11,AC$2),ROW()-4&gt;AD$2),NA(),COUNTIF(INDEX($W$4:$W$200,INDEX($U$4:$U$11,AC$2)):INDEX($W$4:$W$200,INDEX($U$4:$U$11,AC$2)+ROW()-5),AD$3&amp;"_"&amp;AC$3)/(COUNTIF(INDEX($W$4:$W$200,INDEX($U$4:$U$11,AC$2)):INDEX($W$4:$W$200,INDEX($U$4:$U$11,AC$2)+ROW()-5),AD$3&amp;"_"&amp;AC$3)+COUNTIF(INDEX($W$4:$W$200,INDEX($U$4:$U$11,AC$2)):INDEX($W$4:$W$200,INDEX($U$4:$U$11,AC$2)+ROW()-5),AC$3&amp;"_"&amp;AC$3)))</f>
        <v>#N/A</v>
      </c>
      <c r="AG42" s="10" t="e">
        <f>IF(OR(ROW()-4&gt;INDEX($U$4:$U$11,AC$2+1)-INDEX($U$4:$U$11,AC$2),ROW()-4&gt;AD$2),NA(),COUNTIF(INDEX($X$4:$X$200,INDEX($U$4:$U$11,AC$2)):INDEX($X$4:$X$200,INDEX($U$4:$U$11,AC$2)+ROW()-5),AC$3&amp;"_#03")/(COUNTIF(INDEX($W$4:$W$200,INDEX($U$4:$U$11,AC$2)):INDEX($W$4:$W$200,INDEX($U$4:$U$11,AC$2)+ROW()-5),AC$3&amp;"_"&amp;AC$3)+COUNTIF(INDEX($W$4:$W$200,INDEX($U$4:$U$11,AC$2)):INDEX($W$4:$W$200,INDEX($U$4:$U$11,AC$2)+ROW()-5),AD$3&amp;"_"&amp;AC$3)))</f>
        <v>#N/A</v>
      </c>
      <c r="AH42" s="10" t="e">
        <f>IF(OR(ROW()-4&gt;INDEX($U$4:$U$11,AC$2+1)-INDEX($U$4:$U$11,AC$2),ROW()-4&gt;AD$2),NA(),COUNTIF(INDEX($X$4:$X$200,INDEX($U$4:$U$11,AC$2)):INDEX($X$4:$X$200,INDEX($U$4:$U$11,AC$2)+ROW()-5),AD$3&amp;"_#03")/(COUNTIF(INDEX($W$4:$W$200,INDEX($U$4:$U$11,AC$2)):INDEX($W$4:$W$200,INDEX($U$4:$U$11,AC$2)+ROW()-5),AD$3&amp;"_"&amp;AD$3)+COUNTIF(INDEX($W$4:$W$200,INDEX($U$4:$U$11,AC$2)):INDEX($W$4:$W$200,INDEX($U$4:$U$11,AC$2)+ROW()-5),AC$3&amp;"_"&amp;AD$3)))</f>
        <v>#N/A</v>
      </c>
      <c r="AI42" s="10" t="e">
        <f>IF(OR(ROW()-4&gt;INDEX($U$4:$U$11,AC$2+1)-INDEX($U$4:$U$11,AC$2),ROW()-4&gt;AD$2),NA(),(COUNTIF(INDEX($X$4:$X$200,INDEX($U$4:$U$11,AC$2)):INDEX($X$4:$X$200,INDEX($U$4:$U$11,AC$2)+ROW()-5),AC$3&amp;"_#03")-COUNTIF(INDEX($X$4:$X$200,INDEX($U$4:$U$11,AC$2)):INDEX($X$4:$X$200,INDEX($U$4:$U$11,AC$2)+ROW()-5),AD$3&amp;"_#02"))/(COUNTIF(INDEX($W$4:$W$200,INDEX($U$4:$U$11,AC$2)):INDEX($W$4:$W$200,INDEX($U$4:$U$11,AC$2)+ROW()-5),AC$3&amp;"_"&amp;AC$3)+COUNTIF(INDEX($W$4:$W$200,INDEX($U$4:$U$11,AC$2)):INDEX($W$4:$W$200,INDEX($U$4:$U$11,AC$2)+ROW()-5),AD$3&amp;"_"&amp;AC$3)))</f>
        <v>#N/A</v>
      </c>
      <c r="AJ42" s="10" t="e">
        <f>IF(OR(ROW()-4&gt;INDEX($U$4:$U$11,AC$2+1)-INDEX($U$4:$U$11,AC$2),ROW()-4&gt;AD$2),NA(),(COUNTIF(INDEX($X$4:$X$200,INDEX($U$4:$U$11,AC$2)):INDEX($X$4:$X$200,INDEX($U$4:$U$11,AC$2)+ROW()-5),AD$3&amp;"_#03")-COUNTIF(INDEX($X$4:$X$200,INDEX($U$4:$U$11,AC$2)):INDEX($X$4:$X$200,INDEX($U$4:$U$11,AC$2)+ROW()-5),AC$3&amp;"_#02"))/(COUNTIF(INDEX($W$4:$W$200,INDEX($U$4:$U$11,AC$2)):INDEX($W$4:$W$200,INDEX($U$4:$U$11,AC$2)+ROW()-5),AD$3&amp;"_"&amp;AD$3)+COUNTIF(INDEX($W$4:$W$200,INDEX($U$4:$U$11,AC$2)):INDEX($W$4:$W$200,INDEX($U$4:$U$11,AC$2)+ROW()-5),AC$3&amp;"_"&amp;AD$3)))</f>
        <v>#N/A</v>
      </c>
      <c r="AK42" s="10" t="e">
        <f>IF(OR(ROW()-4&gt;INDEX($U$4:$U$11,AC$2+1)-INDEX($U$4:$U$11,AC$2),ROW()-4&gt;AD$2),NA(),(COUNTIF(INDEX($X$4:$X$200,INDEX($U$4:$U$11,AC$2)):INDEX($X$4:$X$200,INDEX($U$4:$U$11,AC$2)+ROW()-5),AC$3&amp;"_#01")+COUNTIF(INDEX($X$4:$X$200,INDEX($U$4:$U$11,AC$2)):INDEX($X$4:$X$200,INDEX($U$4:$U$11,AC$2)+ROW()-5),AC$3&amp;"_#03"))/(COUNTIF(INDEX($W$4:$W$200,INDEX($U$4:$U$11,AC$2)):INDEX($W$4:$W$200,INDEX($U$4:$U$11,AC$2)+ROW()-5),AC$3&amp;"_"&amp;AC$3)+COUNTIF(INDEX($W$4:$W$200,INDEX($U$4:$U$11,AC$2)):INDEX($W$4:$W$200,INDEX($U$4:$U$11,AC$2)+ROW()-5),AD$3&amp;"_"&amp;AC$3)))</f>
        <v>#N/A</v>
      </c>
      <c r="AL42" s="10" t="e">
        <f>IF(OR(ROW()-4&gt;INDEX($U$4:$U$11,AC$2+1)-INDEX($U$4:$U$11,AC$2),ROW()-4&gt;AD$2),NA(),(COUNTIF(INDEX($X$4:$X$200,INDEX($U$4:$U$11,AC$2)):INDEX($X$4:$X$200,INDEX($U$4:$U$11,AC$2)+ROW()-5),AD$3&amp;"_#01")+COUNTIF(INDEX($X$4:$X$200,INDEX($U$4:$U$11,AC$2)):INDEX($X$4:$X$200,INDEX($U$4:$U$11,AC$2)+ROW()-5),AD$3&amp;"_#03"))/(COUNTIF(INDEX($W$4:$W$200,INDEX($U$4:$U$11,AC$2)):INDEX($W$4:$W$200,INDEX($U$4:$U$11,AC$2)+ROW()-5),AD$3&amp;"_"&amp;AD$3)+COUNTIF(INDEX($W$4:$W$200,INDEX($U$4:$U$11,AC$2)):INDEX($W$4:$W$200,INDEX($U$4:$U$11,AC$2)+ROW()-5),AC$3&amp;"_"&amp;AD$3)))</f>
        <v>#N/A</v>
      </c>
      <c r="GO42" s="16"/>
      <c r="GP42" s="17"/>
      <c r="GQ42" s="66" t="str">
        <f>GQ9</f>
        <v>F</v>
      </c>
      <c r="GR42" s="66" t="str">
        <f t="shared" ref="GR42:GT42" si="133">GR9</f>
        <v>FM</v>
      </c>
      <c r="GS42" s="66" t="str">
        <f t="shared" si="133"/>
        <v>BM</v>
      </c>
      <c r="GT42" s="66" t="str">
        <f t="shared" si="133"/>
        <v>B</v>
      </c>
      <c r="GV42" s="67" t="str">
        <f>GV9</f>
        <v>F</v>
      </c>
      <c r="GW42" s="67" t="str">
        <f t="shared" ref="GW42:GY42" si="134">GW9</f>
        <v>FM</v>
      </c>
      <c r="GX42" s="67" t="str">
        <f t="shared" si="134"/>
        <v>BM</v>
      </c>
      <c r="GY42" s="67" t="str">
        <f t="shared" si="134"/>
        <v>B</v>
      </c>
      <c r="GZ42" s="17" t="s">
        <v>51</v>
      </c>
      <c r="HA42" s="46">
        <f>DL43</f>
        <v>0</v>
      </c>
      <c r="HB42" s="43"/>
      <c r="HC42" s="59">
        <f>DL93</f>
        <v>0</v>
      </c>
      <c r="HD42" s="59">
        <f t="shared" ref="HD42:HD43" si="135">HA42-HC42</f>
        <v>0</v>
      </c>
      <c r="HE42" s="17" t="s">
        <v>61</v>
      </c>
      <c r="HF42" s="46">
        <f>FA43</f>
        <v>0</v>
      </c>
      <c r="HG42" s="43"/>
      <c r="HH42" s="59">
        <f>FA93</f>
        <v>0</v>
      </c>
      <c r="HI42" s="59">
        <f t="shared" si="132"/>
        <v>0</v>
      </c>
      <c r="HJ42" s="17"/>
      <c r="HK42" s="17"/>
      <c r="HL42" s="17"/>
      <c r="HM42" s="18"/>
    </row>
    <row r="43" spans="1:221" x14ac:dyDescent="0.45">
      <c r="A43" t="str">
        <f>データの貼付!A41</f>
        <v>KIHARA Miyuu</v>
      </c>
      <c r="B43">
        <f>データの貼付!B41</f>
        <v>1.1195590277777777E-2</v>
      </c>
      <c r="C43">
        <f>データの貼付!C41</f>
        <v>5.8692129629629621E-5</v>
      </c>
      <c r="D43">
        <f>データの貼付!D41</f>
        <v>1.3888888888888889E-3</v>
      </c>
      <c r="E43" t="str">
        <f>データの貼付!F41</f>
        <v>FENG Tianwei</v>
      </c>
      <c r="F43">
        <f>データの貼付!E41</f>
        <v>4.1666666666666664E-2</v>
      </c>
      <c r="G43" t="str">
        <f>データの貼付!G41</f>
        <v>#02</v>
      </c>
      <c r="H43" t="str">
        <f>データの貼付!H41</f>
        <v>KIHARA Miyuu</v>
      </c>
      <c r="I43" t="str">
        <f>データの貼付!I41</f>
        <v>(Side)</v>
      </c>
      <c r="J43" t="str">
        <f>データの貼付!J41</f>
        <v>B</v>
      </c>
      <c r="K43" t="str">
        <f>データの貼付!K41</f>
        <v>FMS</v>
      </c>
      <c r="L43" t="str">
        <f>データの貼付!L41</f>
        <v>F</v>
      </c>
      <c r="M43" t="str">
        <f>データの貼付!M41</f>
        <v>Push</v>
      </c>
      <c r="N43" t="str">
        <f>データの貼付!N41</f>
        <v>BM</v>
      </c>
      <c r="R43">
        <f t="shared" si="59"/>
        <v>0</v>
      </c>
      <c r="S43">
        <f>SUM(R$4:R43)</f>
        <v>3</v>
      </c>
      <c r="T43" t="str">
        <f t="shared" si="60"/>
        <v/>
      </c>
      <c r="W43" t="str">
        <f t="shared" si="57"/>
        <v>FENG Tianwei_KIHARA Miyuu</v>
      </c>
      <c r="X43" t="str">
        <f t="shared" si="58"/>
        <v>FENG Tianwei_#02</v>
      </c>
      <c r="AC43" s="8" t="e">
        <f>IF(OR(ROW()-4&gt;INDEX($U$4:$U$11,AC$2+1)-INDEX($U$4:$U$11,AC$2),ROW()-4&gt;AD$2),NA(),COUNTIF(INDEX($W$4:$W$200,INDEX($U$4:$U$11,AC$2)):INDEX($W$4:$W$200,INDEX($U$4:$U$11,AC$2)+ROW()-5),AC$3&amp;"_"&amp;AC$3)/(COUNTIF(INDEX($W$4:$W$200,INDEX($U$4:$U$11,AC$2)):INDEX($W$4:$W$200,INDEX($U$4:$U$11,AC$2)+ROW()-5),AC$3&amp;"_"&amp;AC$3)+COUNTIF(INDEX($W$4:$W$200,INDEX($U$4:$U$11,AC$2)):INDEX($W$4:$W$200,INDEX($U$4:$U$11,AC$2)+ROW()-5),AD$3&amp;"_"&amp;AC$3)))</f>
        <v>#N/A</v>
      </c>
      <c r="AD43" s="8" t="e">
        <f>IF(OR(ROW()-4&gt;INDEX($U$4:$U$11,AC$2+1)-INDEX($U$4:$U$11,AC$2),ROW()-4&gt;AD$2),NA(),COUNTIF(INDEX($W$4:$W$200,INDEX($U$4:$U$11,AC$2)):INDEX($W$4:$W$200,INDEX($U$4:$U$11,AC$2)+ROW()-5),AD$3&amp;"_"&amp;AD$3)/(COUNTIF(INDEX($W$4:$W$200,INDEX($U$4:$U$11,AC$2)):INDEX($W$4:$W$200,INDEX($U$4:$U$11,AC$2)+ROW()-5),AD$3&amp;"_"&amp;AD$3)+COUNTIF(INDEX($W$4:$W$200,INDEX($U$4:$U$11,AC$2)):INDEX($W$4:$W$200,INDEX($U$4:$U$11,AC$2)+ROW()-5),AC$3&amp;"_"&amp;AD$3)))</f>
        <v>#N/A</v>
      </c>
      <c r="AE43" s="10" t="e">
        <f>IF(OR(ROW()-4&gt;INDEX($U$4:$U$11,AC$2+1)-INDEX($U$4:$U$11,AC$2),ROW()-4&gt;AD$2),NA(),COUNTIF(INDEX($W$4:$W$200,INDEX($U$4:$U$11,AC$2)):INDEX($W$4:$W$200,INDEX($U$4:$U$11,AC$2)+ROW()-5),AC$3&amp;"_"&amp;AD$3)/(COUNTIF(INDEX($W$4:$W$200,INDEX($U$4:$U$11,AC$2)):INDEX($W$4:$W$200,INDEX($U$4:$U$11,AC$2)+ROW()-5),AC$3&amp;"_"&amp;AD$3)+COUNTIF(INDEX($W$4:$W$200,INDEX($U$4:$U$11,AC$2)):INDEX($W$4:$W$200,INDEX($U$4:$U$11,AC$2)+ROW()-5),AD$3&amp;"_"&amp;AD$3)))</f>
        <v>#N/A</v>
      </c>
      <c r="AF43" s="10" t="e">
        <f>IF(OR(ROW()-4&gt;INDEX($U$4:$U$11,AC$2+1)-INDEX($U$4:$U$11,AC$2),ROW()-4&gt;AD$2),NA(),COUNTIF(INDEX($W$4:$W$200,INDEX($U$4:$U$11,AC$2)):INDEX($W$4:$W$200,INDEX($U$4:$U$11,AC$2)+ROW()-5),AD$3&amp;"_"&amp;AC$3)/(COUNTIF(INDEX($W$4:$W$200,INDEX($U$4:$U$11,AC$2)):INDEX($W$4:$W$200,INDEX($U$4:$U$11,AC$2)+ROW()-5),AD$3&amp;"_"&amp;AC$3)+COUNTIF(INDEX($W$4:$W$200,INDEX($U$4:$U$11,AC$2)):INDEX($W$4:$W$200,INDEX($U$4:$U$11,AC$2)+ROW()-5),AC$3&amp;"_"&amp;AC$3)))</f>
        <v>#N/A</v>
      </c>
      <c r="AG43" s="10" t="e">
        <f>IF(OR(ROW()-4&gt;INDEX($U$4:$U$11,AC$2+1)-INDEX($U$4:$U$11,AC$2),ROW()-4&gt;AD$2),NA(),COUNTIF(INDEX($X$4:$X$200,INDEX($U$4:$U$11,AC$2)):INDEX($X$4:$X$200,INDEX($U$4:$U$11,AC$2)+ROW()-5),AC$3&amp;"_#03")/(COUNTIF(INDEX($W$4:$W$200,INDEX($U$4:$U$11,AC$2)):INDEX($W$4:$W$200,INDEX($U$4:$U$11,AC$2)+ROW()-5),AC$3&amp;"_"&amp;AC$3)+COUNTIF(INDEX($W$4:$W$200,INDEX($U$4:$U$11,AC$2)):INDEX($W$4:$W$200,INDEX($U$4:$U$11,AC$2)+ROW()-5),AD$3&amp;"_"&amp;AC$3)))</f>
        <v>#N/A</v>
      </c>
      <c r="AH43" s="10" t="e">
        <f>IF(OR(ROW()-4&gt;INDEX($U$4:$U$11,AC$2+1)-INDEX($U$4:$U$11,AC$2),ROW()-4&gt;AD$2),NA(),COUNTIF(INDEX($X$4:$X$200,INDEX($U$4:$U$11,AC$2)):INDEX($X$4:$X$200,INDEX($U$4:$U$11,AC$2)+ROW()-5),AD$3&amp;"_#03")/(COUNTIF(INDEX($W$4:$W$200,INDEX($U$4:$U$11,AC$2)):INDEX($W$4:$W$200,INDEX($U$4:$U$11,AC$2)+ROW()-5),AD$3&amp;"_"&amp;AD$3)+COUNTIF(INDEX($W$4:$W$200,INDEX($U$4:$U$11,AC$2)):INDEX($W$4:$W$200,INDEX($U$4:$U$11,AC$2)+ROW()-5),AC$3&amp;"_"&amp;AD$3)))</f>
        <v>#N/A</v>
      </c>
      <c r="AI43" s="10" t="e">
        <f>IF(OR(ROW()-4&gt;INDEX($U$4:$U$11,AC$2+1)-INDEX($U$4:$U$11,AC$2),ROW()-4&gt;AD$2),NA(),(COUNTIF(INDEX($X$4:$X$200,INDEX($U$4:$U$11,AC$2)):INDEX($X$4:$X$200,INDEX($U$4:$U$11,AC$2)+ROW()-5),AC$3&amp;"_#03")-COUNTIF(INDEX($X$4:$X$200,INDEX($U$4:$U$11,AC$2)):INDEX($X$4:$X$200,INDEX($U$4:$U$11,AC$2)+ROW()-5),AD$3&amp;"_#02"))/(COUNTIF(INDEX($W$4:$W$200,INDEX($U$4:$U$11,AC$2)):INDEX($W$4:$W$200,INDEX($U$4:$U$11,AC$2)+ROW()-5),AC$3&amp;"_"&amp;AC$3)+COUNTIF(INDEX($W$4:$W$200,INDEX($U$4:$U$11,AC$2)):INDEX($W$4:$W$200,INDEX($U$4:$U$11,AC$2)+ROW()-5),AD$3&amp;"_"&amp;AC$3)))</f>
        <v>#N/A</v>
      </c>
      <c r="AJ43" s="10" t="e">
        <f>IF(OR(ROW()-4&gt;INDEX($U$4:$U$11,AC$2+1)-INDEX($U$4:$U$11,AC$2),ROW()-4&gt;AD$2),NA(),(COUNTIF(INDEX($X$4:$X$200,INDEX($U$4:$U$11,AC$2)):INDEX($X$4:$X$200,INDEX($U$4:$U$11,AC$2)+ROW()-5),AD$3&amp;"_#03")-COUNTIF(INDEX($X$4:$X$200,INDEX($U$4:$U$11,AC$2)):INDEX($X$4:$X$200,INDEX($U$4:$U$11,AC$2)+ROW()-5),AC$3&amp;"_#02"))/(COUNTIF(INDEX($W$4:$W$200,INDEX($U$4:$U$11,AC$2)):INDEX($W$4:$W$200,INDEX($U$4:$U$11,AC$2)+ROW()-5),AD$3&amp;"_"&amp;AD$3)+COUNTIF(INDEX($W$4:$W$200,INDEX($U$4:$U$11,AC$2)):INDEX($W$4:$W$200,INDEX($U$4:$U$11,AC$2)+ROW()-5),AC$3&amp;"_"&amp;AD$3)))</f>
        <v>#N/A</v>
      </c>
      <c r="AK43" s="10" t="e">
        <f>IF(OR(ROW()-4&gt;INDEX($U$4:$U$11,AC$2+1)-INDEX($U$4:$U$11,AC$2),ROW()-4&gt;AD$2),NA(),(COUNTIF(INDEX($X$4:$X$200,INDEX($U$4:$U$11,AC$2)):INDEX($X$4:$X$200,INDEX($U$4:$U$11,AC$2)+ROW()-5),AC$3&amp;"_#01")+COUNTIF(INDEX($X$4:$X$200,INDEX($U$4:$U$11,AC$2)):INDEX($X$4:$X$200,INDEX($U$4:$U$11,AC$2)+ROW()-5),AC$3&amp;"_#03"))/(COUNTIF(INDEX($W$4:$W$200,INDEX($U$4:$U$11,AC$2)):INDEX($W$4:$W$200,INDEX($U$4:$U$11,AC$2)+ROW()-5),AC$3&amp;"_"&amp;AC$3)+COUNTIF(INDEX($W$4:$W$200,INDEX($U$4:$U$11,AC$2)):INDEX($W$4:$W$200,INDEX($U$4:$U$11,AC$2)+ROW()-5),AD$3&amp;"_"&amp;AC$3)))</f>
        <v>#N/A</v>
      </c>
      <c r="AL43" s="10" t="e">
        <f>IF(OR(ROW()-4&gt;INDEX($U$4:$U$11,AC$2+1)-INDEX($U$4:$U$11,AC$2),ROW()-4&gt;AD$2),NA(),(COUNTIF(INDEX($X$4:$X$200,INDEX($U$4:$U$11,AC$2)):INDEX($X$4:$X$200,INDEX($U$4:$U$11,AC$2)+ROW()-5),AD$3&amp;"_#01")+COUNTIF(INDEX($X$4:$X$200,INDEX($U$4:$U$11,AC$2)):INDEX($X$4:$X$200,INDEX($U$4:$U$11,AC$2)+ROW()-5),AD$3&amp;"_#03"))/(COUNTIF(INDEX($W$4:$W$200,INDEX($U$4:$U$11,AC$2)):INDEX($W$4:$W$200,INDEX($U$4:$U$11,AC$2)+ROW()-5),AD$3&amp;"_"&amp;AD$3)+COUNTIF(INDEX($W$4:$W$200,INDEX($U$4:$U$11,AC$2)):INDEX($W$4:$W$200,INDEX($U$4:$U$11,AC$2)+ROW()-5),AC$3&amp;"_"&amp;AD$3)))</f>
        <v>#N/A</v>
      </c>
      <c r="DH43">
        <f>COUNTIF($BL$5:$BR$40,DH3)</f>
        <v>9</v>
      </c>
      <c r="DI43">
        <f>COUNTIF($BL$5:$BR$40,DI3)</f>
        <v>22</v>
      </c>
      <c r="DJ43">
        <f>COUNTIF($BL$5:$BR$40,DJ3)</f>
        <v>5</v>
      </c>
      <c r="DL43">
        <f>COUNTIF($BL$5:$BR$40,DL3)</f>
        <v>0</v>
      </c>
      <c r="DM43">
        <f>COUNTIF($BL$5:$BR$40,DM3)</f>
        <v>0</v>
      </c>
      <c r="DN43">
        <f>COUNTIF($BL$5:$BR$40,DN3)</f>
        <v>37</v>
      </c>
      <c r="DP43">
        <f>COUNTIF($BT$5:$BZ$40,DP3)</f>
        <v>33</v>
      </c>
      <c r="DQ43">
        <f>COUNTIF($BT$5:$BZ$40,DQ3)</f>
        <v>3</v>
      </c>
      <c r="DS43">
        <f>COUNTIF($BT$5:$BZ$40,DS3)</f>
        <v>37</v>
      </c>
      <c r="DT43">
        <f>COUNTIF($BT$5:$BZ$40,DT3)</f>
        <v>0</v>
      </c>
      <c r="DV43">
        <f>COUNTIF($CB$5:$CH$40,DV3)</f>
        <v>0</v>
      </c>
      <c r="DW43">
        <f t="shared" ref="DW43:EC43" si="136">COUNTIF($CB$5:$CH$40,DW3)</f>
        <v>0</v>
      </c>
      <c r="DX43">
        <f t="shared" si="136"/>
        <v>11</v>
      </c>
      <c r="DY43">
        <f t="shared" si="136"/>
        <v>13</v>
      </c>
      <c r="DZ43">
        <f t="shared" si="136"/>
        <v>6</v>
      </c>
      <c r="EA43">
        <f t="shared" si="136"/>
        <v>3</v>
      </c>
      <c r="EB43">
        <f t="shared" si="136"/>
        <v>0</v>
      </c>
      <c r="EC43">
        <f t="shared" si="136"/>
        <v>3</v>
      </c>
      <c r="EE43">
        <f>COUNTIF($CB$5:$CH$40,EE3)</f>
        <v>0</v>
      </c>
      <c r="EF43">
        <f t="shared" ref="EF43:EL43" si="137">COUNTIF($CB$5:$CH$40,EF3)</f>
        <v>1</v>
      </c>
      <c r="EG43">
        <f t="shared" si="137"/>
        <v>2</v>
      </c>
      <c r="EH43">
        <f t="shared" si="137"/>
        <v>7</v>
      </c>
      <c r="EI43">
        <f t="shared" si="137"/>
        <v>12</v>
      </c>
      <c r="EJ43">
        <f t="shared" si="137"/>
        <v>13</v>
      </c>
      <c r="EK43">
        <f t="shared" si="137"/>
        <v>1</v>
      </c>
      <c r="EL43">
        <f t="shared" si="137"/>
        <v>1</v>
      </c>
      <c r="EN43">
        <f>COUNTIF($CJ$5:$CP$40,EN3)</f>
        <v>18</v>
      </c>
      <c r="EO43">
        <f>COUNTIF($CJ$5:$CP$40,EO3)</f>
        <v>16</v>
      </c>
      <c r="EQ43">
        <f>COUNTIF($CJ$5:$CP$40,EQ3)</f>
        <v>28</v>
      </c>
      <c r="ER43">
        <f>COUNTIF($CJ$5:$CP$40,ER3)</f>
        <v>8</v>
      </c>
      <c r="ET43">
        <f>COUNTIF($CR$5:$CX$40,ET3)</f>
        <v>8</v>
      </c>
      <c r="EU43">
        <f t="shared" ref="EU43:FA43" si="138">COUNTIF($CR$5:$CX$40,EU3)</f>
        <v>0</v>
      </c>
      <c r="EV43">
        <f t="shared" si="138"/>
        <v>13</v>
      </c>
      <c r="EW43">
        <f t="shared" si="138"/>
        <v>3</v>
      </c>
      <c r="EX43">
        <f t="shared" si="138"/>
        <v>0</v>
      </c>
      <c r="EY43">
        <f t="shared" si="138"/>
        <v>13</v>
      </c>
      <c r="EZ43">
        <f t="shared" si="138"/>
        <v>0</v>
      </c>
      <c r="FA43">
        <f t="shared" si="138"/>
        <v>0</v>
      </c>
      <c r="FC43">
        <f>COUNTIF($CR$5:$CX$40,FC3)</f>
        <v>0</v>
      </c>
      <c r="FD43">
        <f t="shared" ref="FD43:FJ43" si="139">COUNTIF($CR$5:$CX$40,FD3)</f>
        <v>1</v>
      </c>
      <c r="FE43">
        <f t="shared" si="139"/>
        <v>7</v>
      </c>
      <c r="FF43">
        <f t="shared" si="139"/>
        <v>5</v>
      </c>
      <c r="FG43">
        <f t="shared" si="139"/>
        <v>0</v>
      </c>
      <c r="FH43">
        <f t="shared" si="139"/>
        <v>22</v>
      </c>
      <c r="FI43">
        <f t="shared" si="139"/>
        <v>0</v>
      </c>
      <c r="FJ43">
        <f t="shared" si="139"/>
        <v>1</v>
      </c>
      <c r="FL43">
        <f>COUNTIF($CZ$5:$DF$40,FL3)</f>
        <v>9</v>
      </c>
      <c r="FM43">
        <f t="shared" ref="FM43:GF43" si="140">COUNTIF($CZ$5:$DF$40,FM3)</f>
        <v>13</v>
      </c>
      <c r="FN43">
        <f t="shared" si="140"/>
        <v>2</v>
      </c>
      <c r="FO43">
        <f t="shared" si="140"/>
        <v>4</v>
      </c>
      <c r="FP43">
        <f t="shared" si="140"/>
        <v>0</v>
      </c>
      <c r="FQ43">
        <f t="shared" si="140"/>
        <v>1</v>
      </c>
      <c r="FR43">
        <f t="shared" si="140"/>
        <v>2</v>
      </c>
      <c r="FS43">
        <f t="shared" si="140"/>
        <v>1</v>
      </c>
      <c r="FT43">
        <f t="shared" si="140"/>
        <v>1</v>
      </c>
      <c r="FU43">
        <f t="shared" si="140"/>
        <v>2</v>
      </c>
      <c r="FW43">
        <f t="shared" si="140"/>
        <v>5</v>
      </c>
      <c r="FX43">
        <f t="shared" si="140"/>
        <v>10</v>
      </c>
      <c r="FY43">
        <f t="shared" si="140"/>
        <v>3</v>
      </c>
      <c r="FZ43">
        <f t="shared" si="140"/>
        <v>4</v>
      </c>
      <c r="GA43">
        <f t="shared" si="140"/>
        <v>1</v>
      </c>
      <c r="GB43">
        <f t="shared" si="140"/>
        <v>3</v>
      </c>
      <c r="GC43">
        <f t="shared" si="140"/>
        <v>4</v>
      </c>
      <c r="GD43">
        <f t="shared" si="140"/>
        <v>1</v>
      </c>
      <c r="GE43">
        <f t="shared" si="140"/>
        <v>1</v>
      </c>
      <c r="GF43">
        <f t="shared" si="140"/>
        <v>2</v>
      </c>
      <c r="GO43" s="16"/>
      <c r="GP43" s="17"/>
      <c r="GQ43" s="66" t="str">
        <f t="shared" ref="GQ43:GT43" si="141">GQ10</f>
        <v>FS</v>
      </c>
      <c r="GR43" s="66" t="str">
        <f t="shared" si="141"/>
        <v>FMS</v>
      </c>
      <c r="GS43" s="66" t="str">
        <f t="shared" si="141"/>
        <v>BMS</v>
      </c>
      <c r="GT43" s="66" t="str">
        <f t="shared" si="141"/>
        <v>BS</v>
      </c>
      <c r="GV43" s="67" t="str">
        <f t="shared" ref="GV43:GY43" si="142">GV10</f>
        <v>FS</v>
      </c>
      <c r="GW43" s="67" t="str">
        <f t="shared" si="142"/>
        <v>FMS</v>
      </c>
      <c r="GX43" s="67" t="str">
        <f t="shared" si="142"/>
        <v>BMS</v>
      </c>
      <c r="GY43" s="67" t="str">
        <f t="shared" si="142"/>
        <v>BS</v>
      </c>
      <c r="GZ43" s="17" t="s">
        <v>52</v>
      </c>
      <c r="HA43" s="46">
        <f>DM43</f>
        <v>0</v>
      </c>
      <c r="HB43" s="43"/>
      <c r="HC43" s="59">
        <f>DM93</f>
        <v>0</v>
      </c>
      <c r="HD43" s="59">
        <f t="shared" si="135"/>
        <v>0</v>
      </c>
      <c r="HE43" s="17"/>
      <c r="HF43" s="17"/>
      <c r="HG43" s="17"/>
      <c r="HH43" s="17" t="str">
        <f>$AC$3</f>
        <v>FENG Tianwei</v>
      </c>
      <c r="HI43" s="17"/>
      <c r="HJ43" s="70" t="str">
        <f>HM10</f>
        <v>BS</v>
      </c>
      <c r="HK43" s="70" t="str">
        <f t="shared" ref="HK43:HM43" si="143">HN10</f>
        <v>BMS</v>
      </c>
      <c r="HL43" s="70" t="str">
        <f t="shared" si="143"/>
        <v>FMS</v>
      </c>
      <c r="HM43" s="70" t="str">
        <f t="shared" si="143"/>
        <v>FS</v>
      </c>
    </row>
    <row r="44" spans="1:221" x14ac:dyDescent="0.45">
      <c r="A44" t="str">
        <f>データの貼付!A42</f>
        <v>FENG Tianwei</v>
      </c>
      <c r="B44">
        <f>データの貼付!B42</f>
        <v>1.1423055555555556E-2</v>
      </c>
      <c r="C44">
        <f>データの貼付!C42</f>
        <v>6.2557870370370371E-5</v>
      </c>
      <c r="D44">
        <f>データの貼付!D42</f>
        <v>1.3888888888888889E-3</v>
      </c>
      <c r="E44" t="str">
        <f>データの貼付!F42</f>
        <v>FENG Tianwei</v>
      </c>
      <c r="F44">
        <f>データの貼付!E42</f>
        <v>4.1666666666666664E-2</v>
      </c>
      <c r="G44" t="str">
        <f>データの貼付!G42</f>
        <v>#03</v>
      </c>
      <c r="H44" t="str">
        <f>データの貼付!H42</f>
        <v>FENG Tianwei</v>
      </c>
      <c r="I44" t="str">
        <f>データの貼付!I42</f>
        <v>Side</v>
      </c>
      <c r="J44" t="str">
        <f>データの貼付!J42</f>
        <v>B</v>
      </c>
      <c r="K44" t="str">
        <f>データの貼付!K42</f>
        <v>B</v>
      </c>
      <c r="L44" t="str">
        <f>データの貼付!L42</f>
        <v>B</v>
      </c>
      <c r="M44" t="str">
        <f>データの貼付!M42</f>
        <v>ドライブ</v>
      </c>
      <c r="N44" t="str">
        <f>データの貼付!N42</f>
        <v>BMS</v>
      </c>
      <c r="R44">
        <f t="shared" si="59"/>
        <v>0</v>
      </c>
      <c r="S44">
        <f>SUM(R$4:R44)</f>
        <v>3</v>
      </c>
      <c r="T44" t="str">
        <f t="shared" si="60"/>
        <v/>
      </c>
      <c r="W44" t="str">
        <f t="shared" si="57"/>
        <v>FENG Tianwei_FENG Tianwei</v>
      </c>
      <c r="X44" t="str">
        <f t="shared" si="58"/>
        <v>FENG Tianwei_#03</v>
      </c>
      <c r="AC44" s="8" t="e">
        <f>IF(OR(ROW()-4&gt;INDEX($U$4:$U$11,AC$2+1)-INDEX($U$4:$U$11,AC$2),ROW()-4&gt;AD$2),NA(),COUNTIF(INDEX($W$4:$W$200,INDEX($U$4:$U$11,AC$2)):INDEX($W$4:$W$200,INDEX($U$4:$U$11,AC$2)+ROW()-5),AC$3&amp;"_"&amp;AC$3)/(COUNTIF(INDEX($W$4:$W$200,INDEX($U$4:$U$11,AC$2)):INDEX($W$4:$W$200,INDEX($U$4:$U$11,AC$2)+ROW()-5),AC$3&amp;"_"&amp;AC$3)+COUNTIF(INDEX($W$4:$W$200,INDEX($U$4:$U$11,AC$2)):INDEX($W$4:$W$200,INDEX($U$4:$U$11,AC$2)+ROW()-5),AD$3&amp;"_"&amp;AC$3)))</f>
        <v>#N/A</v>
      </c>
      <c r="AD44" s="8" t="e">
        <f>IF(OR(ROW()-4&gt;INDEX($U$4:$U$11,AC$2+1)-INDEX($U$4:$U$11,AC$2),ROW()-4&gt;AD$2),NA(),COUNTIF(INDEX($W$4:$W$200,INDEX($U$4:$U$11,AC$2)):INDEX($W$4:$W$200,INDEX($U$4:$U$11,AC$2)+ROW()-5),AD$3&amp;"_"&amp;AD$3)/(COUNTIF(INDEX($W$4:$W$200,INDEX($U$4:$U$11,AC$2)):INDEX($W$4:$W$200,INDEX($U$4:$U$11,AC$2)+ROW()-5),AD$3&amp;"_"&amp;AD$3)+COUNTIF(INDEX($W$4:$W$200,INDEX($U$4:$U$11,AC$2)):INDEX($W$4:$W$200,INDEX($U$4:$U$11,AC$2)+ROW()-5),AC$3&amp;"_"&amp;AD$3)))</f>
        <v>#N/A</v>
      </c>
      <c r="AE44" s="10" t="e">
        <f>IF(OR(ROW()-4&gt;INDEX($U$4:$U$11,AC$2+1)-INDEX($U$4:$U$11,AC$2),ROW()-4&gt;AD$2),NA(),COUNTIF(INDEX($W$4:$W$200,INDEX($U$4:$U$11,AC$2)):INDEX($W$4:$W$200,INDEX($U$4:$U$11,AC$2)+ROW()-5),AC$3&amp;"_"&amp;AD$3)/(COUNTIF(INDEX($W$4:$W$200,INDEX($U$4:$U$11,AC$2)):INDEX($W$4:$W$200,INDEX($U$4:$U$11,AC$2)+ROW()-5),AC$3&amp;"_"&amp;AD$3)+COUNTIF(INDEX($W$4:$W$200,INDEX($U$4:$U$11,AC$2)):INDEX($W$4:$W$200,INDEX($U$4:$U$11,AC$2)+ROW()-5),AD$3&amp;"_"&amp;AD$3)))</f>
        <v>#N/A</v>
      </c>
      <c r="AF44" s="10" t="e">
        <f>IF(OR(ROW()-4&gt;INDEX($U$4:$U$11,AC$2+1)-INDEX($U$4:$U$11,AC$2),ROW()-4&gt;AD$2),NA(),COUNTIF(INDEX($W$4:$W$200,INDEX($U$4:$U$11,AC$2)):INDEX($W$4:$W$200,INDEX($U$4:$U$11,AC$2)+ROW()-5),AD$3&amp;"_"&amp;AC$3)/(COUNTIF(INDEX($W$4:$W$200,INDEX($U$4:$U$11,AC$2)):INDEX($W$4:$W$200,INDEX($U$4:$U$11,AC$2)+ROW()-5),AD$3&amp;"_"&amp;AC$3)+COUNTIF(INDEX($W$4:$W$200,INDEX($U$4:$U$11,AC$2)):INDEX($W$4:$W$200,INDEX($U$4:$U$11,AC$2)+ROW()-5),AC$3&amp;"_"&amp;AC$3)))</f>
        <v>#N/A</v>
      </c>
      <c r="AG44" s="10" t="e">
        <f>IF(OR(ROW()-4&gt;INDEX($U$4:$U$11,AC$2+1)-INDEX($U$4:$U$11,AC$2),ROW()-4&gt;AD$2),NA(),COUNTIF(INDEX($X$4:$X$200,INDEX($U$4:$U$11,AC$2)):INDEX($X$4:$X$200,INDEX($U$4:$U$11,AC$2)+ROW()-5),AC$3&amp;"_#03")/(COUNTIF(INDEX($W$4:$W$200,INDEX($U$4:$U$11,AC$2)):INDEX($W$4:$W$200,INDEX($U$4:$U$11,AC$2)+ROW()-5),AC$3&amp;"_"&amp;AC$3)+COUNTIF(INDEX($W$4:$W$200,INDEX($U$4:$U$11,AC$2)):INDEX($W$4:$W$200,INDEX($U$4:$U$11,AC$2)+ROW()-5),AD$3&amp;"_"&amp;AC$3)))</f>
        <v>#N/A</v>
      </c>
      <c r="AH44" s="10" t="e">
        <f>IF(OR(ROW()-4&gt;INDEX($U$4:$U$11,AC$2+1)-INDEX($U$4:$U$11,AC$2),ROW()-4&gt;AD$2),NA(),COUNTIF(INDEX($X$4:$X$200,INDEX($U$4:$U$11,AC$2)):INDEX($X$4:$X$200,INDEX($U$4:$U$11,AC$2)+ROW()-5),AD$3&amp;"_#03")/(COUNTIF(INDEX($W$4:$W$200,INDEX($U$4:$U$11,AC$2)):INDEX($W$4:$W$200,INDEX($U$4:$U$11,AC$2)+ROW()-5),AD$3&amp;"_"&amp;AD$3)+COUNTIF(INDEX($W$4:$W$200,INDEX($U$4:$U$11,AC$2)):INDEX($W$4:$W$200,INDEX($U$4:$U$11,AC$2)+ROW()-5),AC$3&amp;"_"&amp;AD$3)))</f>
        <v>#N/A</v>
      </c>
      <c r="AI44" s="10" t="e">
        <f>IF(OR(ROW()-4&gt;INDEX($U$4:$U$11,AC$2+1)-INDEX($U$4:$U$11,AC$2),ROW()-4&gt;AD$2),NA(),(COUNTIF(INDEX($X$4:$X$200,INDEX($U$4:$U$11,AC$2)):INDEX($X$4:$X$200,INDEX($U$4:$U$11,AC$2)+ROW()-5),AC$3&amp;"_#03")-COUNTIF(INDEX($X$4:$X$200,INDEX($U$4:$U$11,AC$2)):INDEX($X$4:$X$200,INDEX($U$4:$U$11,AC$2)+ROW()-5),AD$3&amp;"_#02"))/(COUNTIF(INDEX($W$4:$W$200,INDEX($U$4:$U$11,AC$2)):INDEX($W$4:$W$200,INDEX($U$4:$U$11,AC$2)+ROW()-5),AC$3&amp;"_"&amp;AC$3)+COUNTIF(INDEX($W$4:$W$200,INDEX($U$4:$U$11,AC$2)):INDEX($W$4:$W$200,INDEX($U$4:$U$11,AC$2)+ROW()-5),AD$3&amp;"_"&amp;AC$3)))</f>
        <v>#N/A</v>
      </c>
      <c r="AJ44" s="10" t="e">
        <f>IF(OR(ROW()-4&gt;INDEX($U$4:$U$11,AC$2+1)-INDEX($U$4:$U$11,AC$2),ROW()-4&gt;AD$2),NA(),(COUNTIF(INDEX($X$4:$X$200,INDEX($U$4:$U$11,AC$2)):INDEX($X$4:$X$200,INDEX($U$4:$U$11,AC$2)+ROW()-5),AD$3&amp;"_#03")-COUNTIF(INDEX($X$4:$X$200,INDEX($U$4:$U$11,AC$2)):INDEX($X$4:$X$200,INDEX($U$4:$U$11,AC$2)+ROW()-5),AC$3&amp;"_#02"))/(COUNTIF(INDEX($W$4:$W$200,INDEX($U$4:$U$11,AC$2)):INDEX($W$4:$W$200,INDEX($U$4:$U$11,AC$2)+ROW()-5),AD$3&amp;"_"&amp;AD$3)+COUNTIF(INDEX($W$4:$W$200,INDEX($U$4:$U$11,AC$2)):INDEX($W$4:$W$200,INDEX($U$4:$U$11,AC$2)+ROW()-5),AC$3&amp;"_"&amp;AD$3)))</f>
        <v>#N/A</v>
      </c>
      <c r="AK44" s="10" t="e">
        <f>IF(OR(ROW()-4&gt;INDEX($U$4:$U$11,AC$2+1)-INDEX($U$4:$U$11,AC$2),ROW()-4&gt;AD$2),NA(),(COUNTIF(INDEX($X$4:$X$200,INDEX($U$4:$U$11,AC$2)):INDEX($X$4:$X$200,INDEX($U$4:$U$11,AC$2)+ROW()-5),AC$3&amp;"_#01")+COUNTIF(INDEX($X$4:$X$200,INDEX($U$4:$U$11,AC$2)):INDEX($X$4:$X$200,INDEX($U$4:$U$11,AC$2)+ROW()-5),AC$3&amp;"_#03"))/(COUNTIF(INDEX($W$4:$W$200,INDEX($U$4:$U$11,AC$2)):INDEX($W$4:$W$200,INDEX($U$4:$U$11,AC$2)+ROW()-5),AC$3&amp;"_"&amp;AC$3)+COUNTIF(INDEX($W$4:$W$200,INDEX($U$4:$U$11,AC$2)):INDEX($W$4:$W$200,INDEX($U$4:$U$11,AC$2)+ROW()-5),AD$3&amp;"_"&amp;AC$3)))</f>
        <v>#N/A</v>
      </c>
      <c r="AL44" s="10" t="e">
        <f>IF(OR(ROW()-4&gt;INDEX($U$4:$U$11,AC$2+1)-INDEX($U$4:$U$11,AC$2),ROW()-4&gt;AD$2),NA(),(COUNTIF(INDEX($X$4:$X$200,INDEX($U$4:$U$11,AC$2)):INDEX($X$4:$X$200,INDEX($U$4:$U$11,AC$2)+ROW()-5),AD$3&amp;"_#01")+COUNTIF(INDEX($X$4:$X$200,INDEX($U$4:$U$11,AC$2)):INDEX($X$4:$X$200,INDEX($U$4:$U$11,AC$2)+ROW()-5),AD$3&amp;"_#03"))/(COUNTIF(INDEX($W$4:$W$200,INDEX($U$4:$U$11,AC$2)):INDEX($W$4:$W$200,INDEX($U$4:$U$11,AC$2)+ROW()-5),AD$3&amp;"_"&amp;AD$3)+COUNTIF(INDEX($W$4:$W$200,INDEX($U$4:$U$11,AC$2)):INDEX($W$4:$W$200,INDEX($U$4:$U$11,AC$2)+ROW()-5),AC$3&amp;"_"&amp;AD$3)))</f>
        <v>#N/A</v>
      </c>
      <c r="GO44" s="16"/>
      <c r="GP44" s="17"/>
      <c r="GQ44" s="66">
        <f>DV43</f>
        <v>0</v>
      </c>
      <c r="GR44" s="66">
        <f t="shared" ref="GR44:GT44" si="144">DW43</f>
        <v>0</v>
      </c>
      <c r="GS44" s="66">
        <f t="shared" si="144"/>
        <v>11</v>
      </c>
      <c r="GT44" s="66">
        <f t="shared" si="144"/>
        <v>13</v>
      </c>
      <c r="GV44" s="67">
        <f>EE$43</f>
        <v>0</v>
      </c>
      <c r="GW44" s="67">
        <f t="shared" ref="GW44:GY44" si="145">EF$43</f>
        <v>1</v>
      </c>
      <c r="GX44" s="67">
        <f t="shared" si="145"/>
        <v>2</v>
      </c>
      <c r="GY44" s="67">
        <f t="shared" si="145"/>
        <v>7</v>
      </c>
      <c r="GZ44" s="17" t="s">
        <v>53</v>
      </c>
      <c r="HA44" s="46">
        <f>DN43</f>
        <v>37</v>
      </c>
      <c r="HB44" s="43"/>
      <c r="HC44" s="59">
        <f>DN93</f>
        <v>22</v>
      </c>
      <c r="HD44" s="59">
        <f>HA44-HC44</f>
        <v>15</v>
      </c>
      <c r="HE44" s="17"/>
      <c r="HF44" s="17"/>
      <c r="HG44" s="17" t="s">
        <v>67</v>
      </c>
      <c r="HH44" s="17"/>
      <c r="HI44" s="17"/>
      <c r="HJ44" s="70" t="str">
        <f t="shared" ref="HJ44:HM44" si="146">HM11</f>
        <v>B</v>
      </c>
      <c r="HK44" s="70" t="str">
        <f t="shared" si="146"/>
        <v>BM</v>
      </c>
      <c r="HL44" s="70" t="str">
        <f t="shared" si="146"/>
        <v>FM</v>
      </c>
      <c r="HM44" s="70" t="str">
        <f t="shared" si="146"/>
        <v>F</v>
      </c>
    </row>
    <row r="45" spans="1:221" x14ac:dyDescent="0.45">
      <c r="A45" t="str">
        <f>データの貼付!A43</f>
        <v>FENG Tianwei</v>
      </c>
      <c r="B45">
        <f>データの貼付!B43</f>
        <v>1.1612291666666665E-2</v>
      </c>
      <c r="C45">
        <f>データの貼付!C43</f>
        <v>6.7187499999999986E-5</v>
      </c>
      <c r="D45">
        <f>データの貼付!D43</f>
        <v>1.3888888888888889E-3</v>
      </c>
      <c r="E45" t="str">
        <f>データの貼付!F43</f>
        <v>FENG Tianwei</v>
      </c>
      <c r="F45">
        <f>データの貼付!E43</f>
        <v>4.1666666666666664E-2</v>
      </c>
      <c r="G45" t="str">
        <f>データの貼付!G43</f>
        <v>#03</v>
      </c>
      <c r="H45" t="str">
        <f>データの貼付!H43</f>
        <v>FENG Tianwei</v>
      </c>
      <c r="I45" t="str">
        <f>データの貼付!I43</f>
        <v>Back</v>
      </c>
      <c r="J45" t="str">
        <f>データの貼付!J43</f>
        <v>B</v>
      </c>
      <c r="K45" t="str">
        <f>データの貼付!K43</f>
        <v>FS</v>
      </c>
      <c r="L45" t="str">
        <f>データの貼付!L43</f>
        <v>B</v>
      </c>
      <c r="M45" t="str">
        <f>データの貼付!M43</f>
        <v>Stop</v>
      </c>
      <c r="N45" t="str">
        <f>データの貼付!N43</f>
        <v>FS</v>
      </c>
      <c r="R45">
        <f t="shared" si="59"/>
        <v>0</v>
      </c>
      <c r="S45">
        <f>SUM(R$4:R45)</f>
        <v>3</v>
      </c>
      <c r="T45" t="str">
        <f t="shared" si="60"/>
        <v/>
      </c>
      <c r="W45" t="str">
        <f t="shared" si="57"/>
        <v>FENG Tianwei_FENG Tianwei</v>
      </c>
      <c r="X45" t="str">
        <f t="shared" si="58"/>
        <v>FENG Tianwei_#03</v>
      </c>
      <c r="AC45" s="8" t="e">
        <f>IF(OR(ROW()-4&gt;INDEX($U$4:$U$11,AC$2+1)-INDEX($U$4:$U$11,AC$2),ROW()-4&gt;AD$2),NA(),COUNTIF(INDEX($W$4:$W$200,INDEX($U$4:$U$11,AC$2)):INDEX($W$4:$W$200,INDEX($U$4:$U$11,AC$2)+ROW()-5),AC$3&amp;"_"&amp;AC$3)/(COUNTIF(INDEX($W$4:$W$200,INDEX($U$4:$U$11,AC$2)):INDEX($W$4:$W$200,INDEX($U$4:$U$11,AC$2)+ROW()-5),AC$3&amp;"_"&amp;AC$3)+COUNTIF(INDEX($W$4:$W$200,INDEX($U$4:$U$11,AC$2)):INDEX($W$4:$W$200,INDEX($U$4:$U$11,AC$2)+ROW()-5),AD$3&amp;"_"&amp;AC$3)))</f>
        <v>#N/A</v>
      </c>
      <c r="AD45" s="8" t="e">
        <f>IF(OR(ROW()-4&gt;INDEX($U$4:$U$11,AC$2+1)-INDEX($U$4:$U$11,AC$2),ROW()-4&gt;AD$2),NA(),COUNTIF(INDEX($W$4:$W$200,INDEX($U$4:$U$11,AC$2)):INDEX($W$4:$W$200,INDEX($U$4:$U$11,AC$2)+ROW()-5),AD$3&amp;"_"&amp;AD$3)/(COUNTIF(INDEX($W$4:$W$200,INDEX($U$4:$U$11,AC$2)):INDEX($W$4:$W$200,INDEX($U$4:$U$11,AC$2)+ROW()-5),AD$3&amp;"_"&amp;AD$3)+COUNTIF(INDEX($W$4:$W$200,INDEX($U$4:$U$11,AC$2)):INDEX($W$4:$W$200,INDEX($U$4:$U$11,AC$2)+ROW()-5),AC$3&amp;"_"&amp;AD$3)))</f>
        <v>#N/A</v>
      </c>
      <c r="AE45" s="10" t="e">
        <f>IF(OR(ROW()-4&gt;INDEX($U$4:$U$11,AC$2+1)-INDEX($U$4:$U$11,AC$2),ROW()-4&gt;AD$2),NA(),COUNTIF(INDEX($W$4:$W$200,INDEX($U$4:$U$11,AC$2)):INDEX($W$4:$W$200,INDEX($U$4:$U$11,AC$2)+ROW()-5),AC$3&amp;"_"&amp;AD$3)/(COUNTIF(INDEX($W$4:$W$200,INDEX($U$4:$U$11,AC$2)):INDEX($W$4:$W$200,INDEX($U$4:$U$11,AC$2)+ROW()-5),AC$3&amp;"_"&amp;AD$3)+COUNTIF(INDEX($W$4:$W$200,INDEX($U$4:$U$11,AC$2)):INDEX($W$4:$W$200,INDEX($U$4:$U$11,AC$2)+ROW()-5),AD$3&amp;"_"&amp;AD$3)))</f>
        <v>#N/A</v>
      </c>
      <c r="AF45" s="10" t="e">
        <f>IF(OR(ROW()-4&gt;INDEX($U$4:$U$11,AC$2+1)-INDEX($U$4:$U$11,AC$2),ROW()-4&gt;AD$2),NA(),COUNTIF(INDEX($W$4:$W$200,INDEX($U$4:$U$11,AC$2)):INDEX($W$4:$W$200,INDEX($U$4:$U$11,AC$2)+ROW()-5),AD$3&amp;"_"&amp;AC$3)/(COUNTIF(INDEX($W$4:$W$200,INDEX($U$4:$U$11,AC$2)):INDEX($W$4:$W$200,INDEX($U$4:$U$11,AC$2)+ROW()-5),AD$3&amp;"_"&amp;AC$3)+COUNTIF(INDEX($W$4:$W$200,INDEX($U$4:$U$11,AC$2)):INDEX($W$4:$W$200,INDEX($U$4:$U$11,AC$2)+ROW()-5),AC$3&amp;"_"&amp;AC$3)))</f>
        <v>#N/A</v>
      </c>
      <c r="AG45" s="10" t="e">
        <f>IF(OR(ROW()-4&gt;INDEX($U$4:$U$11,AC$2+1)-INDEX($U$4:$U$11,AC$2),ROW()-4&gt;AD$2),NA(),COUNTIF(INDEX($X$4:$X$200,INDEX($U$4:$U$11,AC$2)):INDEX($X$4:$X$200,INDEX($U$4:$U$11,AC$2)+ROW()-5),AC$3&amp;"_#03")/(COUNTIF(INDEX($W$4:$W$200,INDEX($U$4:$U$11,AC$2)):INDEX($W$4:$W$200,INDEX($U$4:$U$11,AC$2)+ROW()-5),AC$3&amp;"_"&amp;AC$3)+COUNTIF(INDEX($W$4:$W$200,INDEX($U$4:$U$11,AC$2)):INDEX($W$4:$W$200,INDEX($U$4:$U$11,AC$2)+ROW()-5),AD$3&amp;"_"&amp;AC$3)))</f>
        <v>#N/A</v>
      </c>
      <c r="AH45" s="10" t="e">
        <f>IF(OR(ROW()-4&gt;INDEX($U$4:$U$11,AC$2+1)-INDEX($U$4:$U$11,AC$2),ROW()-4&gt;AD$2),NA(),COUNTIF(INDEX($X$4:$X$200,INDEX($U$4:$U$11,AC$2)):INDEX($X$4:$X$200,INDEX($U$4:$U$11,AC$2)+ROW()-5),AD$3&amp;"_#03")/(COUNTIF(INDEX($W$4:$W$200,INDEX($U$4:$U$11,AC$2)):INDEX($W$4:$W$200,INDEX($U$4:$U$11,AC$2)+ROW()-5),AD$3&amp;"_"&amp;AD$3)+COUNTIF(INDEX($W$4:$W$200,INDEX($U$4:$U$11,AC$2)):INDEX($W$4:$W$200,INDEX($U$4:$U$11,AC$2)+ROW()-5),AC$3&amp;"_"&amp;AD$3)))</f>
        <v>#N/A</v>
      </c>
      <c r="AI45" s="10" t="e">
        <f>IF(OR(ROW()-4&gt;INDEX($U$4:$U$11,AC$2+1)-INDEX($U$4:$U$11,AC$2),ROW()-4&gt;AD$2),NA(),(COUNTIF(INDEX($X$4:$X$200,INDEX($U$4:$U$11,AC$2)):INDEX($X$4:$X$200,INDEX($U$4:$U$11,AC$2)+ROW()-5),AC$3&amp;"_#03")-COUNTIF(INDEX($X$4:$X$200,INDEX($U$4:$U$11,AC$2)):INDEX($X$4:$X$200,INDEX($U$4:$U$11,AC$2)+ROW()-5),AD$3&amp;"_#02"))/(COUNTIF(INDEX($W$4:$W$200,INDEX($U$4:$U$11,AC$2)):INDEX($W$4:$W$200,INDEX($U$4:$U$11,AC$2)+ROW()-5),AC$3&amp;"_"&amp;AC$3)+COUNTIF(INDEX($W$4:$W$200,INDEX($U$4:$U$11,AC$2)):INDEX($W$4:$W$200,INDEX($U$4:$U$11,AC$2)+ROW()-5),AD$3&amp;"_"&amp;AC$3)))</f>
        <v>#N/A</v>
      </c>
      <c r="AJ45" s="10" t="e">
        <f>IF(OR(ROW()-4&gt;INDEX($U$4:$U$11,AC$2+1)-INDEX($U$4:$U$11,AC$2),ROW()-4&gt;AD$2),NA(),(COUNTIF(INDEX($X$4:$X$200,INDEX($U$4:$U$11,AC$2)):INDEX($X$4:$X$200,INDEX($U$4:$U$11,AC$2)+ROW()-5),AD$3&amp;"_#03")-COUNTIF(INDEX($X$4:$X$200,INDEX($U$4:$U$11,AC$2)):INDEX($X$4:$X$200,INDEX($U$4:$U$11,AC$2)+ROW()-5),AC$3&amp;"_#02"))/(COUNTIF(INDEX($W$4:$W$200,INDEX($U$4:$U$11,AC$2)):INDEX($W$4:$W$200,INDEX($U$4:$U$11,AC$2)+ROW()-5),AD$3&amp;"_"&amp;AD$3)+COUNTIF(INDEX($W$4:$W$200,INDEX($U$4:$U$11,AC$2)):INDEX($W$4:$W$200,INDEX($U$4:$U$11,AC$2)+ROW()-5),AC$3&amp;"_"&amp;AD$3)))</f>
        <v>#N/A</v>
      </c>
      <c r="AK45" s="10" t="e">
        <f>IF(OR(ROW()-4&gt;INDEX($U$4:$U$11,AC$2+1)-INDEX($U$4:$U$11,AC$2),ROW()-4&gt;AD$2),NA(),(COUNTIF(INDEX($X$4:$X$200,INDEX($U$4:$U$11,AC$2)):INDEX($X$4:$X$200,INDEX($U$4:$U$11,AC$2)+ROW()-5),AC$3&amp;"_#01")+COUNTIF(INDEX($X$4:$X$200,INDEX($U$4:$U$11,AC$2)):INDEX($X$4:$X$200,INDEX($U$4:$U$11,AC$2)+ROW()-5),AC$3&amp;"_#03"))/(COUNTIF(INDEX($W$4:$W$200,INDEX($U$4:$U$11,AC$2)):INDEX($W$4:$W$200,INDEX($U$4:$U$11,AC$2)+ROW()-5),AC$3&amp;"_"&amp;AC$3)+COUNTIF(INDEX($W$4:$W$200,INDEX($U$4:$U$11,AC$2)):INDEX($W$4:$W$200,INDEX($U$4:$U$11,AC$2)+ROW()-5),AD$3&amp;"_"&amp;AC$3)))</f>
        <v>#N/A</v>
      </c>
      <c r="AL45" s="10" t="e">
        <f>IF(OR(ROW()-4&gt;INDEX($U$4:$U$11,AC$2+1)-INDEX($U$4:$U$11,AC$2),ROW()-4&gt;AD$2),NA(),(COUNTIF(INDEX($X$4:$X$200,INDEX($U$4:$U$11,AC$2)):INDEX($X$4:$X$200,INDEX($U$4:$U$11,AC$2)+ROW()-5),AD$3&amp;"_#01")+COUNTIF(INDEX($X$4:$X$200,INDEX($U$4:$U$11,AC$2)):INDEX($X$4:$X$200,INDEX($U$4:$U$11,AC$2)+ROW()-5),AD$3&amp;"_#03"))/(COUNTIF(INDEX($W$4:$W$200,INDEX($U$4:$U$11,AC$2)):INDEX($W$4:$W$200,INDEX($U$4:$U$11,AC$2)+ROW()-5),AD$3&amp;"_"&amp;AD$3)+COUNTIF(INDEX($W$4:$W$200,INDEX($U$4:$U$11,AC$2)):INDEX($W$4:$W$200,INDEX($U$4:$U$11,AC$2)+ROW()-5),AC$3&amp;"_"&amp;AD$3)))</f>
        <v>#N/A</v>
      </c>
      <c r="GO45" s="16"/>
      <c r="GP45" s="17"/>
      <c r="GQ45" s="66">
        <f>DZ43</f>
        <v>6</v>
      </c>
      <c r="GR45" s="66">
        <f t="shared" ref="GR45:GT45" si="147">EA43</f>
        <v>3</v>
      </c>
      <c r="GS45" s="66">
        <f t="shared" si="147"/>
        <v>0</v>
      </c>
      <c r="GT45" s="66">
        <f t="shared" si="147"/>
        <v>3</v>
      </c>
      <c r="GV45" s="67">
        <f>EI43</f>
        <v>12</v>
      </c>
      <c r="GW45" s="67">
        <f t="shared" ref="GW45:GY45" si="148">EJ43</f>
        <v>13</v>
      </c>
      <c r="GX45" s="67">
        <f t="shared" si="148"/>
        <v>1</v>
      </c>
      <c r="GY45" s="67">
        <f t="shared" si="148"/>
        <v>1</v>
      </c>
      <c r="GZ45" s="17"/>
      <c r="HA45" s="17"/>
      <c r="HB45" s="17"/>
      <c r="HC45" s="17"/>
      <c r="HD45" s="17"/>
      <c r="HE45" s="17"/>
      <c r="HF45" s="17"/>
      <c r="HG45" s="43"/>
      <c r="HH45" s="17" t="s">
        <v>62</v>
      </c>
      <c r="HI45" s="46">
        <f>FT43</f>
        <v>1</v>
      </c>
      <c r="HJ45" s="68">
        <f>FP43</f>
        <v>0</v>
      </c>
      <c r="HK45" s="68">
        <f t="shared" ref="HK45:HM45" si="149">FQ43</f>
        <v>1</v>
      </c>
      <c r="HL45" s="68">
        <f t="shared" si="149"/>
        <v>2</v>
      </c>
      <c r="HM45" s="68">
        <f t="shared" si="149"/>
        <v>1</v>
      </c>
    </row>
    <row r="46" spans="1:221" x14ac:dyDescent="0.45">
      <c r="A46" t="str">
        <f>データの貼付!A44</f>
        <v>KIHARA Miyuu</v>
      </c>
      <c r="B46">
        <f>データの貼付!B44</f>
        <v>1.1838206018518519E-2</v>
      </c>
      <c r="C46">
        <f>データの貼付!C44</f>
        <v>5.2511574074074071E-5</v>
      </c>
      <c r="D46">
        <f>データの貼付!D44</f>
        <v>1.3888888888888889E-3</v>
      </c>
      <c r="E46" t="str">
        <f>データの貼付!F44</f>
        <v>KIHARA Miyuu</v>
      </c>
      <c r="F46">
        <f>データの貼付!E44</f>
        <v>4.1666666666666664E-2</v>
      </c>
      <c r="G46" t="str">
        <f>データの貼付!G44</f>
        <v>#01</v>
      </c>
      <c r="H46" t="str">
        <f>データの貼付!H44</f>
        <v>KIHARA Miyuu</v>
      </c>
      <c r="I46" t="str">
        <f>データの貼付!I44</f>
        <v>(Side)</v>
      </c>
      <c r="J46" t="str">
        <f>データの貼付!J44</f>
        <v>B</v>
      </c>
      <c r="K46" t="str">
        <f>データの貼付!K44</f>
        <v>FS</v>
      </c>
      <c r="L46" t="str">
        <f>データの貼付!L44</f>
        <v>F</v>
      </c>
      <c r="M46" t="str">
        <f>データの貼付!M44</f>
        <v>Push</v>
      </c>
      <c r="N46" t="str">
        <f>データの貼付!N44</f>
        <v>ネット</v>
      </c>
      <c r="R46">
        <f t="shared" si="59"/>
        <v>0</v>
      </c>
      <c r="S46">
        <f>SUM(R$4:R46)</f>
        <v>3</v>
      </c>
      <c r="T46" t="str">
        <f t="shared" si="60"/>
        <v/>
      </c>
      <c r="W46" t="str">
        <f t="shared" si="57"/>
        <v>KIHARA Miyuu_KIHARA Miyuu</v>
      </c>
      <c r="X46" t="str">
        <f t="shared" si="58"/>
        <v>KIHARA Miyuu_#01</v>
      </c>
      <c r="AC46" s="8" t="e">
        <f>IF(OR(ROW()-4&gt;INDEX($U$4:$U$11,AC$2+1)-INDEX($U$4:$U$11,AC$2),ROW()-4&gt;AD$2),NA(),COUNTIF(INDEX($W$4:$W$200,INDEX($U$4:$U$11,AC$2)):INDEX($W$4:$W$200,INDEX($U$4:$U$11,AC$2)+ROW()-5),AC$3&amp;"_"&amp;AC$3)/(COUNTIF(INDEX($W$4:$W$200,INDEX($U$4:$U$11,AC$2)):INDEX($W$4:$W$200,INDEX($U$4:$U$11,AC$2)+ROW()-5),AC$3&amp;"_"&amp;AC$3)+COUNTIF(INDEX($W$4:$W$200,INDEX($U$4:$U$11,AC$2)):INDEX($W$4:$W$200,INDEX($U$4:$U$11,AC$2)+ROW()-5),AD$3&amp;"_"&amp;AC$3)))</f>
        <v>#N/A</v>
      </c>
      <c r="AD46" s="8" t="e">
        <f>IF(OR(ROW()-4&gt;INDEX($U$4:$U$11,AC$2+1)-INDEX($U$4:$U$11,AC$2),ROW()-4&gt;AD$2),NA(),COUNTIF(INDEX($W$4:$W$200,INDEX($U$4:$U$11,AC$2)):INDEX($W$4:$W$200,INDEX($U$4:$U$11,AC$2)+ROW()-5),AD$3&amp;"_"&amp;AD$3)/(COUNTIF(INDEX($W$4:$W$200,INDEX($U$4:$U$11,AC$2)):INDEX($W$4:$W$200,INDEX($U$4:$U$11,AC$2)+ROW()-5),AD$3&amp;"_"&amp;AD$3)+COUNTIF(INDEX($W$4:$W$200,INDEX($U$4:$U$11,AC$2)):INDEX($W$4:$W$200,INDEX($U$4:$U$11,AC$2)+ROW()-5),AC$3&amp;"_"&amp;AD$3)))</f>
        <v>#N/A</v>
      </c>
      <c r="AE46" s="10" t="e">
        <f>IF(OR(ROW()-4&gt;INDEX($U$4:$U$11,AC$2+1)-INDEX($U$4:$U$11,AC$2),ROW()-4&gt;AD$2),NA(),COUNTIF(INDEX($W$4:$W$200,INDEX($U$4:$U$11,AC$2)):INDEX($W$4:$W$200,INDEX($U$4:$U$11,AC$2)+ROW()-5),AC$3&amp;"_"&amp;AD$3)/(COUNTIF(INDEX($W$4:$W$200,INDEX($U$4:$U$11,AC$2)):INDEX($W$4:$W$200,INDEX($U$4:$U$11,AC$2)+ROW()-5),AC$3&amp;"_"&amp;AD$3)+COUNTIF(INDEX($W$4:$W$200,INDEX($U$4:$U$11,AC$2)):INDEX($W$4:$W$200,INDEX($U$4:$U$11,AC$2)+ROW()-5),AD$3&amp;"_"&amp;AD$3)))</f>
        <v>#N/A</v>
      </c>
      <c r="AF46" s="10" t="e">
        <f>IF(OR(ROW()-4&gt;INDEX($U$4:$U$11,AC$2+1)-INDEX($U$4:$U$11,AC$2),ROW()-4&gt;AD$2),NA(),COUNTIF(INDEX($W$4:$W$200,INDEX($U$4:$U$11,AC$2)):INDEX($W$4:$W$200,INDEX($U$4:$U$11,AC$2)+ROW()-5),AD$3&amp;"_"&amp;AC$3)/(COUNTIF(INDEX($W$4:$W$200,INDEX($U$4:$U$11,AC$2)):INDEX($W$4:$W$200,INDEX($U$4:$U$11,AC$2)+ROW()-5),AD$3&amp;"_"&amp;AC$3)+COUNTIF(INDEX($W$4:$W$200,INDEX($U$4:$U$11,AC$2)):INDEX($W$4:$W$200,INDEX($U$4:$U$11,AC$2)+ROW()-5),AC$3&amp;"_"&amp;AC$3)))</f>
        <v>#N/A</v>
      </c>
      <c r="AG46" s="10" t="e">
        <f>IF(OR(ROW()-4&gt;INDEX($U$4:$U$11,AC$2+1)-INDEX($U$4:$U$11,AC$2),ROW()-4&gt;AD$2),NA(),COUNTIF(INDEX($X$4:$X$200,INDEX($U$4:$U$11,AC$2)):INDEX($X$4:$X$200,INDEX($U$4:$U$11,AC$2)+ROW()-5),AC$3&amp;"_#03")/(COUNTIF(INDEX($W$4:$W$200,INDEX($U$4:$U$11,AC$2)):INDEX($W$4:$W$200,INDEX($U$4:$U$11,AC$2)+ROW()-5),AC$3&amp;"_"&amp;AC$3)+COUNTIF(INDEX($W$4:$W$200,INDEX($U$4:$U$11,AC$2)):INDEX($W$4:$W$200,INDEX($U$4:$U$11,AC$2)+ROW()-5),AD$3&amp;"_"&amp;AC$3)))</f>
        <v>#N/A</v>
      </c>
      <c r="AH46" s="10" t="e">
        <f>IF(OR(ROW()-4&gt;INDEX($U$4:$U$11,AC$2+1)-INDEX($U$4:$U$11,AC$2),ROW()-4&gt;AD$2),NA(),COUNTIF(INDEX($X$4:$X$200,INDEX($U$4:$U$11,AC$2)):INDEX($X$4:$X$200,INDEX($U$4:$U$11,AC$2)+ROW()-5),AD$3&amp;"_#03")/(COUNTIF(INDEX($W$4:$W$200,INDEX($U$4:$U$11,AC$2)):INDEX($W$4:$W$200,INDEX($U$4:$U$11,AC$2)+ROW()-5),AD$3&amp;"_"&amp;AD$3)+COUNTIF(INDEX($W$4:$W$200,INDEX($U$4:$U$11,AC$2)):INDEX($W$4:$W$200,INDEX($U$4:$U$11,AC$2)+ROW()-5),AC$3&amp;"_"&amp;AD$3)))</f>
        <v>#N/A</v>
      </c>
      <c r="AI46" s="10" t="e">
        <f>IF(OR(ROW()-4&gt;INDEX($U$4:$U$11,AC$2+1)-INDEX($U$4:$U$11,AC$2),ROW()-4&gt;AD$2),NA(),(COUNTIF(INDEX($X$4:$X$200,INDEX($U$4:$U$11,AC$2)):INDEX($X$4:$X$200,INDEX($U$4:$U$11,AC$2)+ROW()-5),AC$3&amp;"_#03")-COUNTIF(INDEX($X$4:$X$200,INDEX($U$4:$U$11,AC$2)):INDEX($X$4:$X$200,INDEX($U$4:$U$11,AC$2)+ROW()-5),AD$3&amp;"_#02"))/(COUNTIF(INDEX($W$4:$W$200,INDEX($U$4:$U$11,AC$2)):INDEX($W$4:$W$200,INDEX($U$4:$U$11,AC$2)+ROW()-5),AC$3&amp;"_"&amp;AC$3)+COUNTIF(INDEX($W$4:$W$200,INDEX($U$4:$U$11,AC$2)):INDEX($W$4:$W$200,INDEX($U$4:$U$11,AC$2)+ROW()-5),AD$3&amp;"_"&amp;AC$3)))</f>
        <v>#N/A</v>
      </c>
      <c r="AJ46" s="10" t="e">
        <f>IF(OR(ROW()-4&gt;INDEX($U$4:$U$11,AC$2+1)-INDEX($U$4:$U$11,AC$2),ROW()-4&gt;AD$2),NA(),(COUNTIF(INDEX($X$4:$X$200,INDEX($U$4:$U$11,AC$2)):INDEX($X$4:$X$200,INDEX($U$4:$U$11,AC$2)+ROW()-5),AD$3&amp;"_#03")-COUNTIF(INDEX($X$4:$X$200,INDEX($U$4:$U$11,AC$2)):INDEX($X$4:$X$200,INDEX($U$4:$U$11,AC$2)+ROW()-5),AC$3&amp;"_#02"))/(COUNTIF(INDEX($W$4:$W$200,INDEX($U$4:$U$11,AC$2)):INDEX($W$4:$W$200,INDEX($U$4:$U$11,AC$2)+ROW()-5),AD$3&amp;"_"&amp;AD$3)+COUNTIF(INDEX($W$4:$W$200,INDEX($U$4:$U$11,AC$2)):INDEX($W$4:$W$200,INDEX($U$4:$U$11,AC$2)+ROW()-5),AC$3&amp;"_"&amp;AD$3)))</f>
        <v>#N/A</v>
      </c>
      <c r="AK46" s="10" t="e">
        <f>IF(OR(ROW()-4&gt;INDEX($U$4:$U$11,AC$2+1)-INDEX($U$4:$U$11,AC$2),ROW()-4&gt;AD$2),NA(),(COUNTIF(INDEX($X$4:$X$200,INDEX($U$4:$U$11,AC$2)):INDEX($X$4:$X$200,INDEX($U$4:$U$11,AC$2)+ROW()-5),AC$3&amp;"_#01")+COUNTIF(INDEX($X$4:$X$200,INDEX($U$4:$U$11,AC$2)):INDEX($X$4:$X$200,INDEX($U$4:$U$11,AC$2)+ROW()-5),AC$3&amp;"_#03"))/(COUNTIF(INDEX($W$4:$W$200,INDEX($U$4:$U$11,AC$2)):INDEX($W$4:$W$200,INDEX($U$4:$U$11,AC$2)+ROW()-5),AC$3&amp;"_"&amp;AC$3)+COUNTIF(INDEX($W$4:$W$200,INDEX($U$4:$U$11,AC$2)):INDEX($W$4:$W$200,INDEX($U$4:$U$11,AC$2)+ROW()-5),AD$3&amp;"_"&amp;AC$3)))</f>
        <v>#N/A</v>
      </c>
      <c r="AL46" s="10" t="e">
        <f>IF(OR(ROW()-4&gt;INDEX($U$4:$U$11,AC$2+1)-INDEX($U$4:$U$11,AC$2),ROW()-4&gt;AD$2),NA(),(COUNTIF(INDEX($X$4:$X$200,INDEX($U$4:$U$11,AC$2)):INDEX($X$4:$X$200,INDEX($U$4:$U$11,AC$2)+ROW()-5),AD$3&amp;"_#01")+COUNTIF(INDEX($X$4:$X$200,INDEX($U$4:$U$11,AC$2)):INDEX($X$4:$X$200,INDEX($U$4:$U$11,AC$2)+ROW()-5),AD$3&amp;"_#03"))/(COUNTIF(INDEX($W$4:$W$200,INDEX($U$4:$U$11,AC$2)):INDEX($W$4:$W$200,INDEX($U$4:$U$11,AC$2)+ROW()-5),AD$3&amp;"_"&amp;AD$3)+COUNTIF(INDEX($W$4:$W$200,INDEX($U$4:$U$11,AC$2)):INDEX($W$4:$W$200,INDEX($U$4:$U$11,AC$2)+ROW()-5),AC$3&amp;"_"&amp;AD$3)))</f>
        <v>#N/A</v>
      </c>
      <c r="GO46" s="16"/>
      <c r="GP46" s="17"/>
      <c r="GQ46" s="66">
        <f>$DP$43</f>
        <v>33</v>
      </c>
      <c r="GR46" s="66"/>
      <c r="GS46" s="66">
        <f>$DQ$43</f>
        <v>3</v>
      </c>
      <c r="GT46" s="66"/>
      <c r="GV46" s="67">
        <f>$DS43</f>
        <v>37</v>
      </c>
      <c r="GW46" s="67"/>
      <c r="GX46" s="67">
        <f>DT$43</f>
        <v>0</v>
      </c>
      <c r="GY46" s="67"/>
      <c r="GZ46" s="17"/>
      <c r="HA46" s="17"/>
      <c r="HB46" s="17"/>
      <c r="HC46" s="17"/>
      <c r="HD46" s="17"/>
      <c r="HE46" s="17"/>
      <c r="HF46" s="17"/>
      <c r="HG46" s="43"/>
      <c r="HH46" s="17" t="s">
        <v>63</v>
      </c>
      <c r="HI46" s="46">
        <f>FU43</f>
        <v>2</v>
      </c>
      <c r="HJ46" s="68">
        <f>FL43</f>
        <v>9</v>
      </c>
      <c r="HK46" s="68">
        <f t="shared" ref="HK46:HM46" si="150">FM43</f>
        <v>13</v>
      </c>
      <c r="HL46" s="68">
        <f t="shared" si="150"/>
        <v>2</v>
      </c>
      <c r="HM46" s="68">
        <f t="shared" si="150"/>
        <v>4</v>
      </c>
    </row>
    <row r="47" spans="1:221" x14ac:dyDescent="0.45">
      <c r="A47" t="str">
        <f>データの貼付!A45</f>
        <v>KIHARA Miyuu</v>
      </c>
      <c r="B47">
        <f>データの貼付!B45</f>
        <v>1.2003495370370371E-2</v>
      </c>
      <c r="C47">
        <f>データの貼付!C45</f>
        <v>5.4062499999999999E-5</v>
      </c>
      <c r="D47">
        <f>データの貼付!D45</f>
        <v>1.3888888888888889E-3</v>
      </c>
      <c r="E47" t="str">
        <f>データの貼付!F45</f>
        <v>KIHARA Miyuu</v>
      </c>
      <c r="F47">
        <f>データの貼付!E45</f>
        <v>4.1666666666666664E-2</v>
      </c>
      <c r="G47" t="str">
        <f>データの貼付!G45</f>
        <v>#01</v>
      </c>
      <c r="H47" t="str">
        <f>データの貼付!H45</f>
        <v>KIHARA Miyuu</v>
      </c>
      <c r="I47" t="str">
        <f>データの貼付!I45</f>
        <v>(Side)</v>
      </c>
      <c r="J47" t="str">
        <f>データの貼付!J45</f>
        <v>B</v>
      </c>
      <c r="K47" t="str">
        <f>データの貼付!K45</f>
        <v>B</v>
      </c>
      <c r="L47" t="str">
        <f>データの貼付!L45</f>
        <v>B</v>
      </c>
      <c r="M47" t="str">
        <f>データの貼付!M45</f>
        <v>Push</v>
      </c>
      <c r="N47">
        <f>データの貼付!N45</f>
        <v>0</v>
      </c>
      <c r="R47">
        <f t="shared" si="59"/>
        <v>0</v>
      </c>
      <c r="S47">
        <f>SUM(R$4:R47)</f>
        <v>3</v>
      </c>
      <c r="T47" t="str">
        <f t="shared" si="60"/>
        <v/>
      </c>
      <c r="W47" t="str">
        <f t="shared" si="57"/>
        <v>KIHARA Miyuu_KIHARA Miyuu</v>
      </c>
      <c r="X47" t="str">
        <f t="shared" si="58"/>
        <v>KIHARA Miyuu_#01</v>
      </c>
      <c r="GO47" s="16"/>
      <c r="GP47" s="17"/>
      <c r="GQ47" s="66" t="str">
        <f>DP1</f>
        <v>B</v>
      </c>
      <c r="GR47" s="66"/>
      <c r="GS47" s="66" t="str">
        <f>DQ1</f>
        <v>F</v>
      </c>
      <c r="GT47" s="66"/>
      <c r="GV47" s="67" t="str">
        <f>DS1</f>
        <v>B</v>
      </c>
      <c r="GW47" s="67"/>
      <c r="GX47" s="67" t="str">
        <f>DT1</f>
        <v>F</v>
      </c>
      <c r="GY47" s="67"/>
      <c r="GZ47" s="17"/>
      <c r="HA47" s="17"/>
      <c r="HB47" s="17"/>
      <c r="HC47" s="17"/>
      <c r="HD47" s="17"/>
      <c r="HE47" s="17"/>
      <c r="HF47" s="17"/>
      <c r="HG47" s="17"/>
      <c r="HH47" s="17"/>
      <c r="HI47" s="17"/>
      <c r="HJ47" s="46"/>
      <c r="HK47" s="46"/>
      <c r="HL47" s="46"/>
      <c r="HM47" s="47"/>
    </row>
    <row r="48" spans="1:221" x14ac:dyDescent="0.45">
      <c r="A48" t="str">
        <f>データの貼付!A46</f>
        <v>FENG Tianwei</v>
      </c>
      <c r="B48">
        <f>データの貼付!B46</f>
        <v>1.2293912037037037E-2</v>
      </c>
      <c r="C48">
        <f>データの貼付!C46</f>
        <v>8.6504629629629627E-5</v>
      </c>
      <c r="D48">
        <f>データの貼付!D46</f>
        <v>1.3888888888888889E-3</v>
      </c>
      <c r="E48" t="str">
        <f>データの貼付!F46</f>
        <v>FENG Tianwei</v>
      </c>
      <c r="F48">
        <f>データの貼付!E46</f>
        <v>4.1666666666666664E-2</v>
      </c>
      <c r="G48" t="str">
        <f>データの貼付!G46</f>
        <v>#09-</v>
      </c>
      <c r="H48" t="str">
        <f>データの貼付!H46</f>
        <v>FENG Tianwei</v>
      </c>
      <c r="I48" t="str">
        <f>データの貼付!I46</f>
        <v>Side</v>
      </c>
      <c r="J48" t="str">
        <f>データの貼付!J46</f>
        <v>B</v>
      </c>
      <c r="K48" t="str">
        <f>データの貼付!K46</f>
        <v>B</v>
      </c>
      <c r="L48" t="str">
        <f>データの貼付!L46</f>
        <v>B</v>
      </c>
      <c r="M48" t="str">
        <f>データの貼付!M46</f>
        <v>ドライブ</v>
      </c>
      <c r="N48" t="str">
        <f>データの貼付!N46</f>
        <v>FM</v>
      </c>
      <c r="R48">
        <f t="shared" si="59"/>
        <v>0</v>
      </c>
      <c r="S48">
        <f>SUM(R$4:R48)</f>
        <v>3</v>
      </c>
      <c r="T48" t="str">
        <f t="shared" si="60"/>
        <v/>
      </c>
      <c r="W48" t="str">
        <f t="shared" si="57"/>
        <v>FENG Tianwei_FENG Tianwei</v>
      </c>
      <c r="X48" t="str">
        <f t="shared" si="58"/>
        <v>FENG Tianwei_#09-</v>
      </c>
      <c r="AE48" s="37">
        <f>MAX($U$4:$U$11)</f>
        <v>76</v>
      </c>
      <c r="AF48">
        <v>1</v>
      </c>
      <c r="AG48">
        <f>AF48+1</f>
        <v>2</v>
      </c>
      <c r="AH48">
        <f t="shared" ref="AH48:AL48" si="151">AG48+1</f>
        <v>3</v>
      </c>
      <c r="AI48">
        <f t="shared" si="151"/>
        <v>4</v>
      </c>
      <c r="AJ48">
        <f t="shared" si="151"/>
        <v>5</v>
      </c>
      <c r="AK48">
        <f t="shared" si="151"/>
        <v>6</v>
      </c>
      <c r="AL48">
        <f t="shared" si="151"/>
        <v>7</v>
      </c>
      <c r="GO48" s="16"/>
      <c r="GP48" s="17"/>
      <c r="GQ48" s="65"/>
      <c r="GR48" s="65"/>
      <c r="GS48" s="65"/>
      <c r="GT48" s="65"/>
      <c r="GV48" s="65"/>
      <c r="GW48" s="65"/>
      <c r="GX48" s="65"/>
      <c r="GY48" s="65"/>
      <c r="GZ48" s="17"/>
      <c r="HA48" s="17"/>
      <c r="HB48" s="17"/>
      <c r="HC48" s="17"/>
      <c r="HD48" s="17"/>
      <c r="HE48" s="17"/>
      <c r="HF48" s="17"/>
      <c r="HG48" s="17"/>
      <c r="HH48" s="17"/>
      <c r="HI48" s="17"/>
      <c r="HJ48" s="71" t="str">
        <f>HM19</f>
        <v>BS</v>
      </c>
      <c r="HK48" s="71" t="str">
        <f t="shared" ref="HK48:HM48" si="152">HN19</f>
        <v>BMS</v>
      </c>
      <c r="HL48" s="71" t="str">
        <f t="shared" si="152"/>
        <v>FMS</v>
      </c>
      <c r="HM48" s="71" t="str">
        <f t="shared" si="152"/>
        <v>FS</v>
      </c>
    </row>
    <row r="49" spans="1:221" x14ac:dyDescent="0.45">
      <c r="A49" t="str">
        <f>データの貼付!A47</f>
        <v>FENG Tianwei</v>
      </c>
      <c r="B49">
        <f>データの貼付!B47</f>
        <v>1.2568877314814814E-2</v>
      </c>
      <c r="C49">
        <f>データの貼付!C47</f>
        <v>5.8692129629629621E-5</v>
      </c>
      <c r="D49">
        <f>データの貼付!D47</f>
        <v>1.3888888888888889E-3</v>
      </c>
      <c r="E49" t="str">
        <f>データの貼付!F47</f>
        <v>FENG Tianwei</v>
      </c>
      <c r="F49">
        <f>データの貼付!E47</f>
        <v>4.1666666666666664E-2</v>
      </c>
      <c r="G49" t="str">
        <f>データの貼付!G47</f>
        <v>#01</v>
      </c>
      <c r="H49" t="str">
        <f>データの貼付!H47</f>
        <v>FENG Tianwei</v>
      </c>
      <c r="I49" t="str">
        <f>データの貼付!I47</f>
        <v>Back</v>
      </c>
      <c r="J49" t="str">
        <f>データの貼付!J47</f>
        <v>B</v>
      </c>
      <c r="K49" t="str">
        <f>データの貼付!K47</f>
        <v>BS</v>
      </c>
      <c r="L49" t="str">
        <f>データの貼付!L47</f>
        <v>B</v>
      </c>
      <c r="M49" t="str">
        <f>データの貼付!M47</f>
        <v>Push</v>
      </c>
      <c r="N49" t="str">
        <f>データの貼付!N47</f>
        <v>ネット</v>
      </c>
      <c r="R49">
        <f t="shared" si="59"/>
        <v>0</v>
      </c>
      <c r="S49">
        <f>SUM(R$4:R49)</f>
        <v>3</v>
      </c>
      <c r="T49" t="str">
        <f t="shared" si="60"/>
        <v/>
      </c>
      <c r="W49" t="str">
        <f t="shared" si="57"/>
        <v>FENG Tianwei_FENG Tianwei</v>
      </c>
      <c r="X49" t="str">
        <f t="shared" si="58"/>
        <v>FENG Tianwei_#01</v>
      </c>
      <c r="AC49" t="s">
        <v>80</v>
      </c>
      <c r="AD49" t="s">
        <v>81</v>
      </c>
      <c r="AE49" s="10">
        <f>COUNTIF(INDEX($W$4:$W$200,1):INDEX($W$4:$W$200,AE48),AC$3&amp;"_"&amp;AC$3)/(COUNTIF(INDEX($W$4:$W$200,1):INDEX($W$4:$W$200,AE48),AC$3&amp;"_"&amp;AC$3)+COUNTIF(INDEX($W$4:$W$200,1):INDEX($W$4:$W$200,AE48),AD$3&amp;"_"&amp;AC$3))</f>
        <v>0.55555555555555558</v>
      </c>
      <c r="AF49" s="10">
        <f>COUNTIF(INDEX($W$4:$W$200,INDEX($U$4:$U$11,AF$48)):INDEX($W$4:$W$200,INDEX($U$4:$U$11,AF$48+1)-1),AC$3&amp;"_"&amp;AC$3)/(COUNTIF(INDEX($W$4:$W$200,INDEX($U$4:$U$11,AF$48)):INDEX($W$4:$W$200,INDEX($U$4:$U$11,AF$48+1)-1),AC$3&amp;"_"&amp;AC$3)+COUNTIF(INDEX($W$4:$W$200,INDEX($U$4:$U$11,AF$48)):INDEX($W$4:$W$200,INDEX($U$4:$U$11,AF$48+1)-1),AD$3&amp;"_"&amp;AC$3))</f>
        <v>0.5</v>
      </c>
      <c r="AG49" s="10">
        <f>COUNTIF(INDEX($W$4:$W$200,INDEX($U$4:$U$11,AG$48)):INDEX($W$4:$W$200,INDEX($U$4:$U$11,AG$48+1)-1),AC$3&amp;"_"&amp;AC$3)/(COUNTIF(INDEX($W$4:$W$200,INDEX($U$4:$U$11,AG$48)):INDEX($W$4:$W$200,INDEX($U$4:$U$11,AG$48+1)-1),AC$3&amp;"_"&amp;AC$3)+COUNTIF(INDEX($W$4:$W$200,INDEX($U$4:$U$11,AG$48)):INDEX($W$4:$W$200,INDEX($U$4:$U$11,AG$48+1)-1),AD$3&amp;"_"&amp;AC$3))</f>
        <v>0.2857142857142857</v>
      </c>
      <c r="AH49">
        <f>COUNTIF(INDEX($W$4:$W$200,INDEX($U$4:$U$11,AH$48)):INDEX($W$4:$W$200,INDEX($U$4:$U$11,AH$48+1)-1),AC$3&amp;"_"&amp;AC$3)/(COUNTIF(INDEX($W$4:$W$200,INDEX($U$4:$U$11,AH$48)):INDEX($W$4:$W$200,INDEX($U$4:$U$11,AH$48+1)-1),AC$3&amp;"_"&amp;AC$3)+COUNTIF(INDEX($W$4:$W$200,INDEX($U$4:$U$11,AH$48)):INDEX($W$4:$W$200,INDEX($U$4:$U$11,AH$48+1)-1),AD$3&amp;"_"&amp;AC$3))</f>
        <v>0.75</v>
      </c>
      <c r="AI49">
        <f>COUNTIF(INDEX($W$4:$W$200,INDEX($U$4:$U$11,AI$48)):INDEX($W$4:$W$200,INDEX($U$4:$U$11,AI$48+1)-1),AC$3&amp;"_"&amp;AC$3)/(COUNTIF(INDEX($W$4:$W$200,INDEX($U$4:$U$11,AI$48)):INDEX($W$4:$W$200,INDEX($U$4:$U$11,AI$48+1)-1),AC$3&amp;"_"&amp;AC$3)+COUNTIF(INDEX($W$4:$W$200,INDEX($U$4:$U$11,AI$48)):INDEX($W$4:$W$200,INDEX($U$4:$U$11,AI$48+1)-1),AD$3&amp;"_"&amp;AC$3))</f>
        <v>0.77777777777777779</v>
      </c>
      <c r="AJ49">
        <f>COUNTIF(INDEX($W$4:$W$200,INDEX($U$4:$U$11,AJ$48)):INDEX($W$4:$W$200,INDEX($U$4:$U$11,AJ$48+1)-1),AC$3&amp;"_"&amp;AC$3)/(COUNTIF(INDEX($W$4:$W$200,INDEX($U$4:$U$11,AJ$48)):INDEX($W$4:$W$200,INDEX($U$4:$U$11,AJ$48+1)-1),AC$3&amp;"_"&amp;AC$3)+COUNTIF(INDEX($W$4:$W$200,INDEX($U$4:$U$11,AJ$48)):INDEX($W$4:$W$200,INDEX($U$4:$U$11,AJ$48+1)-1),AD$3&amp;"_"&amp;AC$3))</f>
        <v>0.25</v>
      </c>
      <c r="AK49" t="e">
        <f>COUNTIF(INDEX($W$4:$W$200,INDEX($U$4:$U$11,AK$48)):INDEX($W$4:$W$200,INDEX($U$4:$U$11,AK$48+1)-1),AC$3&amp;"_"&amp;AC$3)/(COUNTIF(INDEX($W$4:$W$200,INDEX($U$4:$U$11,AK$48)):INDEX($W$4:$W$200,INDEX($U$4:$U$11,AK$48+1)-1),AC$3&amp;"_"&amp;AC$3)+COUNTIF(INDEX($W$4:$W$200,INDEX($U$4:$U$11,AK$48)):INDEX($W$4:$W$200,INDEX($U$4:$U$11,AK$48+1)-1),AD$3&amp;"_"&amp;AC$3))</f>
        <v>#VALUE!</v>
      </c>
      <c r="AL49" t="e">
        <f>COUNTIF(INDEX($W$4:$W$200,INDEX($U$4:$U$11,AL$48)):INDEX($W$4:$W$200,INDEX($U$4:$U$11,AL$48+1)-1),AC$3&amp;"_"&amp;AC$3)/(COUNTIF(INDEX($W$4:$W$200,INDEX($U$4:$U$11,AL$48)):INDEX($W$4:$W$200,INDEX($U$4:$U$11,AL$48+1)-1),AC$3&amp;"_"&amp;AC$3)+COUNTIF(INDEX($W$4:$W$200,INDEX($U$4:$U$11,AL$48)):INDEX($W$4:$W$200,INDEX($U$4:$U$11,AL$48+1)-1),AD$3&amp;"_"&amp;AC$3))</f>
        <v>#VALUE!</v>
      </c>
      <c r="GO49" s="16"/>
      <c r="GP49" s="17"/>
      <c r="GQ49" s="65" t="s">
        <v>66</v>
      </c>
      <c r="GR49" s="65"/>
      <c r="GS49" s="65"/>
      <c r="GT49" s="65"/>
      <c r="GV49" s="65" t="s">
        <v>66</v>
      </c>
      <c r="GW49" s="65"/>
      <c r="GX49" s="65"/>
      <c r="GY49" s="65"/>
      <c r="GZ49" s="17"/>
      <c r="HA49" s="17"/>
      <c r="HB49" s="17"/>
      <c r="HC49" s="17"/>
      <c r="HD49" s="17"/>
      <c r="HE49" s="17"/>
      <c r="HF49" s="17"/>
      <c r="HG49" s="17"/>
      <c r="HH49" s="17"/>
      <c r="HI49" s="17"/>
      <c r="HJ49" s="71" t="str">
        <f t="shared" ref="HJ49:HM49" si="153">HM20</f>
        <v>B</v>
      </c>
      <c r="HK49" s="71" t="str">
        <f t="shared" si="153"/>
        <v>BM</v>
      </c>
      <c r="HL49" s="71" t="str">
        <f t="shared" si="153"/>
        <v>FM</v>
      </c>
      <c r="HM49" s="71" t="str">
        <f t="shared" si="153"/>
        <v>F</v>
      </c>
    </row>
    <row r="50" spans="1:221" x14ac:dyDescent="0.45">
      <c r="A50" t="str">
        <f>データの貼付!A48</f>
        <v>KIHARA Miyuu</v>
      </c>
      <c r="B50">
        <f>データの貼付!B48</f>
        <v>1.2716400462962962E-2</v>
      </c>
      <c r="C50">
        <f>データの貼付!C48</f>
        <v>5.5601851851851853E-5</v>
      </c>
      <c r="D50">
        <f>データの貼付!D48</f>
        <v>1.3888888888888889E-3</v>
      </c>
      <c r="E50" t="str">
        <f>データの貼付!F48</f>
        <v>FENG Tianwei</v>
      </c>
      <c r="F50">
        <f>データの貼付!E48</f>
        <v>4.1666666666666664E-2</v>
      </c>
      <c r="G50" t="str">
        <f>データの貼付!G48</f>
        <v>#04</v>
      </c>
      <c r="H50" t="str">
        <f>データの貼付!H48</f>
        <v>KIHARA Miyuu</v>
      </c>
      <c r="I50" t="str">
        <f>データの貼付!I48</f>
        <v>(Side)</v>
      </c>
      <c r="J50" t="str">
        <f>データの貼付!J48</f>
        <v>B</v>
      </c>
      <c r="K50" t="str">
        <f>データの貼付!K48</f>
        <v>B</v>
      </c>
      <c r="L50" t="str">
        <f>データの貼付!L48</f>
        <v>B</v>
      </c>
      <c r="M50" t="str">
        <f>データの貼付!M48</f>
        <v>ドライブ</v>
      </c>
      <c r="N50" t="str">
        <f>データの貼付!N48</f>
        <v>BM</v>
      </c>
      <c r="R50">
        <f t="shared" si="59"/>
        <v>0</v>
      </c>
      <c r="S50">
        <f>SUM(R$4:R50)</f>
        <v>3</v>
      </c>
      <c r="T50" t="str">
        <f t="shared" si="60"/>
        <v/>
      </c>
      <c r="W50" t="str">
        <f t="shared" si="57"/>
        <v>FENG Tianwei_KIHARA Miyuu</v>
      </c>
      <c r="X50" t="str">
        <f t="shared" si="58"/>
        <v>FENG Tianwei_#04</v>
      </c>
      <c r="AC50" s="4" t="s">
        <v>15</v>
      </c>
      <c r="AD50" s="5" t="s">
        <v>16</v>
      </c>
      <c r="AE50" s="8">
        <f>COUNTIF(INDEX($W$4:$W$200,1):INDEX($W$4:$W$200,AE48),AC$3&amp;"_"&amp;AD$3)/(COUNTIF(INDEX($W$4:$W$200,1):INDEX($W$4:$W$200,AE48),AC$3&amp;"_"&amp;AD$3)+COUNTIF(INDEX($W$4:$W$200,1):INDEX($W$4:$W$200,AE48),AD$3&amp;"_"&amp;AD$3))</f>
        <v>0.40540540540540543</v>
      </c>
      <c r="AF50" s="10">
        <f>COUNTIF(INDEX($W$4:$W$200,INDEX($U$4:$U$11,AF$48)):INDEX($W$4:$W$200,INDEX($U$4:$U$11,AF$48+1)-1),$AC$3&amp;"_"&amp;$AD$3)/(COUNTIF(INDEX($W$4:$W$200,INDEX($U$4:$U$11,AF$48)):INDEX($W$4:$W$200,INDEX($U$4:$U$11,AF$48+1)-1),$AC$3&amp;"_"&amp;$AD$3)+COUNTIF(INDEX($W$4:$W$200,INDEX($U$4:$U$11,AF$48)):INDEX($W$4:$W$200,INDEX($U$4:$U$11,AF$48+1)-1),$AD$3&amp;"_"&amp;$AD$3))</f>
        <v>0</v>
      </c>
      <c r="AG50" s="10">
        <f>COUNTIF(INDEX($W$4:$W$200,INDEX($U$4:$U$11,AG$48)):INDEX($W$4:$W$200,INDEX($U$4:$U$11,AG$48+1)-1),$AC$3&amp;"_"&amp;$AD$3)/(COUNTIF(INDEX($W$4:$W$200,INDEX($U$4:$U$11,AG$48)):INDEX($W$4:$W$200,INDEX($U$4:$U$11,AG$48+1)-1),$AC$3&amp;"_"&amp;$AD$3)+COUNTIF(INDEX($W$4:$W$200,INDEX($U$4:$U$11,AG$48)):INDEX($W$4:$W$200,INDEX($U$4:$U$11,AG$48+1)-1),$AD$3&amp;"_"&amp;$AD$3))</f>
        <v>0.25</v>
      </c>
      <c r="AH50" s="10">
        <f>COUNTIF(INDEX($W$4:$W$200,INDEX($U$4:$U$11,AH$48)):INDEX($W$4:$W$200,INDEX($U$4:$U$11,AH$48+1)-1),$AC$3&amp;"_"&amp;$AD$3)/(COUNTIF(INDEX($W$4:$W$200,INDEX($U$4:$U$11,AH$48)):INDEX($W$4:$W$200,INDEX($U$4:$U$11,AH$48+1)-1),$AC$3&amp;"_"&amp;$AD$3)+COUNTIF(INDEX($W$4:$W$200,INDEX($U$4:$U$11,AH$48)):INDEX($W$4:$W$200,INDEX($U$4:$U$11,AH$48+1)-1),$AD$3&amp;"_"&amp;$AD$3))</f>
        <v>0.625</v>
      </c>
      <c r="AI50" s="10">
        <f>COUNTIF(INDEX($W$4:$W$200,INDEX($U$4:$U$11,AI$48)):INDEX($W$4:$W$200,INDEX($U$4:$U$11,AI$48+1)-1),$AC$3&amp;"_"&amp;$AD$3)/(COUNTIF(INDEX($W$4:$W$200,INDEX($U$4:$U$11,AI$48)):INDEX($W$4:$W$200,INDEX($U$4:$U$11,AI$48+1)-1),$AC$3&amp;"_"&amp;$AD$3)+COUNTIF(INDEX($W$4:$W$200,INDEX($U$4:$U$11,AI$48)):INDEX($W$4:$W$200,INDEX($U$4:$U$11,AI$48+1)-1),$AD$3&amp;"_"&amp;$AD$3))</f>
        <v>0.4</v>
      </c>
      <c r="AJ50" s="10">
        <f>COUNTIF(INDEX($W$4:$W$200,INDEX($U$4:$U$11,AJ$48)):INDEX($W$4:$W$200,INDEX($U$4:$U$11,AJ$48+1)-1),$AC$3&amp;"_"&amp;$AD$3)/(COUNTIF(INDEX($W$4:$W$200,INDEX($U$4:$U$11,AJ$48)):INDEX($W$4:$W$200,INDEX($U$4:$U$11,AJ$48+1)-1),$AC$3&amp;"_"&amp;$AD$3)+COUNTIF(INDEX($W$4:$W$200,INDEX($U$4:$U$11,AJ$48)):INDEX($W$4:$W$200,INDEX($U$4:$U$11,AJ$48+1)-1),$AD$3&amp;"_"&amp;$AD$3))</f>
        <v>1</v>
      </c>
      <c r="AK50" s="10" t="e">
        <f>COUNTIF(INDEX($W$4:$W$200,INDEX($U$4:$U$11,AK$48)):INDEX($W$4:$W$200,INDEX($U$4:$U$11,AK$48+1)-1),$AC$3&amp;"_"&amp;$AD$3)/(COUNTIF(INDEX($W$4:$W$200,INDEX($U$4:$U$11,AK$48)):INDEX($W$4:$W$200,INDEX($U$4:$U$11,AK$48+1)-1),$AC$3&amp;"_"&amp;$AD$3)+COUNTIF(INDEX($W$4:$W$200,INDEX($U$4:$U$11,AK$48)):INDEX($W$4:$W$200,INDEX($U$4:$U$11,AK$48+1)-1),$AD$3&amp;"_"&amp;$AD$3))</f>
        <v>#VALUE!</v>
      </c>
      <c r="AL50" s="10" t="e">
        <f>COUNTIF(INDEX($W$4:$W$200,INDEX($U$4:$U$11,AL$48)):INDEX($W$4:$W$200,INDEX($U$4:$U$11,AL$48+1)-1),$AC$3&amp;"_"&amp;$AD$3)/(COUNTIF(INDEX($W$4:$W$200,INDEX($U$4:$U$11,AL$48)):INDEX($W$4:$W$200,INDEX($U$4:$U$11,AL$48+1)-1),$AC$3&amp;"_"&amp;$AD$3)+COUNTIF(INDEX($W$4:$W$200,INDEX($U$4:$U$11,AL$48)):INDEX($W$4:$W$200,INDEX($U$4:$U$11,AL$48+1)-1),$AD$3&amp;"_"&amp;$AD$3))</f>
        <v>#VALUE!</v>
      </c>
      <c r="AM50" s="8"/>
      <c r="AU50" s="8"/>
      <c r="AW50" s="5"/>
      <c r="AX50" s="5"/>
      <c r="AY50" s="8"/>
      <c r="BA50" s="5"/>
      <c r="BB50" s="5"/>
      <c r="BC50" s="8"/>
      <c r="BE50" s="5"/>
      <c r="BF50" s="5"/>
      <c r="BG50" s="8"/>
      <c r="BI50" s="5"/>
      <c r="BJ50" s="5"/>
      <c r="BK50" s="8"/>
      <c r="GM50" t="s">
        <v>83</v>
      </c>
      <c r="GN50" t="s">
        <v>84</v>
      </c>
      <c r="GO50" s="16" t="s">
        <v>67</v>
      </c>
      <c r="GP50" s="17"/>
      <c r="GQ50" s="17" t="s">
        <v>49</v>
      </c>
      <c r="GR50" s="17"/>
      <c r="GS50" s="17" t="s">
        <v>50</v>
      </c>
      <c r="GT50" s="17"/>
      <c r="GU50" s="17"/>
      <c r="GV50" s="46"/>
      <c r="GW50" s="46"/>
      <c r="GX50" s="46"/>
      <c r="GY50" s="46"/>
      <c r="GZ50" s="17"/>
      <c r="HA50" s="17"/>
      <c r="HB50" s="17"/>
      <c r="HC50" s="17"/>
      <c r="HD50" s="17"/>
      <c r="HE50" s="17"/>
      <c r="HF50" s="17"/>
      <c r="HG50" s="43"/>
      <c r="HH50" s="17" t="s">
        <v>62</v>
      </c>
      <c r="HI50" s="46">
        <f>GE43</f>
        <v>1</v>
      </c>
      <c r="HJ50" s="67">
        <f>GA43</f>
        <v>1</v>
      </c>
      <c r="HK50" s="67">
        <f t="shared" ref="HK50:HM50" si="154">GB43</f>
        <v>3</v>
      </c>
      <c r="HL50" s="67">
        <f t="shared" si="154"/>
        <v>4</v>
      </c>
      <c r="HM50" s="67">
        <f t="shared" si="154"/>
        <v>1</v>
      </c>
    </row>
    <row r="51" spans="1:221" x14ac:dyDescent="0.45">
      <c r="A51" t="str">
        <f>データの貼付!A49</f>
        <v>KIHARA Miyuu</v>
      </c>
      <c r="B51">
        <f>データの貼付!B49</f>
        <v>1.2861226851851855E-2</v>
      </c>
      <c r="C51">
        <f>データの貼付!C49</f>
        <v>7.0277777777777775E-5</v>
      </c>
      <c r="D51">
        <f>データの貼付!D49</f>
        <v>1.3888888888888889E-3</v>
      </c>
      <c r="E51" t="str">
        <f>データの貼付!F49</f>
        <v>FENG Tianwei</v>
      </c>
      <c r="F51">
        <f>データの貼付!E49</f>
        <v>4.1666666666666664E-2</v>
      </c>
      <c r="G51" t="str">
        <f>データの貼付!G49</f>
        <v>#06</v>
      </c>
      <c r="H51" t="str">
        <f>データの貼付!H49</f>
        <v>KIHARA Miyuu</v>
      </c>
      <c r="I51" t="str">
        <f>データの貼付!I49</f>
        <v>(Side)</v>
      </c>
      <c r="J51" t="str">
        <f>データの貼付!J49</f>
        <v>B</v>
      </c>
      <c r="K51" t="str">
        <f>データの貼付!K49</f>
        <v>FMS</v>
      </c>
      <c r="L51" t="str">
        <f>データの貼付!L49</f>
        <v>F</v>
      </c>
      <c r="M51" t="str">
        <f>データの貼付!M49</f>
        <v>ドライブ</v>
      </c>
      <c r="N51" t="str">
        <f>データの貼付!N49</f>
        <v>F</v>
      </c>
      <c r="R51">
        <f t="shared" si="59"/>
        <v>0</v>
      </c>
      <c r="S51">
        <f>SUM(R$4:R51)</f>
        <v>3</v>
      </c>
      <c r="T51" t="str">
        <f t="shared" si="60"/>
        <v>FENG Tianwei</v>
      </c>
      <c r="W51" t="str">
        <f t="shared" si="57"/>
        <v>FENG Tianwei_KIHARA Miyuu</v>
      </c>
      <c r="X51" t="str">
        <f t="shared" si="58"/>
        <v>FENG Tianwei_#06</v>
      </c>
      <c r="AC51" s="5" t="s">
        <v>17</v>
      </c>
      <c r="AD51" s="5" t="s">
        <v>18</v>
      </c>
      <c r="AE51" s="9">
        <f>COUNTIF(INDEX($X$4:$X$200,INDEX($U$4:$U$11,1)):INDEX($X$4:$X$200,AE48),AC3&amp;"_#03")/(COUNTIF(INDEX($W$4:$W$200,1):INDEX($W$4:$W$200,AE48),AC$3&amp;"_"&amp;AC$3)+COUNTIF(INDEX($W$4:$W$200,1):INDEX($W$4:$W$200,AE48),AD$3&amp;"_"&amp;AC$3))</f>
        <v>0.1111111111111111</v>
      </c>
      <c r="AF51" s="9">
        <f>COUNTIF(INDEX($X$4:$X$200,INDEX($U$4:$U$11,AF$48)):INDEX($X$4:$X$200,INDEX($U$4:$U$11,AF$48+1)-1),$AC3&amp;"_#03")/(COUNTIF(INDEX($W$4:$W$200,INDEX($U$4:$U$11,AF$48)):INDEX($W$4:$W$200,INDEX($U$4:$U$11,AF$48+1)-1),$AC$3&amp;"_"&amp;$AC$3)+COUNTIF(INDEX($W$4:$W$200,INDEX($U$4:$U$11,AF$48)):INDEX($W$4:$W$200,INDEX($U$4:$U$11,AF$48+1)-1),$AD$3&amp;"_"&amp;$AC$3))</f>
        <v>0.125</v>
      </c>
      <c r="AG51" s="9">
        <f>COUNTIF(INDEX($X$4:$X$200,INDEX($U$4:$U$11,AG$48)):INDEX($X$4:$X$200,INDEX($U$4:$U$11,AG$48+1)-1),$AC3&amp;"_#03")/(COUNTIF(INDEX($W$4:$W$200,INDEX($U$4:$U$11,AG$48)):INDEX($W$4:$W$200,INDEX($U$4:$U$11,AG$48+1)-1),$AC$3&amp;"_"&amp;$AC$3)+COUNTIF(INDEX($W$4:$W$200,INDEX($U$4:$U$11,AG$48)):INDEX($W$4:$W$200,INDEX($U$4:$U$11,AG$48+1)-1),$AD$3&amp;"_"&amp;$AC$3))</f>
        <v>0</v>
      </c>
      <c r="AH51" s="9">
        <f>COUNTIF(INDEX($X$4:$X$200,INDEX($U$4:$U$11,AH$48)):INDEX($X$4:$X$200,INDEX($U$4:$U$11,AH$48+1)-1),$AC3&amp;"_#03")/(COUNTIF(INDEX($W$4:$W$200,INDEX($U$4:$U$11,AH$48)):INDEX($W$4:$W$200,INDEX($U$4:$U$11,AH$48+1)-1),$AC$3&amp;"_"&amp;$AC$3)+COUNTIF(INDEX($W$4:$W$200,INDEX($U$4:$U$11,AH$48)):INDEX($W$4:$W$200,INDEX($U$4:$U$11,AH$48+1)-1),$AD$3&amp;"_"&amp;$AC$3))</f>
        <v>0.25</v>
      </c>
      <c r="AI51" s="9">
        <f>COUNTIF(INDEX($X$4:$X$200,INDEX($U$4:$U$11,AI$48)):INDEX($X$4:$X$200,INDEX($U$4:$U$11,AI$48+1)-1),$AC3&amp;"_#03")/(COUNTIF(INDEX($W$4:$W$200,INDEX($U$4:$U$11,AI$48)):INDEX($W$4:$W$200,INDEX($U$4:$U$11,AI$48+1)-1),$AC$3&amp;"_"&amp;$AC$3)+COUNTIF(INDEX($W$4:$W$200,INDEX($U$4:$U$11,AI$48)):INDEX($W$4:$W$200,INDEX($U$4:$U$11,AI$48+1)-1),$AD$3&amp;"_"&amp;$AC$3))</f>
        <v>0.1111111111111111</v>
      </c>
      <c r="AJ51" s="9">
        <f>COUNTIF(INDEX($X$4:$X$200,INDEX($U$4:$U$11,AJ$48)):INDEX($X$4:$X$200,INDEX($U$4:$U$11,AJ$48+1)-1),$AC3&amp;"_#03")/(COUNTIF(INDEX($W$4:$W$200,INDEX($U$4:$U$11,AJ$48)):INDEX($W$4:$W$200,INDEX($U$4:$U$11,AJ$48+1)-1),$AC$3&amp;"_"&amp;$AC$3)+COUNTIF(INDEX($W$4:$W$200,INDEX($U$4:$U$11,AJ$48)):INDEX($W$4:$W$200,INDEX($U$4:$U$11,AJ$48+1)-1),$AD$3&amp;"_"&amp;$AC$3))</f>
        <v>0</v>
      </c>
      <c r="AK51" s="9" t="e">
        <f>COUNTIF(INDEX($X$4:$X$200,INDEX($U$4:$U$11,AK$48)):INDEX($X$4:$X$200,INDEX($U$4:$U$11,AK$48+1)-1),$AC3&amp;"_#03")/(COUNTIF(INDEX($W$4:$W$200,INDEX($U$4:$U$11,AK$48)):INDEX($W$4:$W$200,INDEX($U$4:$U$11,AK$48+1)-1),$AC$3&amp;"_"&amp;$AC$3)+COUNTIF(INDEX($W$4:$W$200,INDEX($U$4:$U$11,AK$48)):INDEX($W$4:$W$200,INDEX($U$4:$U$11,AK$48+1)-1),$AD$3&amp;"_"&amp;$AC$3))</f>
        <v>#VALUE!</v>
      </c>
      <c r="AL51" s="9" t="e">
        <f>COUNTIF(INDEX($X$4:$X$200,INDEX($U$4:$U$11,AL$48)):INDEX($X$4:$X$200,INDEX($U$4:$U$11,AL$48+1)-1),$AC3&amp;"_#03")/(COUNTIF(INDEX($W$4:$W$200,INDEX($U$4:$U$11,AL$48)):INDEX($W$4:$W$200,INDEX($U$4:$U$11,AL$48+1)-1),$AC$3&amp;"_"&amp;$AC$3)+COUNTIF(INDEX($W$4:$W$200,INDEX($U$4:$U$11,AL$48)):INDEX($W$4:$W$200,INDEX($U$4:$U$11,AL$48+1)-1),$AD$3&amp;"_"&amp;$AC$3))</f>
        <v>#VALUE!</v>
      </c>
      <c r="AM51" s="9"/>
      <c r="AN51" s="7"/>
      <c r="AO51" s="5"/>
      <c r="AP51" s="5"/>
      <c r="AQ51" s="9"/>
      <c r="AS51" s="5"/>
      <c r="AT51" s="5"/>
      <c r="AU51" s="9"/>
      <c r="AW51" s="5"/>
      <c r="AX51" s="5"/>
      <c r="AY51" s="9"/>
      <c r="BA51" s="5"/>
      <c r="BB51" s="5"/>
      <c r="BC51" s="9"/>
      <c r="BE51" s="5"/>
      <c r="BF51" s="5"/>
      <c r="BG51" s="9"/>
      <c r="BI51" s="5"/>
      <c r="BJ51" s="5"/>
      <c r="BK51" s="9"/>
      <c r="GM51" s="59">
        <f>DH93</f>
        <v>4</v>
      </c>
      <c r="GN51" s="59">
        <f t="shared" ref="GN51:GN52" si="155">GQ51-GM51</f>
        <v>5</v>
      </c>
      <c r="GO51" s="45"/>
      <c r="GP51" s="17" t="s">
        <v>51</v>
      </c>
      <c r="GQ51" s="46">
        <f>DH43</f>
        <v>9</v>
      </c>
      <c r="GR51" s="17"/>
      <c r="GS51" s="17"/>
      <c r="GT51" s="17"/>
      <c r="GU51" s="17"/>
      <c r="GV51" s="17"/>
      <c r="GW51" s="17"/>
      <c r="GX51" s="17"/>
      <c r="GY51" s="17"/>
      <c r="GZ51" s="17"/>
      <c r="HA51" s="17"/>
      <c r="HB51" s="17"/>
      <c r="HC51" s="17"/>
      <c r="HD51" s="17"/>
      <c r="HE51" s="17"/>
      <c r="HF51" s="17"/>
      <c r="HG51" s="43"/>
      <c r="HH51" s="17" t="s">
        <v>63</v>
      </c>
      <c r="HI51" s="46">
        <f>GF43</f>
        <v>2</v>
      </c>
      <c r="HJ51" s="67">
        <f>FW43</f>
        <v>5</v>
      </c>
      <c r="HK51" s="67">
        <f t="shared" ref="HK51:HM51" si="156">FX43</f>
        <v>10</v>
      </c>
      <c r="HL51" s="67">
        <f t="shared" si="156"/>
        <v>3</v>
      </c>
      <c r="HM51" s="67">
        <f t="shared" si="156"/>
        <v>4</v>
      </c>
    </row>
    <row r="52" spans="1:221" x14ac:dyDescent="0.45">
      <c r="A52" t="str">
        <f>データの貼付!A50</f>
        <v>KIHARA Miyuu</v>
      </c>
      <c r="B52">
        <f>データの貼付!B50</f>
        <v>1.4003182870370369E-2</v>
      </c>
      <c r="C52">
        <f>データの貼付!C50</f>
        <v>8.0324074074074062E-5</v>
      </c>
      <c r="D52">
        <f>データの貼付!D50</f>
        <v>4.3055555555555562E-2</v>
      </c>
      <c r="E52" t="str">
        <f>データの貼付!F50</f>
        <v>KIHARA Miyuu</v>
      </c>
      <c r="F52">
        <f>データの貼付!E50</f>
        <v>4.1666666666666664E-2</v>
      </c>
      <c r="G52" t="str">
        <f>データの貼付!G50</f>
        <v>#03</v>
      </c>
      <c r="H52" t="str">
        <f>データの貼付!H50</f>
        <v>KIHARA Miyuu</v>
      </c>
      <c r="I52" t="str">
        <f>データの貼付!I50</f>
        <v>(Side)</v>
      </c>
      <c r="J52" t="str">
        <f>データの貼付!J50</f>
        <v>B</v>
      </c>
      <c r="K52" t="str">
        <f>データの貼付!K50</f>
        <v>FMS</v>
      </c>
      <c r="L52" t="str">
        <f>データの貼付!L50</f>
        <v>B</v>
      </c>
      <c r="M52" t="str">
        <f>データの貼付!M50</f>
        <v>Push</v>
      </c>
      <c r="N52" t="str">
        <f>データの貼付!N50</f>
        <v>B</v>
      </c>
      <c r="R52">
        <f t="shared" si="59"/>
        <v>1</v>
      </c>
      <c r="S52">
        <f>SUM(R$4:R52)</f>
        <v>4</v>
      </c>
      <c r="T52" t="str">
        <f t="shared" si="60"/>
        <v/>
      </c>
      <c r="W52" t="str">
        <f t="shared" si="57"/>
        <v>KIHARA Miyuu_KIHARA Miyuu</v>
      </c>
      <c r="X52" t="str">
        <f t="shared" si="58"/>
        <v>KIHARA Miyuu_#03</v>
      </c>
      <c r="AC52" s="5" t="s">
        <v>19</v>
      </c>
      <c r="AD52" s="5" t="s">
        <v>20</v>
      </c>
      <c r="AE52" s="9">
        <f>(COUNTIF(INDEX($X$4:$X$200,1):INDEX($X$4:$X$200,AE48),AC3&amp;"_#03")-COUNTIF(INDEX($X$4:$X$200,1):INDEX($X$4:$X$200,AE48),AD3&amp;"_#02"))/(COUNTIF(INDEX($W$4:$W$200,1):INDEX($W$4:$W$200,AE48),AC$3&amp;"_"&amp;AC$3)+COUNTIF(INDEX($W$4:$W$200,1):INDEX($W$4:$W$200,AE48),AD$3&amp;"_"&amp;AC$3))</f>
        <v>-5.5555555555555552E-2</v>
      </c>
      <c r="AF52" s="9">
        <f>(COUNTIF(INDEX($X$4:$X$200,INDEX($U$4:$U$11,AF$48)):INDEX($X$4:$X$200,INDEX($U$4:$U$11,AF$48+1)-1),$AC3&amp;"_#03")-COUNTIF(INDEX($X$4:$X$200,INDEX($U$4:$U$11,AF$48)):INDEX($X$4:$X$200,INDEX($U$4:$U$11,AF$48+1)-1),$AD3&amp;"_#02"))/(COUNTIF(INDEX($W$4:$W$200,INDEX($U$4:$U$11,AF$48)):INDEX($W$4:$W$200,INDEX($U$4:$U$11,AF$48+1)-1),$AC$3&amp;"_"&amp;$AC$3)+COUNTIF(INDEX($W$4:$W$200,INDEX($U$4:$U$11,AF$48)):INDEX($W$4:$W$200,INDEX($U$4:$U$11,AF$48+1)-1),$AD$3&amp;"_"&amp;$AC$3))</f>
        <v>-0.125</v>
      </c>
      <c r="AG52" s="9">
        <f>(COUNTIF(INDEX($X$4:$X$200,INDEX($U$4:$U$11,AG$48)):INDEX($X$4:$X$200,INDEX($U$4:$U$11,AG$48+1)-1),$AC3&amp;"_#03")-COUNTIF(INDEX($X$4:$X$200,INDEX($U$4:$U$11,AG$48)):INDEX($X$4:$X$200,INDEX($U$4:$U$11,AG$48+1)-1),$AD3&amp;"_#02"))/(COUNTIF(INDEX($W$4:$W$200,INDEX($U$4:$U$11,AG$48)):INDEX($W$4:$W$200,INDEX($U$4:$U$11,AG$48+1)-1),$AC$3&amp;"_"&amp;$AC$3)+COUNTIF(INDEX($W$4:$W$200,INDEX($U$4:$U$11,AG$48)):INDEX($W$4:$W$200,INDEX($U$4:$U$11,AG$48+1)-1),$AD$3&amp;"_"&amp;$AC$3))</f>
        <v>-0.42857142857142855</v>
      </c>
      <c r="AH52" s="9">
        <f>(COUNTIF(INDEX($X$4:$X$200,INDEX($U$4:$U$11,AH$48)):INDEX($X$4:$X$200,INDEX($U$4:$U$11,AH$48+1)-1),$AC3&amp;"_#03")-COUNTIF(INDEX($X$4:$X$200,INDEX($U$4:$U$11,AH$48)):INDEX($X$4:$X$200,INDEX($U$4:$U$11,AH$48+1)-1),$AD3&amp;"_#02"))/(COUNTIF(INDEX($W$4:$W$200,INDEX($U$4:$U$11,AH$48)):INDEX($W$4:$W$200,INDEX($U$4:$U$11,AH$48+1)-1),$AC$3&amp;"_"&amp;$AC$3)+COUNTIF(INDEX($W$4:$W$200,INDEX($U$4:$U$11,AH$48)):INDEX($W$4:$W$200,INDEX($U$4:$U$11,AH$48+1)-1),$AD$3&amp;"_"&amp;$AC$3))</f>
        <v>0.125</v>
      </c>
      <c r="AI52" s="9">
        <f>(COUNTIF(INDEX($X$4:$X$200,INDEX($U$4:$U$11,AI$48)):INDEX($X$4:$X$200,INDEX($U$4:$U$11,AI$48+1)-1),$AC3&amp;"_#03")-COUNTIF(INDEX($X$4:$X$200,INDEX($U$4:$U$11,AI$48)):INDEX($X$4:$X$200,INDEX($U$4:$U$11,AI$48+1)-1),$AD3&amp;"_#02"))/(COUNTIF(INDEX($W$4:$W$200,INDEX($U$4:$U$11,AI$48)):INDEX($W$4:$W$200,INDEX($U$4:$U$11,AI$48+1)-1),$AC$3&amp;"_"&amp;$AC$3)+COUNTIF(INDEX($W$4:$W$200,INDEX($U$4:$U$11,AI$48)):INDEX($W$4:$W$200,INDEX($U$4:$U$11,AI$48+1)-1),$AD$3&amp;"_"&amp;$AC$3))</f>
        <v>0.1111111111111111</v>
      </c>
      <c r="AJ52" s="9">
        <f>(COUNTIF(INDEX($X$4:$X$200,INDEX($U$4:$U$11,AJ$48)):INDEX($X$4:$X$200,INDEX($U$4:$U$11,AJ$48+1)-1),$AC3&amp;"_#03")-COUNTIF(INDEX($X$4:$X$200,INDEX($U$4:$U$11,AJ$48)):INDEX($X$4:$X$200,INDEX($U$4:$U$11,AJ$48+1)-1),$AD3&amp;"_#02"))/(COUNTIF(INDEX($W$4:$W$200,INDEX($U$4:$U$11,AJ$48)):INDEX($W$4:$W$200,INDEX($U$4:$U$11,AJ$48+1)-1),$AC$3&amp;"_"&amp;$AC$3)+COUNTIF(INDEX($W$4:$W$200,INDEX($U$4:$U$11,AJ$48)):INDEX($W$4:$W$200,INDEX($U$4:$U$11,AJ$48+1)-1),$AD$3&amp;"_"&amp;$AC$3))</f>
        <v>0</v>
      </c>
      <c r="AK52" s="9" t="e">
        <f>(COUNTIF(INDEX($X$4:$X$200,INDEX($U$4:$U$11,AK$48)):INDEX($X$4:$X$200,INDEX($U$4:$U$11,AK$48+1)-1),$AC3&amp;"_#03")-COUNTIF(INDEX($X$4:$X$200,INDEX($U$4:$U$11,AK$48)):INDEX($X$4:$X$200,INDEX($U$4:$U$11,AK$48+1)-1),$AD3&amp;"_#02"))/(COUNTIF(INDEX($W$4:$W$200,INDEX($U$4:$U$11,AK$48)):INDEX($W$4:$W$200,INDEX($U$4:$U$11,AK$48+1)-1),$AC$3&amp;"_"&amp;$AC$3)+COUNTIF(INDEX($W$4:$W$200,INDEX($U$4:$U$11,AK$48)):INDEX($W$4:$W$200,INDEX($U$4:$U$11,AK$48+1)-1),$AD$3&amp;"_"&amp;$AC$3))</f>
        <v>#VALUE!</v>
      </c>
      <c r="AL52" s="9" t="e">
        <f>(COUNTIF(INDEX($X$4:$X$200,INDEX($U$4:$U$11,AL$48)):INDEX($X$4:$X$200,INDEX($U$4:$U$11,AL$48+1)-1),$AC3&amp;"_#03")-COUNTIF(INDEX($X$4:$X$200,INDEX($U$4:$U$11,AL$48)):INDEX($X$4:$X$200,INDEX($U$4:$U$11,AL$48+1)-1),$AD3&amp;"_#02"))/(COUNTIF(INDEX($W$4:$W$200,INDEX($U$4:$U$11,AL$48)):INDEX($W$4:$W$200,INDEX($U$4:$U$11,AL$48+1)-1),$AC$3&amp;"_"&amp;$AC$3)+COUNTIF(INDEX($W$4:$W$200,INDEX($U$4:$U$11,AL$48)):INDEX($W$4:$W$200,INDEX($U$4:$U$11,AL$48+1)-1),$AD$3&amp;"_"&amp;$AC$3))</f>
        <v>#VALUE!</v>
      </c>
      <c r="AM52" s="9"/>
      <c r="AN52" s="7"/>
      <c r="AO52" s="5"/>
      <c r="AP52" s="5"/>
      <c r="AQ52" s="9"/>
      <c r="AS52" s="5"/>
      <c r="AT52" s="5"/>
      <c r="AU52" s="9"/>
      <c r="AW52" s="5"/>
      <c r="AX52" s="5"/>
      <c r="AY52" s="9"/>
      <c r="BA52" s="5"/>
      <c r="BB52" s="5"/>
      <c r="BC52" s="9"/>
      <c r="BE52" s="5"/>
      <c r="BF52" s="5"/>
      <c r="BG52" s="9"/>
      <c r="BI52" s="5"/>
      <c r="BJ52" s="5"/>
      <c r="BK52" s="9"/>
      <c r="BL52" t="str">
        <f>BL2</f>
        <v>SV Type</v>
      </c>
      <c r="CR52" t="str">
        <f>CR2</f>
        <v>RV Type</v>
      </c>
      <c r="DH52" t="str">
        <f>DH2</f>
        <v>SV Type</v>
      </c>
      <c r="ET52" t="str">
        <f>ET2</f>
        <v>RV Type</v>
      </c>
      <c r="GM52" s="59">
        <f>DI93</f>
        <v>14</v>
      </c>
      <c r="GN52" s="59">
        <f t="shared" si="155"/>
        <v>8</v>
      </c>
      <c r="GO52" s="45"/>
      <c r="GP52" s="17" t="s">
        <v>52</v>
      </c>
      <c r="GQ52" s="46">
        <f>DI43</f>
        <v>22</v>
      </c>
      <c r="GR52" s="17"/>
      <c r="GS52" s="17"/>
      <c r="GT52" s="17"/>
      <c r="GU52" s="17"/>
      <c r="GV52" s="17"/>
      <c r="GW52" s="17"/>
      <c r="GX52" s="17"/>
      <c r="GY52" s="17"/>
      <c r="GZ52" s="17"/>
      <c r="HA52" s="17"/>
      <c r="HB52" s="17"/>
      <c r="HC52" s="17"/>
      <c r="HD52" s="17"/>
      <c r="HE52" s="17"/>
      <c r="HF52" s="17"/>
      <c r="HG52" s="17"/>
      <c r="HH52" s="17"/>
      <c r="HI52" s="17"/>
      <c r="HJ52" s="17"/>
      <c r="HK52" s="17"/>
      <c r="HL52" s="17"/>
      <c r="HM52" s="18"/>
    </row>
    <row r="53" spans="1:221" x14ac:dyDescent="0.45">
      <c r="A53" t="str">
        <f>データの貼付!A51</f>
        <v>KIHARA Miyuu</v>
      </c>
      <c r="B53">
        <f>データの貼付!B51</f>
        <v>1.4185844907407407E-2</v>
      </c>
      <c r="C53">
        <f>データの貼付!C51</f>
        <v>6.3333333333333332E-5</v>
      </c>
      <c r="D53">
        <f>データの貼付!D51</f>
        <v>4.3055555555555562E-2</v>
      </c>
      <c r="E53" t="str">
        <f>データの貼付!F51</f>
        <v>FENG Tianwei</v>
      </c>
      <c r="F53">
        <f>データの貼付!E51</f>
        <v>4.1666666666666664E-2</v>
      </c>
      <c r="G53" t="str">
        <f>データの貼付!G51</f>
        <v>#02</v>
      </c>
      <c r="H53" t="str">
        <f>データの貼付!H51</f>
        <v>KIHARA Miyuu</v>
      </c>
      <c r="I53" t="str">
        <f>データの貼付!I51</f>
        <v>(Side)</v>
      </c>
      <c r="J53" t="str">
        <f>データの貼付!J51</f>
        <v>B</v>
      </c>
      <c r="K53" t="str">
        <f>データの貼付!K51</f>
        <v>FS</v>
      </c>
      <c r="L53" t="str">
        <f>データの貼付!L51</f>
        <v>F</v>
      </c>
      <c r="M53" t="str">
        <f>データの貼付!M51</f>
        <v>ドライブ</v>
      </c>
      <c r="N53" t="str">
        <f>データの貼付!N51</f>
        <v>BM</v>
      </c>
      <c r="R53">
        <f t="shared" si="59"/>
        <v>0</v>
      </c>
      <c r="S53">
        <f>SUM(R$4:R53)</f>
        <v>4</v>
      </c>
      <c r="T53" t="str">
        <f t="shared" si="60"/>
        <v/>
      </c>
      <c r="W53" t="str">
        <f t="shared" si="57"/>
        <v>FENG Tianwei_KIHARA Miyuu</v>
      </c>
      <c r="X53" t="str">
        <f t="shared" si="58"/>
        <v>FENG Tianwei_#02</v>
      </c>
      <c r="AC53" s="5" t="s">
        <v>21</v>
      </c>
      <c r="AD53" s="5" t="s">
        <v>22</v>
      </c>
      <c r="AE53" s="9">
        <f>(COUNTIF(INDEX($X$4:$X$200,1):INDEX($X$4:$X$200,AE48),AC3&amp;"_#01")+COUNTIF(INDEX($X$4:$X$200,1):INDEX($X$4:$X$200,AE48),AC3&amp;"_#03"))/(COUNTIF(INDEX($W$4:$W$200,1):INDEX($W$4:$W$200,AE48),AC$3&amp;"_"&amp;AC$3)+COUNTIF(INDEX($W$4:$W$200,1):INDEX($W$4:$W$200,AE48),AD$3&amp;"_"&amp;AC$3))</f>
        <v>0.25</v>
      </c>
      <c r="AF53" s="9">
        <f>(COUNTIF(INDEX($X$4:$X$200,INDEX($U$4:$U$11,AF$48)):INDEX($X$4:$X$200,INDEX($U$4:$U$11,AF$48+1)-1),$AC3&amp;"_#01")+COUNTIF(INDEX($X$4:$X$200,INDEX($U$4:$U$11,AF$48)):INDEX($X$4:$X$200,INDEX($U$4:$U$11,AF$48+1)-1),$AC3&amp;"_#03"))/(COUNTIF(INDEX($W$4:$W$200,INDEX($U$4:$U$11,AF$48)):INDEX($W$4:$W$200,INDEX($U$4:$U$11,AF$48+1)-1),$AC$3&amp;"_"&amp;$AC$3)+COUNTIF(INDEX($W$4:$W$200,INDEX($U$4:$U$11,AF$48)):INDEX($W$4:$W$200,INDEX($U$4:$U$11,AF$48+1)-1),$AD$3&amp;"_"&amp;$AC$3))</f>
        <v>0.125</v>
      </c>
      <c r="AG53" s="9">
        <f>(COUNTIF(INDEX($X$4:$X$200,INDEX($U$4:$U$11,AG$48)):INDEX($X$4:$X$200,INDEX($U$4:$U$11,AG$48+1)-1),$AC3&amp;"_#01")+COUNTIF(INDEX($X$4:$X$200,INDEX($U$4:$U$11,AG$48)):INDEX($X$4:$X$200,INDEX($U$4:$U$11,AG$48+1)-1),$AC3&amp;"_#03"))/(COUNTIF(INDEX($W$4:$W$200,INDEX($U$4:$U$11,AG$48)):INDEX($W$4:$W$200,INDEX($U$4:$U$11,AG$48+1)-1),$AC$3&amp;"_"&amp;$AC$3)+COUNTIF(INDEX($W$4:$W$200,INDEX($U$4:$U$11,AG$48)):INDEX($W$4:$W$200,INDEX($U$4:$U$11,AG$48+1)-1),$AD$3&amp;"_"&amp;$AC$3))</f>
        <v>0.14285714285714285</v>
      </c>
      <c r="AH53" s="9">
        <f>(COUNTIF(INDEX($X$4:$X$200,INDEX($U$4:$U$11,AH$48)):INDEX($X$4:$X$200,INDEX($U$4:$U$11,AH$48+1)-1),$AC3&amp;"_#01")+COUNTIF(INDEX($X$4:$X$200,INDEX($U$4:$U$11,AH$48)):INDEX($X$4:$X$200,INDEX($U$4:$U$11,AH$48+1)-1),$AC3&amp;"_#03"))/(COUNTIF(INDEX($W$4:$W$200,INDEX($U$4:$U$11,AH$48)):INDEX($W$4:$W$200,INDEX($U$4:$U$11,AH$48+1)-1),$AC$3&amp;"_"&amp;$AC$3)+COUNTIF(INDEX($W$4:$W$200,INDEX($U$4:$U$11,AH$48)):INDEX($W$4:$W$200,INDEX($U$4:$U$11,AH$48+1)-1),$AD$3&amp;"_"&amp;$AC$3))</f>
        <v>0.5</v>
      </c>
      <c r="AI53" s="9">
        <f>(COUNTIF(INDEX($X$4:$X$200,INDEX($U$4:$U$11,AI$48)):INDEX($X$4:$X$200,INDEX($U$4:$U$11,AI$48+1)-1),$AC3&amp;"_#01")+COUNTIF(INDEX($X$4:$X$200,INDEX($U$4:$U$11,AI$48)):INDEX($X$4:$X$200,INDEX($U$4:$U$11,AI$48+1)-1),$AC3&amp;"_#03"))/(COUNTIF(INDEX($W$4:$W$200,INDEX($U$4:$U$11,AI$48)):INDEX($W$4:$W$200,INDEX($U$4:$U$11,AI$48+1)-1),$AC$3&amp;"_"&amp;$AC$3)+COUNTIF(INDEX($W$4:$W$200,INDEX($U$4:$U$11,AI$48)):INDEX($W$4:$W$200,INDEX($U$4:$U$11,AI$48+1)-1),$AD$3&amp;"_"&amp;$AC$3))</f>
        <v>0.33333333333333331</v>
      </c>
      <c r="AJ53" s="9">
        <f>(COUNTIF(INDEX($X$4:$X$200,INDEX($U$4:$U$11,AJ$48)):INDEX($X$4:$X$200,INDEX($U$4:$U$11,AJ$48+1)-1),$AC3&amp;"_#01")+COUNTIF(INDEX($X$4:$X$200,INDEX($U$4:$U$11,AJ$48)):INDEX($X$4:$X$200,INDEX($U$4:$U$11,AJ$48+1)-1),$AC3&amp;"_#03"))/(COUNTIF(INDEX($W$4:$W$200,INDEX($U$4:$U$11,AJ$48)):INDEX($W$4:$W$200,INDEX($U$4:$U$11,AJ$48+1)-1),$AC$3&amp;"_"&amp;$AC$3)+COUNTIF(INDEX($W$4:$W$200,INDEX($U$4:$U$11,AJ$48)):INDEX($W$4:$W$200,INDEX($U$4:$U$11,AJ$48+1)-1),$AD$3&amp;"_"&amp;$AC$3))</f>
        <v>0</v>
      </c>
      <c r="AK53" s="9" t="e">
        <f>(COUNTIF(INDEX($X$4:$X$200,INDEX($U$4:$U$11,AK$48)):INDEX($X$4:$X$200,INDEX($U$4:$U$11,AK$48+1)-1),$AC3&amp;"_#01")+COUNTIF(INDEX($X$4:$X$200,INDEX($U$4:$U$11,AK$48)):INDEX($X$4:$X$200,INDEX($U$4:$U$11,AK$48+1)-1),$AC3&amp;"_#03"))/(COUNTIF(INDEX($W$4:$W$200,INDEX($U$4:$U$11,AK$48)):INDEX($W$4:$W$200,INDEX($U$4:$U$11,AK$48+1)-1),$AC$3&amp;"_"&amp;$AC$3)+COUNTIF(INDEX($W$4:$W$200,INDEX($U$4:$U$11,AK$48)):INDEX($W$4:$W$200,INDEX($U$4:$U$11,AK$48+1)-1),$AD$3&amp;"_"&amp;$AC$3))</f>
        <v>#VALUE!</v>
      </c>
      <c r="AL53" s="9" t="e">
        <f>(COUNTIF(INDEX($X$4:$X$200,INDEX($U$4:$U$11,AL$48)):INDEX($X$4:$X$200,INDEX($U$4:$U$11,AL$48+1)-1),$AC3&amp;"_#01")+COUNTIF(INDEX($X$4:$X$200,INDEX($U$4:$U$11,AL$48)):INDEX($X$4:$X$200,INDEX($U$4:$U$11,AL$48+1)-1),$AC3&amp;"_#03"))/(COUNTIF(INDEX($W$4:$W$200,INDEX($U$4:$U$11,AL$48)):INDEX($W$4:$W$200,INDEX($U$4:$U$11,AL$48+1)-1),$AC$3&amp;"_"&amp;$AC$3)+COUNTIF(INDEX($W$4:$W$200,INDEX($U$4:$U$11,AL$48)):INDEX($W$4:$W$200,INDEX($U$4:$U$11,AL$48+1)-1),$AD$3&amp;"_"&amp;$AC$3))</f>
        <v>#VALUE!</v>
      </c>
      <c r="AM53" s="9"/>
      <c r="AN53" s="7"/>
      <c r="AO53" s="5"/>
      <c r="AP53" s="5"/>
      <c r="AQ53" s="9"/>
      <c r="AS53" s="5"/>
      <c r="AT53" s="5"/>
      <c r="AU53" s="9"/>
      <c r="AW53" s="5"/>
      <c r="AX53" s="5"/>
      <c r="AY53" s="9"/>
      <c r="BA53" s="5"/>
      <c r="BB53" s="5"/>
      <c r="BC53" s="9"/>
      <c r="BE53" s="5"/>
      <c r="BF53" s="5"/>
      <c r="BG53" s="9"/>
      <c r="BI53" s="5"/>
      <c r="BJ53" s="5"/>
      <c r="BK53" s="9"/>
      <c r="BL53" t="str">
        <f>BL3</f>
        <v>Game</v>
      </c>
      <c r="BM53" t="str">
        <f t="shared" ref="BM53:BR54" si="157">BM3</f>
        <v>Game</v>
      </c>
      <c r="BN53" t="str">
        <f t="shared" si="157"/>
        <v>Game</v>
      </c>
      <c r="BO53" t="str">
        <f t="shared" si="157"/>
        <v>Game</v>
      </c>
      <c r="BP53" t="str">
        <f t="shared" si="157"/>
        <v>Game</v>
      </c>
      <c r="BQ53" t="str">
        <f t="shared" si="157"/>
        <v>Game</v>
      </c>
      <c r="BR53" t="str">
        <f t="shared" si="157"/>
        <v>Game</v>
      </c>
      <c r="CR53" t="str">
        <f>CR3</f>
        <v>Game</v>
      </c>
      <c r="CS53" t="str">
        <f t="shared" ref="CS53:CX54" si="158">CS3</f>
        <v>Game</v>
      </c>
      <c r="CT53" t="str">
        <f t="shared" si="158"/>
        <v>Game</v>
      </c>
      <c r="CU53" t="str">
        <f t="shared" si="158"/>
        <v>Game</v>
      </c>
      <c r="CV53" t="str">
        <f t="shared" si="158"/>
        <v>Game</v>
      </c>
      <c r="CW53" t="str">
        <f t="shared" si="158"/>
        <v>Game</v>
      </c>
      <c r="CX53" t="str">
        <f t="shared" si="158"/>
        <v>Game</v>
      </c>
      <c r="DH53" t="str">
        <f>AC3&amp;"_Back_"&amp;AC3</f>
        <v>FENG Tianwei_Back_FENG Tianwei</v>
      </c>
      <c r="DI53" t="str">
        <f>AC3&amp;"_Side_"&amp;AC3</f>
        <v>FENG Tianwei_Side_FENG Tianwei</v>
      </c>
      <c r="DJ53" t="str">
        <f>AC3&amp;"_(Side)_"&amp;AC3</f>
        <v>FENG Tianwei_(Side)_FENG Tianwei</v>
      </c>
      <c r="DL53" t="str">
        <f>AD3&amp;"_Back_"&amp;AD3</f>
        <v>KIHARA Miyuu_Back_KIHARA Miyuu</v>
      </c>
      <c r="DM53" t="str">
        <f>AD3&amp;"_Side_"&amp;AD3</f>
        <v>KIHARA Miyuu_Side_KIHARA Miyuu</v>
      </c>
      <c r="DN53" t="str">
        <f>AD3&amp;"_(Side)_"&amp;AD3</f>
        <v>KIHARA Miyuu_(Side)_KIHARA Miyuu</v>
      </c>
      <c r="ET53" t="str">
        <f>AC3&amp;"_Chiquita_"&amp;AC3</f>
        <v>FENG Tianwei_Chiquita_FENG Tianwei</v>
      </c>
      <c r="EU53" t="str">
        <f>AC3&amp;"_Flick_"&amp;AC3</f>
        <v>FENG Tianwei_Flick_FENG Tianwei</v>
      </c>
      <c r="EV53" t="str">
        <f>AC3&amp;"_Push_"&amp;AC3</f>
        <v>FENG Tianwei_Push_FENG Tianwei</v>
      </c>
      <c r="EW53" t="str">
        <f>AC3&amp;"_Stop_"&amp;AC3</f>
        <v>FENG Tianwei_Stop_FENG Tianwei</v>
      </c>
      <c r="EX53" t="str">
        <f>AC3&amp;"_その他_"&amp;AC3</f>
        <v>FENG Tianwei_その他_FENG Tianwei</v>
      </c>
      <c r="EY53" t="str">
        <f>AC3&amp;"_ドライブ_"&amp;AC3</f>
        <v>FENG Tianwei_ドライブ_FENG Tianwei</v>
      </c>
      <c r="EZ53" t="str">
        <f>AC3&amp;"_ミユータ_"&amp;AC3</f>
        <v>FENG Tianwei_ミユータ_FENG Tianwei</v>
      </c>
      <c r="FA53" t="str">
        <f>AC3&amp;"_空振り_"&amp;AC3</f>
        <v>FENG Tianwei_空振り_FENG Tianwei</v>
      </c>
      <c r="FC53" t="str">
        <f>AD3&amp;"_Chiquita_"&amp;AD3</f>
        <v>KIHARA Miyuu_Chiquita_KIHARA Miyuu</v>
      </c>
      <c r="FD53" t="str">
        <f>AD3&amp;"_Flick_"&amp;AD3</f>
        <v>KIHARA Miyuu_Flick_KIHARA Miyuu</v>
      </c>
      <c r="FE53" t="str">
        <f>AD3&amp;"_Push_"&amp;AD3</f>
        <v>KIHARA Miyuu_Push_KIHARA Miyuu</v>
      </c>
      <c r="FF53" t="str">
        <f>AD3&amp;"_Stop_"&amp;AD3</f>
        <v>KIHARA Miyuu_Stop_KIHARA Miyuu</v>
      </c>
      <c r="FG53" t="str">
        <f>AD3&amp;"_その他_"&amp;AD3</f>
        <v>KIHARA Miyuu_その他_KIHARA Miyuu</v>
      </c>
      <c r="FH53" t="str">
        <f>AD3&amp;"_ドライブ_"&amp;AD3</f>
        <v>KIHARA Miyuu_ドライブ_KIHARA Miyuu</v>
      </c>
      <c r="FI53" t="str">
        <f>AD3&amp;"_ミユータ_"&amp;AD3</f>
        <v>KIHARA Miyuu_ミユータ_KIHARA Miyuu</v>
      </c>
      <c r="FJ53" t="str">
        <f>AD3&amp;"_空振り_"&amp;AD3</f>
        <v>KIHARA Miyuu_空振り_KIHARA Miyuu</v>
      </c>
      <c r="GM53" s="59">
        <f>DJ93</f>
        <v>2</v>
      </c>
      <c r="GN53" s="59">
        <f>GQ53-GM53</f>
        <v>3</v>
      </c>
      <c r="GO53" s="45"/>
      <c r="GP53" s="17" t="s">
        <v>53</v>
      </c>
      <c r="GQ53" s="46">
        <f>DJ43</f>
        <v>5</v>
      </c>
      <c r="GR53" s="17"/>
      <c r="GS53" s="17"/>
      <c r="GT53" s="17"/>
      <c r="GU53" s="17"/>
      <c r="GV53" s="17"/>
      <c r="GW53" s="17"/>
      <c r="GX53" s="17"/>
      <c r="GY53" s="17"/>
      <c r="GZ53" s="17"/>
      <c r="HA53" s="17"/>
      <c r="HB53" s="17"/>
      <c r="HC53" s="17"/>
      <c r="HD53" s="17"/>
      <c r="HE53" s="17"/>
      <c r="HF53" s="17"/>
      <c r="HG53" s="17"/>
      <c r="HH53" s="17" t="str">
        <f>$AD$3</f>
        <v>KIHARA Miyuu</v>
      </c>
      <c r="HI53" s="17"/>
      <c r="HJ53" s="17"/>
      <c r="HK53" s="17"/>
      <c r="HL53" s="17"/>
      <c r="HM53" s="18"/>
    </row>
    <row r="54" spans="1:221" x14ac:dyDescent="0.45">
      <c r="A54" t="str">
        <f>データの貼付!A52</f>
        <v>FENG Tianwei</v>
      </c>
      <c r="B54">
        <f>データの貼付!B52</f>
        <v>1.4387442129629628E-2</v>
      </c>
      <c r="C54">
        <f>データの貼付!C52</f>
        <v>6.7187499999999986E-5</v>
      </c>
      <c r="D54">
        <f>データの貼付!D52</f>
        <v>4.3055555555555562E-2</v>
      </c>
      <c r="E54" t="str">
        <f>データの貼付!F52</f>
        <v>FENG Tianwei</v>
      </c>
      <c r="F54">
        <f>データの貼付!E52</f>
        <v>4.1666666666666664E-2</v>
      </c>
      <c r="G54" t="str">
        <f>データの貼付!G52</f>
        <v>#05</v>
      </c>
      <c r="H54" t="str">
        <f>データの貼付!H52</f>
        <v>FENG Tianwei</v>
      </c>
      <c r="I54" t="str">
        <f>データの貼付!I52</f>
        <v>Side</v>
      </c>
      <c r="J54" t="str">
        <f>データの貼付!J52</f>
        <v>B</v>
      </c>
      <c r="K54" t="str">
        <f>データの貼付!K52</f>
        <v>BM</v>
      </c>
      <c r="L54" t="str">
        <f>データの貼付!L52</f>
        <v>B</v>
      </c>
      <c r="M54" t="str">
        <f>データの貼付!M52</f>
        <v>ドライブ</v>
      </c>
      <c r="N54" t="str">
        <f>データの貼付!N52</f>
        <v>BM</v>
      </c>
      <c r="R54">
        <f t="shared" si="59"/>
        <v>0</v>
      </c>
      <c r="S54">
        <f>SUM(R$4:R54)</f>
        <v>4</v>
      </c>
      <c r="T54" t="str">
        <f t="shared" si="60"/>
        <v/>
      </c>
      <c r="W54" t="str">
        <f t="shared" si="57"/>
        <v>FENG Tianwei_FENG Tianwei</v>
      </c>
      <c r="X54" t="str">
        <f t="shared" si="58"/>
        <v>FENG Tianwei_#05</v>
      </c>
      <c r="AC54" s="5"/>
      <c r="AD54" s="5"/>
      <c r="AE54" s="3"/>
      <c r="AF54" s="7"/>
      <c r="AG54" s="5"/>
      <c r="AH54" s="5"/>
      <c r="AI54" s="3"/>
      <c r="AJ54" s="7"/>
      <c r="AK54" s="5"/>
      <c r="AL54" s="5"/>
      <c r="AM54" s="3"/>
      <c r="AN54" s="7"/>
      <c r="AO54" s="5"/>
      <c r="AP54" s="5"/>
      <c r="AQ54" s="3"/>
      <c r="AS54" s="5"/>
      <c r="AT54" s="5"/>
      <c r="AU54" s="3"/>
      <c r="AW54" s="5"/>
      <c r="AX54" s="5"/>
      <c r="AY54" s="3"/>
      <c r="BA54" s="5"/>
      <c r="BB54" s="5"/>
      <c r="BC54" s="3"/>
      <c r="BE54" s="5"/>
      <c r="BF54" s="5"/>
      <c r="BG54" s="3"/>
      <c r="BI54" s="5"/>
      <c r="BJ54" s="5"/>
      <c r="BK54" s="3"/>
      <c r="BL54">
        <f>BL4</f>
        <v>1</v>
      </c>
      <c r="BM54">
        <f t="shared" si="157"/>
        <v>2</v>
      </c>
      <c r="BN54">
        <f t="shared" si="157"/>
        <v>3</v>
      </c>
      <c r="BO54">
        <f t="shared" si="157"/>
        <v>4</v>
      </c>
      <c r="BP54">
        <f t="shared" si="157"/>
        <v>5</v>
      </c>
      <c r="BQ54">
        <f t="shared" si="157"/>
        <v>6</v>
      </c>
      <c r="BR54">
        <f t="shared" si="157"/>
        <v>7</v>
      </c>
      <c r="CR54">
        <f>CR4</f>
        <v>1</v>
      </c>
      <c r="CS54">
        <f t="shared" si="158"/>
        <v>2</v>
      </c>
      <c r="CT54">
        <f t="shared" si="158"/>
        <v>3</v>
      </c>
      <c r="CU54">
        <f t="shared" si="158"/>
        <v>4</v>
      </c>
      <c r="CV54">
        <f t="shared" si="158"/>
        <v>5</v>
      </c>
      <c r="CW54">
        <f t="shared" si="158"/>
        <v>6</v>
      </c>
      <c r="CX54">
        <f t="shared" si="158"/>
        <v>7</v>
      </c>
      <c r="GO54" s="16"/>
      <c r="GP54" s="17" t="str">
        <f>$AC$3</f>
        <v>FENG Tianwei</v>
      </c>
      <c r="GQ54" s="17"/>
      <c r="GR54" s="17"/>
      <c r="GS54" s="17"/>
      <c r="GT54" s="17"/>
      <c r="GU54" s="17"/>
      <c r="GV54" s="43"/>
      <c r="GW54" s="43"/>
      <c r="GX54" s="43"/>
      <c r="GY54" s="43"/>
      <c r="GZ54" s="17"/>
      <c r="HA54" s="17"/>
      <c r="HB54" s="17"/>
      <c r="HC54" s="17"/>
      <c r="HD54" s="17"/>
      <c r="HE54" s="17" t="s">
        <v>54</v>
      </c>
      <c r="HF54" s="46">
        <f>FC43</f>
        <v>0</v>
      </c>
      <c r="HG54" s="43"/>
      <c r="HH54" s="59">
        <f>FC93</f>
        <v>0</v>
      </c>
      <c r="HI54" s="59">
        <f t="shared" ref="HI54:HI61" si="159">HF54-HH54</f>
        <v>0</v>
      </c>
      <c r="HJ54" s="43"/>
      <c r="HK54" s="43"/>
      <c r="HL54" s="43"/>
      <c r="HM54" s="44"/>
    </row>
    <row r="55" spans="1:221" x14ac:dyDescent="0.45">
      <c r="A55" t="str">
        <f>データの貼付!A53</f>
        <v>FENG Tianwei</v>
      </c>
      <c r="B55">
        <f>データの貼付!B53</f>
        <v>1.4600231481481483E-2</v>
      </c>
      <c r="C55">
        <f>データの貼付!C53</f>
        <v>7.4143518518518512E-5</v>
      </c>
      <c r="D55">
        <f>データの貼付!D53</f>
        <v>4.3055555555555562E-2</v>
      </c>
      <c r="E55" t="str">
        <f>データの貼付!F53</f>
        <v>FENG Tianwei</v>
      </c>
      <c r="F55">
        <f>データの貼付!E53</f>
        <v>4.1666666666666664E-2</v>
      </c>
      <c r="G55" t="str">
        <f>データの貼付!G53</f>
        <v>#05</v>
      </c>
      <c r="H55" t="str">
        <f>データの貼付!H53</f>
        <v>FENG Tianwei</v>
      </c>
      <c r="I55" t="str">
        <f>データの貼付!I53</f>
        <v>Side</v>
      </c>
      <c r="J55" t="str">
        <f>データの貼付!J53</f>
        <v>B</v>
      </c>
      <c r="K55" t="str">
        <f>データの貼付!K53</f>
        <v>BM</v>
      </c>
      <c r="L55" t="str">
        <f>データの貼付!L53</f>
        <v>B</v>
      </c>
      <c r="M55" t="str">
        <f>データの貼付!M53</f>
        <v>ドライブ</v>
      </c>
      <c r="N55" t="str">
        <f>データの貼付!N53</f>
        <v>B</v>
      </c>
      <c r="R55">
        <f t="shared" si="59"/>
        <v>0</v>
      </c>
      <c r="S55">
        <f>SUM(R$4:R55)</f>
        <v>4</v>
      </c>
      <c r="T55" t="str">
        <f t="shared" si="60"/>
        <v/>
      </c>
      <c r="W55" t="str">
        <f t="shared" si="57"/>
        <v>FENG Tianwei_FENG Tianwei</v>
      </c>
      <c r="X55" t="str">
        <f t="shared" si="58"/>
        <v>FENG Tianwei_#05</v>
      </c>
      <c r="AD55" s="5"/>
      <c r="AE55" s="3"/>
      <c r="AF55" s="7"/>
      <c r="AG55" s="5"/>
      <c r="AH55" s="5"/>
      <c r="AI55" s="3"/>
      <c r="AJ55" s="7"/>
      <c r="AK55" s="5"/>
      <c r="AL55" s="5"/>
      <c r="AM55" s="3"/>
      <c r="AN55" s="7"/>
      <c r="AO55" s="5"/>
      <c r="AP55" s="5"/>
      <c r="AQ55" s="3"/>
      <c r="AS55" s="5"/>
      <c r="AT55" s="5"/>
      <c r="AU55" s="3"/>
      <c r="AW55" s="5"/>
      <c r="AX55" s="5"/>
      <c r="AY55" s="3"/>
      <c r="BA55" s="5"/>
      <c r="BB55" s="5"/>
      <c r="BC55" s="3"/>
      <c r="BE55" s="5"/>
      <c r="BF55" s="5"/>
      <c r="BG55" s="3"/>
      <c r="BI55" s="5"/>
      <c r="BJ55" s="5"/>
      <c r="BK55" s="3"/>
      <c r="BL55" t="str">
        <f>BD5&amp;"_"&amp;IF(INDEX($E$4:$E$200,AN5)=0,"SL",INDEX($I$4:$I$200,AN5)&amp;"_"&amp;INDEX($E$4:$E$200,AN5))</f>
        <v>FENG Tianwei_Side_KIHARA Miyuu</v>
      </c>
      <c r="BM55" t="str">
        <f t="shared" ref="BM55:BR70" si="160">BE5&amp;"_"&amp;IF(INDEX($E$4:$E$200,AO5)=0,"SL",INDEX($I$4:$I$200,AO5)&amp;"_"&amp;INDEX($E$4:$E$200,AO5))</f>
        <v>KIHARA Miyuu_(Side)_KIHARA Miyuu</v>
      </c>
      <c r="BN55" t="str">
        <f t="shared" si="160"/>
        <v>FENG Tianwei_Side_KIHARA Miyuu</v>
      </c>
      <c r="BO55" t="str">
        <f t="shared" si="160"/>
        <v>KIHARA Miyuu_(Side)_KIHARA Miyuu</v>
      </c>
      <c r="BP55" t="str">
        <f t="shared" si="160"/>
        <v>FENG Tianwei_Side_KIHARA Miyuu</v>
      </c>
      <c r="BQ55" t="str">
        <f t="shared" si="160"/>
        <v>0_SL</v>
      </c>
      <c r="BR55" t="e">
        <f t="shared" si="160"/>
        <v>#VALUE!</v>
      </c>
      <c r="CR55" t="str">
        <f>IF(BD5=$AC$3,$AD$3,$AC$3)&amp;"_"&amp;IF(INDEX($E$4:$E$200,AN5)=0,"SL",INDEX($M$4:$M$200,AN5)&amp;"_"&amp;INDEX($E$4:$E$200,AN5))</f>
        <v>KIHARA Miyuu_Push_KIHARA Miyuu</v>
      </c>
      <c r="CS55" t="str">
        <f t="shared" ref="CS55:CX55" si="161">IF(BE5=$AC$3,$AD$3,$AC$3)&amp;"_"&amp;IF(INDEX($E$4:$E$200,AO5)=0,"SL",INDEX($M$4:$M$200,AO5)&amp;"_"&amp;INDEX($E$4:$E$200,AO5))</f>
        <v>FENG Tianwei_ドライブ_KIHARA Miyuu</v>
      </c>
      <c r="CT55" t="str">
        <f t="shared" si="161"/>
        <v>KIHARA Miyuu_ドライブ_KIHARA Miyuu</v>
      </c>
      <c r="CU55" t="str">
        <f t="shared" si="161"/>
        <v>FENG Tianwei_Push_KIHARA Miyuu</v>
      </c>
      <c r="CV55" t="str">
        <f t="shared" si="161"/>
        <v>KIHARA Miyuu_ドライブ_KIHARA Miyuu</v>
      </c>
      <c r="CW55" t="str">
        <f t="shared" si="161"/>
        <v>FENG Tianwei_SL</v>
      </c>
      <c r="CX55" t="e">
        <f t="shared" si="161"/>
        <v>#VALUE!</v>
      </c>
      <c r="DH55">
        <f>IF(OR(ROW()-54&gt;INDEX($U$4:$U$11,$AC$2+1,1)-INDEX($U$4:$U$11,$AC$2,1),ROW()-54&gt;$AD$2),NA(),COUNTIF(INDEX($BL$55:$BR$100,INDEX($U$4:$U$11,1,1),$AC$2):INDEX($BL$55:$BR$100,INDEX($U$4:$U$11,1,1)+ROW()-55,$AC$2),DH$53))</f>
        <v>0</v>
      </c>
      <c r="DI55">
        <f>IF(OR(ROW()-54&gt;INDEX($U$4:$U$11,$AC$2+1,1)-INDEX($U$4:$U$11,$AC$2,1),ROW()-54&gt;$AD$2),NA(),COUNTIF(INDEX($BL$55:$BR$100,INDEX($U$4:$U$11,1,1),$AC$2):INDEX($BL$55:$BR$100,INDEX($U$4:$U$11,1,1)+ROW()-55,$AC$2),DI$53))</f>
        <v>0</v>
      </c>
      <c r="DJ55">
        <f>IF(OR(ROW()-54&gt;INDEX($U$4:$U$11,$AC$2+1,1)-INDEX($U$4:$U$11,$AC$2,1),ROW()-54&gt;$AD$2),NA(),COUNTIF(INDEX($BL$55:$BR$100,INDEX($U$4:$U$11,1,1),$AC$2):INDEX($BL$55:$BR$100,INDEX($U$4:$U$11,1,1)+ROW()-55,$AC$2),DJ$53))</f>
        <v>0</v>
      </c>
      <c r="DL55">
        <f>IF(OR(ROW()-54&gt;INDEX($U$4:$U$11,$AC$2+1,1)-INDEX($U$4:$U$11,$AC$2,1),ROW()-54&gt;$AD$2),NA(),COUNTIF(INDEX($BL$55:$BR$100,INDEX($U$4:$U$11,1,1),$AC$2):INDEX($BL$55:$BR$100,INDEX($U$4:$U$11,1,1)+ROW()-55,$AC$2),DL$53))</f>
        <v>0</v>
      </c>
      <c r="DM55">
        <f>IF(OR(ROW()-54&gt;INDEX($U$4:$U$11,$AC$2+1,1)-INDEX($U$4:$U$11,$AC$2,1),ROW()-54&gt;$AD$2),NA(),COUNTIF(INDEX($BL$55:$BR$100,INDEX($U$4:$U$11,1,1),$AC$2):INDEX($BL$5:$BR$50,INDEX($U$4:$U$11,1,1)+ROW()-55,$AC$2),DM$53))</f>
        <v>0</v>
      </c>
      <c r="DN55">
        <f>IF(OR(ROW()-54&gt;INDEX($U$4:$U$11,$AC$2+1,1)-INDEX($U$4:$U$11,$AC$2,1),ROW()-54&gt;$AD$2),NA(),COUNTIF(INDEX($BL$55:$BR$100,INDEX($U$4:$U$11,1,1),$AC$2):INDEX($BL$55:$BR$100,INDEX($U$4:$U$11,1,1)+ROW()-55,$AC$2),DN$53))</f>
        <v>0</v>
      </c>
      <c r="ET55">
        <f>IF(OR(ROW()-54&gt;INDEX($U$4:$U$11,$AC$2+1,1)-INDEX($U$4:$U$11,$AC$2,1),ROW()-54&gt;$AD$2),NA(),COUNTIF(INDEX($CR$55:$CX$90,INDEX($U$4:$U$11,1,1),$AC$2):INDEX($CR$55:$CX$90,INDEX($U$4:$U$11,1,1)+ROW()-55,$AC$2),ET$53))</f>
        <v>0</v>
      </c>
      <c r="EU55">
        <f>IF(OR(ROW()-54&gt;INDEX($U$4:$U$11,$AC$2+1,1)-INDEX($U$4:$U$11,$AC$2,1),ROW()-54&gt;$AD$2),NA(),COUNTIF(INDEX($CR$55:$CX$90,INDEX($U$4:$U$11,1,1),$AC$2):INDEX($CR$55:$CX$90,INDEX($U$4:$U$11,1,1)+ROW()-55,$AC$2),EU$53))</f>
        <v>0</v>
      </c>
      <c r="EV55">
        <f>IF(OR(ROW()-54&gt;INDEX($U$4:$U$11,$AC$2+1,1)-INDEX($U$4:$U$11,$AC$2,1),ROW()-54&gt;$AD$2),NA(),COUNTIF(INDEX($CR$55:$CX$90,INDEX($U$4:$U$11,1,1),$AC$2):INDEX($CR$55:$CX$90,INDEX($U$4:$U$11,1,1)+ROW()-55,$AC$2),EV$53))</f>
        <v>0</v>
      </c>
      <c r="EW55">
        <f>IF(OR(ROW()-54&gt;INDEX($U$4:$U$11,$AC$2+1,1)-INDEX($U$4:$U$11,$AC$2,1),ROW()-54&gt;$AD$2),NA(),COUNTIF(INDEX($CR$55:$CX$90,INDEX($U$4:$U$11,1,1),$AC$2):INDEX($CR$55:$CX$90,INDEX($U$4:$U$11,1,1)+ROW()-55,$AC$2),EW$53))</f>
        <v>0</v>
      </c>
      <c r="EX55">
        <f>IF(OR(ROW()-54&gt;INDEX($U$4:$U$11,$AC$2+1,1)-INDEX($U$4:$U$11,$AC$2,1),ROW()-54&gt;$AD$2),NA(),COUNTIF(INDEX($CR$55:$CX$90,INDEX($U$4:$U$11,1,1),$AC$2):INDEX($CR$55:$CX$90,INDEX($U$4:$U$11,1,1)+ROW()-55,$AC$2),EX$53))</f>
        <v>0</v>
      </c>
      <c r="EY55">
        <f>IF(OR(ROW()-54&gt;INDEX($U$4:$U$11,$AC$2+1,1)-INDEX($U$4:$U$11,$AC$2,1),ROW()-54&gt;$AD$2),NA(),COUNTIF(INDEX($CR$55:$CX$90,INDEX($U$4:$U$11,1,1),$AC$2):INDEX($CR$55:$CX$90,INDEX($U$4:$U$11,1,1)+ROW()-55,$AC$2),EY$53))</f>
        <v>0</v>
      </c>
      <c r="EZ55">
        <f>IF(OR(ROW()-54&gt;INDEX($U$4:$U$11,$AC$2+1,1)-INDEX($U$4:$U$11,$AC$2,1),ROW()-54&gt;$AD$2),NA(),COUNTIF(INDEX($CR$55:$CX$90,INDEX($U$4:$U$11,1,1),$AC$2):INDEX($CR$55:$CX$90,INDEX($U$4:$U$11,1,1)+ROW()-55,$AC$2),EZ$53))</f>
        <v>0</v>
      </c>
      <c r="FA55">
        <f>IF(OR(ROW()-54&gt;INDEX($U$4:$U$11,$AC$2+1,1)-INDEX($U$4:$U$11,$AC$2,1),ROW()-54&gt;$AD$2),NA(),COUNTIF(INDEX($CR$55:$CX$90,INDEX($U$4:$U$11,1,1),$AC$2):INDEX($CR$55:$CX$90,INDEX($U$4:$U$11,1,1)+ROW()-55,$AC$2),FA$53))</f>
        <v>0</v>
      </c>
      <c r="FC55">
        <f>IF(OR(ROW()-54&gt;INDEX($U$4:$U$11,$AC$2+1,1)-INDEX($U$4:$U$11,$AC$2,1),ROW()-54&gt;$AD$2),NA(),COUNTIF(INDEX($CR$55:$CX$90,INDEX($U$4:$U$11,1,1),$AC$2):INDEX($CR$55:$CX$90,INDEX($U$4:$U$11,1,1)+ROW()-55,$AC$2),FC$53))</f>
        <v>0</v>
      </c>
      <c r="FD55">
        <f>IF(OR(ROW()-54&gt;INDEX($U$4:$U$11,$AC$2+1,1)-INDEX($U$4:$U$11,$AC$2,1),ROW()-54&gt;$AD$2),NA(),COUNTIF(INDEX($CR$55:$CX$90,INDEX($U$4:$U$11,1,1),$AC$2):INDEX($CR$55:$CX$90,INDEX($U$4:$U$11,1,1)+ROW()-55,$AC$2),FD$53))</f>
        <v>0</v>
      </c>
      <c r="FE55">
        <f>IF(OR(ROW()-54&gt;INDEX($U$4:$U$11,$AC$2+1,1)-INDEX($U$4:$U$11,$AC$2,1),ROW()-54&gt;$AD$2),NA(),COUNTIF(INDEX($CR$55:$CX$90,INDEX($U$4:$U$11,1,1),$AC$2):INDEX($CR$55:$CX$90,INDEX($U$4:$U$11,1,1)+ROW()-55,$AC$2),FE$53))</f>
        <v>0</v>
      </c>
      <c r="FF55">
        <f>IF(OR(ROW()-54&gt;INDEX($U$4:$U$11,$AC$2+1,1)-INDEX($U$4:$U$11,$AC$2,1),ROW()-54&gt;$AD$2),NA(),COUNTIF(INDEX($CR$55:$CX$90,INDEX($U$4:$U$11,1,1),$AC$2):INDEX($CR$55:$CX$90,INDEX($U$4:$U$11,1,1)+ROW()-55,$AC$2),FF$53))</f>
        <v>0</v>
      </c>
      <c r="FG55">
        <f>IF(OR(ROW()-54&gt;INDEX($U$4:$U$11,$AC$2+1,1)-INDEX($U$4:$U$11,$AC$2,1),ROW()-54&gt;$AD$2),NA(),COUNTIF(INDEX($CR$55:$CX$90,INDEX($U$4:$U$11,1,1),$AC$2):INDEX($CR$55:$CX$90,INDEX($U$4:$U$11,1,1)+ROW()-55,$AC$2),FG$53))</f>
        <v>0</v>
      </c>
      <c r="FH55">
        <f>IF(OR(ROW()-54&gt;INDEX($U$4:$U$11,$AC$2+1,1)-INDEX($U$4:$U$11,$AC$2,1),ROW()-54&gt;$AD$2),NA(),COUNTIF(INDEX($CR$55:$CX$90,INDEX($U$4:$U$11,1,1),$AC$2):INDEX($CR$55:$CX$90,INDEX($U$4:$U$11,1,1)+ROW()-55,$AC$2),FH$53))</f>
        <v>1</v>
      </c>
      <c r="FI55">
        <f>IF(OR(ROW()-54&gt;INDEX($U$4:$U$11,$AC$2+1,1)-INDEX($U$4:$U$11,$AC$2,1),ROW()-54&gt;$AD$2),NA(),COUNTIF(INDEX($CR$55:$CX$90,INDEX($U$4:$U$11,1,1),$AC$2):INDEX($CR$55:$CX$90,INDEX($U$4:$U$11,1,1)+ROW()-55,$AC$2),FI$53))</f>
        <v>0</v>
      </c>
      <c r="FJ55">
        <f>IF(OR(ROW()-54&gt;INDEX($U$4:$U$11,$AC$2+1,1)-INDEX($U$4:$U$11,$AC$2,1),ROW()-54&gt;$AD$2),NA(),COUNTIF(INDEX($CR$55:$CX$90,INDEX($U$4:$U$11,1,1),$AC$2):INDEX($CR$55:$CX$90,INDEX($U$4:$U$11,1,1)+ROW()-55,$AC$2),FJ$53))</f>
        <v>0</v>
      </c>
      <c r="GO55" s="16"/>
      <c r="GP55" s="17"/>
      <c r="GQ55" s="43"/>
      <c r="GR55" s="17"/>
      <c r="GS55" s="43"/>
      <c r="GT55" s="17"/>
      <c r="GU55" s="17"/>
      <c r="GV55" s="17"/>
      <c r="GW55" s="17"/>
      <c r="GX55" s="17"/>
      <c r="GY55" s="17"/>
      <c r="GZ55" s="17"/>
      <c r="HA55" s="17"/>
      <c r="HB55" s="17"/>
      <c r="HC55" s="17"/>
      <c r="HD55" s="17"/>
      <c r="HE55" s="17" t="s">
        <v>55</v>
      </c>
      <c r="HF55" s="46">
        <f>FD43</f>
        <v>1</v>
      </c>
      <c r="HG55" s="43"/>
      <c r="HH55" s="59">
        <f>FD$93</f>
        <v>1</v>
      </c>
      <c r="HI55" s="59">
        <f t="shared" si="159"/>
        <v>0</v>
      </c>
      <c r="HJ55" s="17"/>
      <c r="HK55" s="17"/>
      <c r="HL55" s="17"/>
      <c r="HM55" s="18"/>
    </row>
    <row r="56" spans="1:221" x14ac:dyDescent="0.45">
      <c r="A56" t="str">
        <f>データの貼付!A54</f>
        <v>KIHARA Miyuu</v>
      </c>
      <c r="B56">
        <f>データの貼付!B54</f>
        <v>1.4821122685185184E-2</v>
      </c>
      <c r="C56">
        <f>データの貼付!C54</f>
        <v>1.0349537037037037E-4</v>
      </c>
      <c r="D56">
        <f>データの貼付!D54</f>
        <v>4.3055555555555562E-2</v>
      </c>
      <c r="E56" t="str">
        <f>データの貼付!F54</f>
        <v>KIHARA Miyuu</v>
      </c>
      <c r="F56">
        <f>データの貼付!E54</f>
        <v>4.1666666666666664E-2</v>
      </c>
      <c r="G56" t="str">
        <f>データの貼付!G54</f>
        <v>#09-</v>
      </c>
      <c r="H56" t="str">
        <f>データの貼付!H54</f>
        <v>KIHARA Miyuu</v>
      </c>
      <c r="I56" t="str">
        <f>データの貼付!I54</f>
        <v>(Side)</v>
      </c>
      <c r="J56" t="str">
        <f>データの貼付!J54</f>
        <v>B</v>
      </c>
      <c r="K56" t="str">
        <f>データの貼付!K54</f>
        <v>FS</v>
      </c>
      <c r="L56" t="str">
        <f>データの貼付!L54</f>
        <v>F</v>
      </c>
      <c r="M56" t="str">
        <f>データの貼付!M54</f>
        <v>Push</v>
      </c>
      <c r="N56" t="str">
        <f>データの貼付!N54</f>
        <v>BM</v>
      </c>
      <c r="R56">
        <f t="shared" si="59"/>
        <v>0</v>
      </c>
      <c r="S56">
        <f>SUM(R$4:R56)</f>
        <v>4</v>
      </c>
      <c r="T56" t="str">
        <f t="shared" si="60"/>
        <v/>
      </c>
      <c r="W56" t="str">
        <f t="shared" si="57"/>
        <v>KIHARA Miyuu_KIHARA Miyuu</v>
      </c>
      <c r="X56" t="str">
        <f t="shared" si="58"/>
        <v>KIHARA Miyuu_#09-</v>
      </c>
      <c r="AC56" s="3"/>
      <c r="AD56" s="5" t="s">
        <v>14</v>
      </c>
      <c r="AE56" s="41">
        <f>COUNTIF(INDEX($W$4:$W$200,1):INDEX($W$4:$W$200,AE48),AD$3&amp;"_"&amp;AD$3)/(COUNTIF(INDEX($W$4:$W$200,1):INDEX($W$4:$W$200,AE48),AC$3&amp;"_"&amp;AD$3)+COUNTIF(INDEX($W$4:$W$200,1):INDEX($W$4:$W$200,AE48),AD$3&amp;"_"&amp;AD$3))</f>
        <v>0.59459459459459463</v>
      </c>
      <c r="AF56" s="41">
        <f>COUNTIF(INDEX($W$4:$W$200,INDEX($U$4:$U$11,AF$48)):INDEX($W$4:$W$200,INDEX($U$4:$U$11,AF$48+1)-1),AD$3&amp;"_"&amp;AD$3)/(COUNTIF(INDEX($W$4:$W$200,INDEX($U$4:$U$11,AF$48)):INDEX($W$4:$W$200,INDEX($U$4:$U$11,AF$48+1)-1),AC$3&amp;"_"&amp;AD$3)+COUNTIF(INDEX($W$4:$W$200,INDEX($U$4:$U$11,AF$48)):INDEX($W$4:$W$200,INDEX($U$4:$U$11,AF$48+1)-1),AD$3&amp;"_"&amp;AD$3))</f>
        <v>1</v>
      </c>
      <c r="AG56" s="41">
        <f>COUNTIF(INDEX($W$4:$W$200,INDEX($U$4:$U$11,AG$48)):INDEX($W$4:$W$200,INDEX($U$4:$U$11,AG$48+1)-1),AD$3&amp;"_"&amp;AD$3)/(COUNTIF(INDEX($W$4:$W$200,INDEX($U$4:$U$11,AG$48)):INDEX($W$4:$W$200,INDEX($U$4:$U$11,AG$48+1)-1),AC$3&amp;"_"&amp;AD$3)+COUNTIF(INDEX($W$4:$W$200,INDEX($U$4:$U$11,AG$48)):INDEX($W$4:$W$200,INDEX($U$4:$U$11,AG$48+1)-1),AD$3&amp;"_"&amp;AD$3))</f>
        <v>0.75</v>
      </c>
      <c r="AH56" s="41">
        <f>COUNTIF(INDEX($W$4:$W$200,INDEX($U$4:$U$11,AH$48)):INDEX($W$4:$W$200,INDEX($U$4:$U$11,AH$48+1)-1),AD$3&amp;"_"&amp;AD$3)/(COUNTIF(INDEX($W$4:$W$200,INDEX($U$4:$U$11,AH$48)):INDEX($W$4:$W$200,INDEX($U$4:$U$11,AH$48+1)-1),AC$3&amp;"_"&amp;AD$3)+COUNTIF(INDEX($W$4:$W$200,INDEX($U$4:$U$11,AH$48)):INDEX($W$4:$W$200,INDEX($U$4:$U$11,AH$48+1)-1),AD$3&amp;"_"&amp;AD$3))</f>
        <v>0.375</v>
      </c>
      <c r="AI56" s="41">
        <f>COUNTIF(INDEX($W$4:$W$200,INDEX($U$4:$U$11,AI$48)):INDEX($W$4:$W$200,INDEX($U$4:$U$11,AI$48+1)-1),AD$3&amp;"_"&amp;AD$3)/(COUNTIF(INDEX($W$4:$W$200,INDEX($U$4:$U$11,AI$48)):INDEX($W$4:$W$200,INDEX($U$4:$U$11,AI$48+1)-1),AC$3&amp;"_"&amp;AD$3)+COUNTIF(INDEX($W$4:$W$200,INDEX($U$4:$U$11,AI$48)):INDEX($W$4:$W$200,INDEX($U$4:$U$11,AI$48+1)-1),AD$3&amp;"_"&amp;AD$3))</f>
        <v>0.6</v>
      </c>
      <c r="AJ56" s="41">
        <f>COUNTIF(INDEX($W$4:$W$200,INDEX($U$4:$U$11,AJ$48)):INDEX($W$4:$W$200,INDEX($U$4:$U$11,AJ$48+1)-1),AD$3&amp;"_"&amp;AD$3)/(COUNTIF(INDEX($W$4:$W$200,INDEX($U$4:$U$11,AJ$48)):INDEX($W$4:$W$200,INDEX($U$4:$U$11,AJ$48+1)-1),AC$3&amp;"_"&amp;AD$3)+COUNTIF(INDEX($W$4:$W$200,INDEX($U$4:$U$11,AJ$48)):INDEX($W$4:$W$200,INDEX($U$4:$U$11,AJ$48+1)-1),AD$3&amp;"_"&amp;AD$3))</f>
        <v>0</v>
      </c>
      <c r="AK56" s="41" t="e">
        <f>COUNTIF(INDEX($W$4:$W$200,INDEX($U$4:$U$11,AK$48)):INDEX($W$4:$W$200,INDEX($U$4:$U$11,AK$48+1)-1),AD$3&amp;"_"&amp;AD$3)/(COUNTIF(INDEX($W$4:$W$200,INDEX($U$4:$U$11,AK$48)):INDEX($W$4:$W$200,INDEX($U$4:$U$11,AK$48+1)-1),AC$3&amp;"_"&amp;AD$3)+COUNTIF(INDEX($W$4:$W$200,INDEX($U$4:$U$11,AK$48)):INDEX($W$4:$W$200,INDEX($U$4:$U$11,AK$48+1)-1),AD$3&amp;"_"&amp;AD$3))</f>
        <v>#VALUE!</v>
      </c>
      <c r="AL56" s="41" t="e">
        <f>COUNTIF(INDEX($W$4:$W$200,INDEX($U$4:$U$11,AL$48)):INDEX($W$4:$W$200,INDEX($U$4:$U$11,AL$48+1)-1),AD$3&amp;"_"&amp;AD$3)/(COUNTIF(INDEX($W$4:$W$200,INDEX($U$4:$U$11,AL$48)):INDEX($W$4:$W$200,INDEX($U$4:$U$11,AL$48+1)-1),AC$3&amp;"_"&amp;AD$3)+COUNTIF(INDEX($W$4:$W$200,INDEX($U$4:$U$11,AL$48)):INDEX($W$4:$W$200,INDEX($U$4:$U$11,AL$48+1)-1),AD$3&amp;"_"&amp;AD$3))</f>
        <v>#VALUE!</v>
      </c>
      <c r="AM56" s="8"/>
      <c r="AN56" s="7"/>
      <c r="AO56" s="5"/>
      <c r="AP56" s="5"/>
      <c r="AQ56" s="8"/>
      <c r="AS56" s="5"/>
      <c r="AT56" s="5"/>
      <c r="AU56" s="8"/>
      <c r="AW56" s="5"/>
      <c r="AX56" s="5"/>
      <c r="AY56" s="8"/>
      <c r="BA56" s="5"/>
      <c r="BB56" s="5"/>
      <c r="BC56" s="8"/>
      <c r="BE56" s="5"/>
      <c r="BF56" s="5"/>
      <c r="BG56" s="8"/>
      <c r="BI56" s="5"/>
      <c r="BJ56" s="5"/>
      <c r="BK56" s="8"/>
      <c r="BL56" t="str">
        <f t="shared" ref="BL56:BL90" si="162">BD6&amp;"_"&amp;IF(INDEX($E$4:$E$200,AN6)=0,"SL",INDEX($I$4:$I$200,AN6)&amp;"_"&amp;INDEX($E$4:$E$200,AN6))</f>
        <v>FENG Tianwei_Side_FENG Tianwei</v>
      </c>
      <c r="BM56" t="str">
        <f t="shared" si="160"/>
        <v>KIHARA Miyuu_(Side)_KIHARA Miyuu</v>
      </c>
      <c r="BN56" t="str">
        <f t="shared" si="160"/>
        <v>FENG Tianwei_Back_KIHARA Miyuu</v>
      </c>
      <c r="BO56" t="str">
        <f t="shared" si="160"/>
        <v>KIHARA Miyuu_(Side)_FENG Tianwei</v>
      </c>
      <c r="BP56" t="str">
        <f t="shared" si="160"/>
        <v>FENG Tianwei_Back_KIHARA Miyuu</v>
      </c>
      <c r="BQ56" t="e">
        <f t="shared" si="160"/>
        <v>#VALUE!</v>
      </c>
      <c r="BR56" t="e">
        <f t="shared" si="160"/>
        <v>#VALUE!</v>
      </c>
      <c r="CR56" t="str">
        <f t="shared" ref="CR56:CR61" si="163">IF(BD6=$AC$3,$AD$3,$AC$3)&amp;"_"&amp;IF(INDEX($E$4:$E$200,AN6)=0,"SL",INDEX($M$4:$M$200,AN6)&amp;"_"&amp;INDEX($E$4:$E$200,AN6))</f>
        <v>KIHARA Miyuu_ドライブ_FENG Tianwei</v>
      </c>
      <c r="CS56" t="str">
        <f t="shared" ref="CS56:CS61" si="164">IF(BE6=$AC$3,$AD$3,$AC$3)&amp;"_"&amp;IF(INDEX($E$4:$E$200,AO6)=0,"SL",INDEX($M$4:$M$200,AO6)&amp;"_"&amp;INDEX($E$4:$E$200,AO6))</f>
        <v>FENG Tianwei_ドライブ_KIHARA Miyuu</v>
      </c>
      <c r="CT56" t="str">
        <f t="shared" ref="CT56:CT61" si="165">IF(BF6=$AC$3,$AD$3,$AC$3)&amp;"_"&amp;IF(INDEX($E$4:$E$200,AP6)=0,"SL",INDEX($M$4:$M$200,AP6)&amp;"_"&amp;INDEX($E$4:$E$200,AP6))</f>
        <v>KIHARA Miyuu_Stop_KIHARA Miyuu</v>
      </c>
      <c r="CU56" t="str">
        <f t="shared" ref="CU56:CU61" si="166">IF(BG6=$AC$3,$AD$3,$AC$3)&amp;"_"&amp;IF(INDEX($E$4:$E$200,AQ6)=0,"SL",INDEX($M$4:$M$200,AQ6)&amp;"_"&amp;INDEX($E$4:$E$200,AQ6))</f>
        <v>FENG Tianwei_ドライブ_FENG Tianwei</v>
      </c>
      <c r="CV56" t="str">
        <f t="shared" ref="CV56:CV61" si="167">IF(BH6=$AC$3,$AD$3,$AC$3)&amp;"_"&amp;IF(INDEX($E$4:$E$200,AR6)=0,"SL",INDEX($M$4:$M$200,AR6)&amp;"_"&amp;INDEX($E$4:$E$200,AR6))</f>
        <v>KIHARA Miyuu_Flick_KIHARA Miyuu</v>
      </c>
      <c r="CW56" t="e">
        <f t="shared" ref="CW56:CW61" si="168">IF(BI6=$AC$3,$AD$3,$AC$3)&amp;"_"&amp;IF(INDEX($E$4:$E$200,AS6)=0,"SL",INDEX($M$4:$M$200,AS6)&amp;"_"&amp;INDEX($E$4:$E$200,AS6))</f>
        <v>#VALUE!</v>
      </c>
      <c r="CX56" t="e">
        <f t="shared" ref="CX56:CX61" si="169">IF(BJ6=$AC$3,$AD$3,$AC$3)&amp;"_"&amp;IF(INDEX($E$4:$E$200,AT6)=0,"SL",INDEX($M$4:$M$200,AT6)&amp;"_"&amp;INDEX($E$4:$E$200,AT6))</f>
        <v>#VALUE!</v>
      </c>
      <c r="DH56">
        <f>IF(OR(ROW()-54&gt;INDEX($U$4:$U$11,$AC$2+1,1)-INDEX($U$4:$U$11,$AC$2,1),ROW()-54&gt;$AD$2),NA(),COUNTIF(INDEX($BL$55:$BR$100,INDEX($U$4:$U$11,1,1),$AC$2):INDEX($BL$55:$BR$100,INDEX($U$4:$U$11,1,1)+ROW()-55,$AC$2),DH$53))</f>
        <v>0</v>
      </c>
      <c r="DI56">
        <f>IF(OR(ROW()-54&gt;INDEX($U$4:$U$11,$AC$2+1,1)-INDEX($U$4:$U$11,$AC$2,1),ROW()-54&gt;$AD$2),NA(),COUNTIF(INDEX($BL$55:$BR$100,INDEX($U$4:$U$11,1,1),$AC$2):INDEX($BL$55:$BR$100,INDEX($U$4:$U$11,1,1)+ROW()-55,$AC$2),DI$53))</f>
        <v>0</v>
      </c>
      <c r="DJ56">
        <f>IF(OR(ROW()-54&gt;INDEX($U$4:$U$11,$AC$2+1,1)-INDEX($U$4:$U$11,$AC$2,1),ROW()-54&gt;$AD$2),NA(),COUNTIF(INDEX($BL$55:$BR$100,INDEX($U$4:$U$11,1,1),$AC$2):INDEX($BL$55:$BR$100,INDEX($U$4:$U$11,1,1)+ROW()-55,$AC$2),DJ$53))</f>
        <v>0</v>
      </c>
      <c r="DL56">
        <f>IF(OR(ROW()-54&gt;INDEX($U$4:$U$11,$AC$2+1,1)-INDEX($U$4:$U$11,$AC$2,1),ROW()-54&gt;$AD$2),NA(),COUNTIF(INDEX($BL$55:$BR$100,INDEX($U$4:$U$11,1,1),$AC$2):INDEX($BL$55:$BR$100,INDEX($U$4:$U$11,1,1)+ROW()-55,$AC$2),DL$53))</f>
        <v>0</v>
      </c>
      <c r="DM56">
        <f>IF(OR(ROW()-54&gt;INDEX($U$4:$U$11,$AC$2+1,1)-INDEX($U$4:$U$11,$AC$2,1),ROW()-54&gt;$AD$2),NA(),COUNTIF(INDEX($BL$55:$BR$100,INDEX($U$4:$U$11,1,1),$AC$2):INDEX($BL$5:$BR$50,INDEX($U$4:$U$11,1,1)+ROW()-55,$AC$2),DM$53))</f>
        <v>0</v>
      </c>
      <c r="DN56">
        <f>IF(OR(ROW()-54&gt;INDEX($U$4:$U$11,$AC$2+1,1)-INDEX($U$4:$U$11,$AC$2,1),ROW()-54&gt;$AD$2),NA(),COUNTIF(INDEX($BL$55:$BR$100,INDEX($U$4:$U$11,1,1),$AC$2):INDEX($BL$55:$BR$100,INDEX($U$4:$U$11,1,1)+ROW()-55,$AC$2),DN$53))</f>
        <v>0</v>
      </c>
      <c r="ET56">
        <f>IF(OR(ROW()-54&gt;INDEX($U$4:$U$11,$AC$2+1,1)-INDEX($U$4:$U$11,$AC$2,1),ROW()-54&gt;$AD$2),NA(),COUNTIF(INDEX($CR$55:$CX$90,INDEX($U$4:$U$11,1,1),$AC$2):INDEX($CR$55:$CX$90,INDEX($U$4:$U$11,1,1)+ROW()-55,$AC$2),ET$53))</f>
        <v>0</v>
      </c>
      <c r="EU56">
        <f>IF(OR(ROW()-54&gt;INDEX($U$4:$U$11,$AC$2+1,1)-INDEX($U$4:$U$11,$AC$2,1),ROW()-54&gt;$AD$2),NA(),COUNTIF(INDEX($CR$55:$CX$90,INDEX($U$4:$U$11,1,1),$AC$2):INDEX($CR$55:$CX$90,INDEX($U$4:$U$11,1,1)+ROW()-55,$AC$2),EU$53))</f>
        <v>0</v>
      </c>
      <c r="EV56">
        <f>IF(OR(ROW()-54&gt;INDEX($U$4:$U$11,$AC$2+1,1)-INDEX($U$4:$U$11,$AC$2,1),ROW()-54&gt;$AD$2),NA(),COUNTIF(INDEX($CR$55:$CX$90,INDEX($U$4:$U$11,1,1),$AC$2):INDEX($CR$55:$CX$90,INDEX($U$4:$U$11,1,1)+ROW()-55,$AC$2),EV$53))</f>
        <v>0</v>
      </c>
      <c r="EW56">
        <f>IF(OR(ROW()-54&gt;INDEX($U$4:$U$11,$AC$2+1,1)-INDEX($U$4:$U$11,$AC$2,1),ROW()-54&gt;$AD$2),NA(),COUNTIF(INDEX($CR$55:$CX$90,INDEX($U$4:$U$11,1,1),$AC$2):INDEX($CR$55:$CX$90,INDEX($U$4:$U$11,1,1)+ROW()-55,$AC$2),EW$53))</f>
        <v>0</v>
      </c>
      <c r="EX56">
        <f>IF(OR(ROW()-54&gt;INDEX($U$4:$U$11,$AC$2+1,1)-INDEX($U$4:$U$11,$AC$2,1),ROW()-54&gt;$AD$2),NA(),COUNTIF(INDEX($CR$55:$CX$90,INDEX($U$4:$U$11,1,1),$AC$2):INDEX($CR$55:$CX$90,INDEX($U$4:$U$11,1,1)+ROW()-55,$AC$2),EX$53))</f>
        <v>0</v>
      </c>
      <c r="EY56">
        <f>IF(OR(ROW()-54&gt;INDEX($U$4:$U$11,$AC$2+1,1)-INDEX($U$4:$U$11,$AC$2,1),ROW()-54&gt;$AD$2),NA(),COUNTIF(INDEX($CR$55:$CX$90,INDEX($U$4:$U$11,1,1),$AC$2):INDEX($CR$55:$CX$90,INDEX($U$4:$U$11,1,1)+ROW()-55,$AC$2),EY$53))</f>
        <v>0</v>
      </c>
      <c r="EZ56">
        <f>IF(OR(ROW()-54&gt;INDEX($U$4:$U$11,$AC$2+1,1)-INDEX($U$4:$U$11,$AC$2,1),ROW()-54&gt;$AD$2),NA(),COUNTIF(INDEX($CR$55:$CX$90,INDEX($U$4:$U$11,1,1),$AC$2):INDEX($CR$55:$CX$90,INDEX($U$4:$U$11,1,1)+ROW()-55,$AC$2),EZ$53))</f>
        <v>0</v>
      </c>
      <c r="FA56">
        <f>IF(OR(ROW()-54&gt;INDEX($U$4:$U$11,$AC$2+1,1)-INDEX($U$4:$U$11,$AC$2,1),ROW()-54&gt;$AD$2),NA(),COUNTIF(INDEX($CR$55:$CX$90,INDEX($U$4:$U$11,1,1),$AC$2):INDEX($CR$55:$CX$90,INDEX($U$4:$U$11,1,1)+ROW()-55,$AC$2),FA$53))</f>
        <v>0</v>
      </c>
      <c r="FC56">
        <f>IF(OR(ROW()-54&gt;INDEX($U$4:$U$11,$AC$2+1,1)-INDEX($U$4:$U$11,$AC$2,1),ROW()-54&gt;$AD$2),NA(),COUNTIF(INDEX($CR$55:$CX$90,INDEX($U$4:$U$11,1,1),$AC$2):INDEX($CR$55:$CX$90,INDEX($U$4:$U$11,1,1)+ROW()-55,$AC$2),FC$53))</f>
        <v>0</v>
      </c>
      <c r="FD56">
        <f>IF(OR(ROW()-54&gt;INDEX($U$4:$U$11,$AC$2+1,1)-INDEX($U$4:$U$11,$AC$2,1),ROW()-54&gt;$AD$2),NA(),COUNTIF(INDEX($CR$55:$CX$90,INDEX($U$4:$U$11,1,1),$AC$2):INDEX($CR$55:$CX$90,INDEX($U$4:$U$11,1,1)+ROW()-55,$AC$2),FD$53))</f>
        <v>0</v>
      </c>
      <c r="FE56">
        <f>IF(OR(ROW()-54&gt;INDEX($U$4:$U$11,$AC$2+1,1)-INDEX($U$4:$U$11,$AC$2,1),ROW()-54&gt;$AD$2),NA(),COUNTIF(INDEX($CR$55:$CX$90,INDEX($U$4:$U$11,1,1),$AC$2):INDEX($CR$55:$CX$90,INDEX($U$4:$U$11,1,1)+ROW()-55,$AC$2),FE$53))</f>
        <v>0</v>
      </c>
      <c r="FF56">
        <f>IF(OR(ROW()-54&gt;INDEX($U$4:$U$11,$AC$2+1,1)-INDEX($U$4:$U$11,$AC$2,1),ROW()-54&gt;$AD$2),NA(),COUNTIF(INDEX($CR$55:$CX$90,INDEX($U$4:$U$11,1,1),$AC$2):INDEX($CR$55:$CX$90,INDEX($U$4:$U$11,1,1)+ROW()-55,$AC$2),FF$53))</f>
        <v>1</v>
      </c>
      <c r="FG56">
        <f>IF(OR(ROW()-54&gt;INDEX($U$4:$U$11,$AC$2+1,1)-INDEX($U$4:$U$11,$AC$2,1),ROW()-54&gt;$AD$2),NA(),COUNTIF(INDEX($CR$55:$CX$90,INDEX($U$4:$U$11,1,1),$AC$2):INDEX($CR$55:$CX$90,INDEX($U$4:$U$11,1,1)+ROW()-55,$AC$2),FG$53))</f>
        <v>0</v>
      </c>
      <c r="FH56">
        <f>IF(OR(ROW()-54&gt;INDEX($U$4:$U$11,$AC$2+1,1)-INDEX($U$4:$U$11,$AC$2,1),ROW()-54&gt;$AD$2),NA(),COUNTIF(INDEX($CR$55:$CX$90,INDEX($U$4:$U$11,1,1),$AC$2):INDEX($CR$55:$CX$90,INDEX($U$4:$U$11,1,1)+ROW()-55,$AC$2),FH$53))</f>
        <v>1</v>
      </c>
      <c r="FI56">
        <f>IF(OR(ROW()-54&gt;INDEX($U$4:$U$11,$AC$2+1,1)-INDEX($U$4:$U$11,$AC$2,1),ROW()-54&gt;$AD$2),NA(),COUNTIF(INDEX($CR$55:$CX$90,INDEX($U$4:$U$11,1,1),$AC$2):INDEX($CR$55:$CX$90,INDEX($U$4:$U$11,1,1)+ROW()-55,$AC$2),FI$53))</f>
        <v>0</v>
      </c>
      <c r="FJ56">
        <f>IF(OR(ROW()-54&gt;INDEX($U$4:$U$11,$AC$2+1,1)-INDEX($U$4:$U$11,$AC$2,1),ROW()-54&gt;$AD$2),NA(),COUNTIF(INDEX($CR$55:$CX$90,INDEX($U$4:$U$11,1,1),$AC$2):INDEX($CR$55:$CX$90,INDEX($U$4:$U$11,1,1)+ROW()-55,$AC$2),FJ$53))</f>
        <v>0</v>
      </c>
      <c r="GO56" s="16"/>
      <c r="GP56" s="17"/>
      <c r="GQ56" s="17" t="s">
        <v>66</v>
      </c>
      <c r="GR56" s="17"/>
      <c r="GS56" s="17"/>
      <c r="GT56" s="17"/>
      <c r="GU56" s="17"/>
      <c r="GV56" s="43"/>
      <c r="GW56" s="43"/>
      <c r="GX56" s="43"/>
      <c r="GY56" s="43"/>
      <c r="GZ56" s="17"/>
      <c r="HA56" s="17"/>
      <c r="HB56" s="17"/>
      <c r="HC56" s="17"/>
      <c r="HD56" s="17"/>
      <c r="HE56" s="17" t="s">
        <v>56</v>
      </c>
      <c r="HF56" s="46">
        <f>FE43</f>
        <v>7</v>
      </c>
      <c r="HG56" s="43"/>
      <c r="HH56" s="59">
        <f>FE$93</f>
        <v>4</v>
      </c>
      <c r="HI56" s="59">
        <f t="shared" si="159"/>
        <v>3</v>
      </c>
      <c r="HJ56" s="43"/>
      <c r="HK56" s="43"/>
      <c r="HL56" s="43"/>
      <c r="HM56" s="44"/>
    </row>
    <row r="57" spans="1:221" x14ac:dyDescent="0.45">
      <c r="A57" t="str">
        <f>データの貼付!A55</f>
        <v>KIHARA Miyuu</v>
      </c>
      <c r="B57">
        <f>データの貼付!B55</f>
        <v>1.5116180555555555E-2</v>
      </c>
      <c r="C57">
        <f>データの貼付!C55</f>
        <v>6.8738425925925936E-5</v>
      </c>
      <c r="D57">
        <f>データの貼付!D55</f>
        <v>4.3055555555555562E-2</v>
      </c>
      <c r="E57" t="str">
        <f>データの貼付!F55</f>
        <v>FENG Tianwei</v>
      </c>
      <c r="F57">
        <f>データの貼付!E55</f>
        <v>4.1666666666666664E-2</v>
      </c>
      <c r="G57" t="str">
        <f>データの貼付!G55</f>
        <v>#04</v>
      </c>
      <c r="H57" t="str">
        <f>データの貼付!H55</f>
        <v>KIHARA Miyuu</v>
      </c>
      <c r="I57" t="str">
        <f>データの貼付!I55</f>
        <v>(Side)</v>
      </c>
      <c r="J57" t="str">
        <f>データの貼付!J55</f>
        <v>B</v>
      </c>
      <c r="K57" t="str">
        <f>データの貼付!K55</f>
        <v>FS</v>
      </c>
      <c r="L57" t="str">
        <f>データの貼付!L55</f>
        <v>F</v>
      </c>
      <c r="M57" t="str">
        <f>データの貼付!M55</f>
        <v>Push</v>
      </c>
      <c r="N57" t="str">
        <f>データの貼付!N55</f>
        <v>BM</v>
      </c>
      <c r="R57">
        <f t="shared" si="59"/>
        <v>0</v>
      </c>
      <c r="S57">
        <f>SUM(R$4:R57)</f>
        <v>4</v>
      </c>
      <c r="T57" t="str">
        <f t="shared" si="60"/>
        <v/>
      </c>
      <c r="W57" t="str">
        <f t="shared" si="57"/>
        <v>FENG Tianwei_KIHARA Miyuu</v>
      </c>
      <c r="X57" t="str">
        <f t="shared" si="58"/>
        <v>FENG Tianwei_#04</v>
      </c>
      <c r="AC57" s="3"/>
      <c r="AD57" s="5" t="s">
        <v>16</v>
      </c>
      <c r="AE57" s="8">
        <f>COUNTIF(INDEX($W$4:$W$200,1):INDEX($W$4:$W$200,AE48),AD$3&amp;"_"&amp;AC$3)/(COUNTIF(INDEX($W$4:$W$200,1):INDEX($W$4:$W$200,AE48),AD$3&amp;"_"&amp;AC$3)+COUNTIF(INDEX($W$4:$W$200,1):INDEX($W$4:$W$200,AE48),AC$3&amp;"_"&amp;AC$3))</f>
        <v>0.44444444444444442</v>
      </c>
      <c r="AF57" s="8">
        <f>COUNTIF(INDEX($W$4:$W$200,INDEX($U$4:$U$11,AF$48)):INDEX($W$4:$W$200,INDEX($U$4:$U$11,AF$48+1)-1),$AD$3&amp;"_"&amp;$AC$3)/(COUNTIF(INDEX($W$4:$W$200,INDEX($U$4:$U$11,AF$48)):INDEX($W$4:$W$200,INDEX($U$4:$U$11,AF$48+1)-1),$AD$3&amp;"_"&amp;$AC$3)+COUNTIF(INDEX($W$4:$W$200,INDEX($U$4:$U$11,AF$48)):INDEX($W$4:$W$200,INDEX($U$4:$U$11,AF$48+1)-1),$AC$3&amp;"_"&amp;$AC$3))</f>
        <v>0.5</v>
      </c>
      <c r="AG57" s="8">
        <f>COUNTIF(INDEX($W$4:$W$200,INDEX($U$4:$U$11,AG$48)):INDEX($W$4:$W$200,INDEX($U$4:$U$11,AG$48+1)-1),$AD$3&amp;"_"&amp;$AC$3)/(COUNTIF(INDEX($W$4:$W$200,INDEX($U$4:$U$11,AG$48)):INDEX($W$4:$W$200,INDEX($U$4:$U$11,AG$48+1)-1),$AD$3&amp;"_"&amp;$AC$3)+COUNTIF(INDEX($W$4:$W$200,INDEX($U$4:$U$11,AG$48)):INDEX($W$4:$W$200,INDEX($U$4:$U$11,AG$48+1)-1),$AC$3&amp;"_"&amp;$AC$3))</f>
        <v>0.7142857142857143</v>
      </c>
      <c r="AH57" s="8">
        <f>COUNTIF(INDEX($W$4:$W$200,INDEX($U$4:$U$11,AH$48)):INDEX($W$4:$W$200,INDEX($U$4:$U$11,AH$48+1)-1),$AD$3&amp;"_"&amp;$AC$3)/(COUNTIF(INDEX($W$4:$W$200,INDEX($U$4:$U$11,AH$48)):INDEX($W$4:$W$200,INDEX($U$4:$U$11,AH$48+1)-1),$AD$3&amp;"_"&amp;$AC$3)+COUNTIF(INDEX($W$4:$W$200,INDEX($U$4:$U$11,AH$48)):INDEX($W$4:$W$200,INDEX($U$4:$U$11,AH$48+1)-1),$AC$3&amp;"_"&amp;$AC$3))</f>
        <v>0.25</v>
      </c>
      <c r="AI57" s="8">
        <f>COUNTIF(INDEX($W$4:$W$200,INDEX($U$4:$U$11,AI$48)):INDEX($W$4:$W$200,INDEX($U$4:$U$11,AI$48+1)-1),$AD$3&amp;"_"&amp;$AC$3)/(COUNTIF(INDEX($W$4:$W$200,INDEX($U$4:$U$11,AI$48)):INDEX($W$4:$W$200,INDEX($U$4:$U$11,AI$48+1)-1),$AD$3&amp;"_"&amp;$AC$3)+COUNTIF(INDEX($W$4:$W$200,INDEX($U$4:$U$11,AI$48)):INDEX($W$4:$W$200,INDEX($U$4:$U$11,AI$48+1)-1),$AC$3&amp;"_"&amp;$AC$3))</f>
        <v>0.22222222222222221</v>
      </c>
      <c r="AJ57" s="8">
        <f>COUNTIF(INDEX($W$4:$W$200,INDEX($U$4:$U$11,AJ$48)):INDEX($W$4:$W$200,INDEX($U$4:$U$11,AJ$48+1)-1),$AD$3&amp;"_"&amp;$AC$3)/(COUNTIF(INDEX($W$4:$W$200,INDEX($U$4:$U$11,AJ$48)):INDEX($W$4:$W$200,INDEX($U$4:$U$11,AJ$48+1)-1),$AD$3&amp;"_"&amp;$AC$3)+COUNTIF(INDEX($W$4:$W$200,INDEX($U$4:$U$11,AJ$48)):INDEX($W$4:$W$200,INDEX($U$4:$U$11,AJ$48+1)-1),$AC$3&amp;"_"&amp;$AC$3))</f>
        <v>0.75</v>
      </c>
      <c r="AK57" s="8" t="e">
        <f>COUNTIF(INDEX($W$4:$W$200,INDEX($U$4:$U$11,AK$48)):INDEX($W$4:$W$200,INDEX($U$4:$U$11,AK$48+1)-1),$AD$3&amp;"_"&amp;$AC$3)/(COUNTIF(INDEX($W$4:$W$200,INDEX($U$4:$U$11,AK$48)):INDEX($W$4:$W$200,INDEX($U$4:$U$11,AK$48+1)-1),$AD$3&amp;"_"&amp;$AC$3)+COUNTIF(INDEX($W$4:$W$200,INDEX($U$4:$U$11,AK$48)):INDEX($W$4:$W$200,INDEX($U$4:$U$11,AK$48+1)-1),$AC$3&amp;"_"&amp;$AC$3))</f>
        <v>#VALUE!</v>
      </c>
      <c r="AL57" s="8" t="e">
        <f>COUNTIF(INDEX($W$4:$W$200,INDEX($U$4:$U$11,AL$48)):INDEX($W$4:$W$200,INDEX($U$4:$U$11,AL$48+1)-1),$AD$3&amp;"_"&amp;$AC$3)/(COUNTIF(INDEX($W$4:$W$200,INDEX($U$4:$U$11,AL$48)):INDEX($W$4:$W$200,INDEX($U$4:$U$11,AL$48+1)-1),$AD$3&amp;"_"&amp;$AC$3)+COUNTIF(INDEX($W$4:$W$200,INDEX($U$4:$U$11,AL$48)):INDEX($W$4:$W$200,INDEX($U$4:$U$11,AL$48+1)-1),$AC$3&amp;"_"&amp;$AC$3))</f>
        <v>#VALUE!</v>
      </c>
      <c r="AM57" s="8"/>
      <c r="AN57" s="7"/>
      <c r="AO57" s="5"/>
      <c r="AP57" s="5"/>
      <c r="AQ57" s="8"/>
      <c r="AS57" s="5"/>
      <c r="AT57" s="5"/>
      <c r="AU57" s="8"/>
      <c r="AW57" s="5"/>
      <c r="AX57" s="5"/>
      <c r="AY57" s="8"/>
      <c r="BA57" s="5"/>
      <c r="BB57" s="5"/>
      <c r="BC57" s="8"/>
      <c r="BE57" s="5"/>
      <c r="BF57" s="5"/>
      <c r="BG57" s="8"/>
      <c r="BI57" s="5"/>
      <c r="BJ57" s="5"/>
      <c r="BK57" s="8"/>
      <c r="BL57" t="str">
        <f t="shared" si="162"/>
        <v>KIHARA Miyuu_(Side)_KIHARA Miyuu</v>
      </c>
      <c r="BM57" t="str">
        <f t="shared" si="160"/>
        <v>FENG Tianwei_Side_KIHARA Miyuu</v>
      </c>
      <c r="BN57" t="str">
        <f t="shared" si="160"/>
        <v>KIHARA Miyuu_(Side)_KIHARA Miyuu</v>
      </c>
      <c r="BO57" t="str">
        <f t="shared" si="160"/>
        <v>FENG Tianwei_Side_FENG Tianwei</v>
      </c>
      <c r="BP57" t="str">
        <f t="shared" si="160"/>
        <v>KIHARA Miyuu_(Side)_FENG Tianwei</v>
      </c>
      <c r="BQ57" t="e">
        <f t="shared" si="160"/>
        <v>#VALUE!</v>
      </c>
      <c r="BR57" t="e">
        <f t="shared" si="160"/>
        <v>#VALUE!</v>
      </c>
      <c r="CR57" t="str">
        <f t="shared" si="163"/>
        <v>FENG Tianwei_ドライブ_KIHARA Miyuu</v>
      </c>
      <c r="CS57" t="str">
        <f t="shared" si="164"/>
        <v>KIHARA Miyuu_ドライブ_KIHARA Miyuu</v>
      </c>
      <c r="CT57" t="str">
        <f t="shared" si="165"/>
        <v>FENG Tianwei_Chiquita_KIHARA Miyuu</v>
      </c>
      <c r="CU57" t="str">
        <f t="shared" si="166"/>
        <v>KIHARA Miyuu_ドライブ_FENG Tianwei</v>
      </c>
      <c r="CV57" t="str">
        <f t="shared" si="167"/>
        <v>FENG Tianwei_Chiquita_FENG Tianwei</v>
      </c>
      <c r="CW57" t="e">
        <f t="shared" si="168"/>
        <v>#VALUE!</v>
      </c>
      <c r="CX57" t="e">
        <f t="shared" si="169"/>
        <v>#VALUE!</v>
      </c>
      <c r="DH57">
        <f>IF(OR(ROW()-54&gt;INDEX($U$4:$U$11,$AC$2+1,1)-INDEX($U$4:$U$11,$AC$2,1),ROW()-54&gt;$AD$2),NA(),COUNTIF(INDEX($BL$55:$BR$100,INDEX($U$4:$U$11,1,1),$AC$2):INDEX($BL$55:$BR$100,INDEX($U$4:$U$11,1,1)+ROW()-55,$AC$2),DH$53))</f>
        <v>0</v>
      </c>
      <c r="DI57">
        <f>IF(OR(ROW()-54&gt;INDEX($U$4:$U$11,$AC$2+1,1)-INDEX($U$4:$U$11,$AC$2,1),ROW()-54&gt;$AD$2),NA(),COUNTIF(INDEX($BL$55:$BR$100,INDEX($U$4:$U$11,1,1),$AC$2):INDEX($BL$55:$BR$100,INDEX($U$4:$U$11,1,1)+ROW()-55,$AC$2),DI$53))</f>
        <v>0</v>
      </c>
      <c r="DJ57">
        <f>IF(OR(ROW()-54&gt;INDEX($U$4:$U$11,$AC$2+1,1)-INDEX($U$4:$U$11,$AC$2,1),ROW()-54&gt;$AD$2),NA(),COUNTIF(INDEX($BL$55:$BR$100,INDEX($U$4:$U$11,1,1),$AC$2):INDEX($BL$55:$BR$100,INDEX($U$4:$U$11,1,1)+ROW()-55,$AC$2),DJ$53))</f>
        <v>0</v>
      </c>
      <c r="DL57">
        <f>IF(OR(ROW()-54&gt;INDEX($U$4:$U$11,$AC$2+1,1)-INDEX($U$4:$U$11,$AC$2,1),ROW()-54&gt;$AD$2),NA(),COUNTIF(INDEX($BL$55:$BR$100,INDEX($U$4:$U$11,1,1),$AC$2):INDEX($BL$55:$BR$100,INDEX($U$4:$U$11,1,1)+ROW()-55,$AC$2),DL$53))</f>
        <v>0</v>
      </c>
      <c r="DM57">
        <f>IF(OR(ROW()-54&gt;INDEX($U$4:$U$11,$AC$2+1,1)-INDEX($U$4:$U$11,$AC$2,1),ROW()-54&gt;$AD$2),NA(),COUNTIF(INDEX($BL$55:$BR$100,INDEX($U$4:$U$11,1,1),$AC$2):INDEX($BL$5:$BR$50,INDEX($U$4:$U$11,1,1)+ROW()-55,$AC$2),DM$53))</f>
        <v>0</v>
      </c>
      <c r="DN57">
        <f>IF(OR(ROW()-54&gt;INDEX($U$4:$U$11,$AC$2+1,1)-INDEX($U$4:$U$11,$AC$2,1),ROW()-54&gt;$AD$2),NA(),COUNTIF(INDEX($BL$55:$BR$100,INDEX($U$4:$U$11,1,1),$AC$2):INDEX($BL$55:$BR$100,INDEX($U$4:$U$11,1,1)+ROW()-55,$AC$2),DN$53))</f>
        <v>1</v>
      </c>
      <c r="ET57">
        <f>IF(OR(ROW()-54&gt;INDEX($U$4:$U$11,$AC$2+1,1)-INDEX($U$4:$U$11,$AC$2,1),ROW()-54&gt;$AD$2),NA(),COUNTIF(INDEX($CR$55:$CX$90,INDEX($U$4:$U$11,1,1),$AC$2):INDEX($CR$55:$CX$90,INDEX($U$4:$U$11,1,1)+ROW()-55,$AC$2),ET$53))</f>
        <v>0</v>
      </c>
      <c r="EU57">
        <f>IF(OR(ROW()-54&gt;INDEX($U$4:$U$11,$AC$2+1,1)-INDEX($U$4:$U$11,$AC$2,1),ROW()-54&gt;$AD$2),NA(),COUNTIF(INDEX($CR$55:$CX$90,INDEX($U$4:$U$11,1,1),$AC$2):INDEX($CR$55:$CX$90,INDEX($U$4:$U$11,1,1)+ROW()-55,$AC$2),EU$53))</f>
        <v>0</v>
      </c>
      <c r="EV57">
        <f>IF(OR(ROW()-54&gt;INDEX($U$4:$U$11,$AC$2+1,1)-INDEX($U$4:$U$11,$AC$2,1),ROW()-54&gt;$AD$2),NA(),COUNTIF(INDEX($CR$55:$CX$90,INDEX($U$4:$U$11,1,1),$AC$2):INDEX($CR$55:$CX$90,INDEX($U$4:$U$11,1,1)+ROW()-55,$AC$2),EV$53))</f>
        <v>0</v>
      </c>
      <c r="EW57">
        <f>IF(OR(ROW()-54&gt;INDEX($U$4:$U$11,$AC$2+1,1)-INDEX($U$4:$U$11,$AC$2,1),ROW()-54&gt;$AD$2),NA(),COUNTIF(INDEX($CR$55:$CX$90,INDEX($U$4:$U$11,1,1),$AC$2):INDEX($CR$55:$CX$90,INDEX($U$4:$U$11,1,1)+ROW()-55,$AC$2),EW$53))</f>
        <v>0</v>
      </c>
      <c r="EX57">
        <f>IF(OR(ROW()-54&gt;INDEX($U$4:$U$11,$AC$2+1,1)-INDEX($U$4:$U$11,$AC$2,1),ROW()-54&gt;$AD$2),NA(),COUNTIF(INDEX($CR$55:$CX$90,INDEX($U$4:$U$11,1,1),$AC$2):INDEX($CR$55:$CX$90,INDEX($U$4:$U$11,1,1)+ROW()-55,$AC$2),EX$53))</f>
        <v>0</v>
      </c>
      <c r="EY57">
        <f>IF(OR(ROW()-54&gt;INDEX($U$4:$U$11,$AC$2+1,1)-INDEX($U$4:$U$11,$AC$2,1),ROW()-54&gt;$AD$2),NA(),COUNTIF(INDEX($CR$55:$CX$90,INDEX($U$4:$U$11,1,1),$AC$2):INDEX($CR$55:$CX$90,INDEX($U$4:$U$11,1,1)+ROW()-55,$AC$2),EY$53))</f>
        <v>0</v>
      </c>
      <c r="EZ57">
        <f>IF(OR(ROW()-54&gt;INDEX($U$4:$U$11,$AC$2+1,1)-INDEX($U$4:$U$11,$AC$2,1),ROW()-54&gt;$AD$2),NA(),COUNTIF(INDEX($CR$55:$CX$90,INDEX($U$4:$U$11,1,1),$AC$2):INDEX($CR$55:$CX$90,INDEX($U$4:$U$11,1,1)+ROW()-55,$AC$2),EZ$53))</f>
        <v>0</v>
      </c>
      <c r="FA57">
        <f>IF(OR(ROW()-54&gt;INDEX($U$4:$U$11,$AC$2+1,1)-INDEX($U$4:$U$11,$AC$2,1),ROW()-54&gt;$AD$2),NA(),COUNTIF(INDEX($CR$55:$CX$90,INDEX($U$4:$U$11,1,1),$AC$2):INDEX($CR$55:$CX$90,INDEX($U$4:$U$11,1,1)+ROW()-55,$AC$2),FA$53))</f>
        <v>0</v>
      </c>
      <c r="FC57">
        <f>IF(OR(ROW()-54&gt;INDEX($U$4:$U$11,$AC$2+1,1)-INDEX($U$4:$U$11,$AC$2,1),ROW()-54&gt;$AD$2),NA(),COUNTIF(INDEX($CR$55:$CX$90,INDEX($U$4:$U$11,1,1),$AC$2):INDEX($CR$55:$CX$90,INDEX($U$4:$U$11,1,1)+ROW()-55,$AC$2),FC$53))</f>
        <v>0</v>
      </c>
      <c r="FD57">
        <f>IF(OR(ROW()-54&gt;INDEX($U$4:$U$11,$AC$2+1,1)-INDEX($U$4:$U$11,$AC$2,1),ROW()-54&gt;$AD$2),NA(),COUNTIF(INDEX($CR$55:$CX$90,INDEX($U$4:$U$11,1,1),$AC$2):INDEX($CR$55:$CX$90,INDEX($U$4:$U$11,1,1)+ROW()-55,$AC$2),FD$53))</f>
        <v>0</v>
      </c>
      <c r="FE57">
        <f>IF(OR(ROW()-54&gt;INDEX($U$4:$U$11,$AC$2+1,1)-INDEX($U$4:$U$11,$AC$2,1),ROW()-54&gt;$AD$2),NA(),COUNTIF(INDEX($CR$55:$CX$90,INDEX($U$4:$U$11,1,1),$AC$2):INDEX($CR$55:$CX$90,INDEX($U$4:$U$11,1,1)+ROW()-55,$AC$2),FE$53))</f>
        <v>0</v>
      </c>
      <c r="FF57">
        <f>IF(OR(ROW()-54&gt;INDEX($U$4:$U$11,$AC$2+1,1)-INDEX($U$4:$U$11,$AC$2,1),ROW()-54&gt;$AD$2),NA(),COUNTIF(INDEX($CR$55:$CX$90,INDEX($U$4:$U$11,1,1),$AC$2):INDEX($CR$55:$CX$90,INDEX($U$4:$U$11,1,1)+ROW()-55,$AC$2),FF$53))</f>
        <v>1</v>
      </c>
      <c r="FG57">
        <f>IF(OR(ROW()-54&gt;INDEX($U$4:$U$11,$AC$2+1,1)-INDEX($U$4:$U$11,$AC$2,1),ROW()-54&gt;$AD$2),NA(),COUNTIF(INDEX($CR$55:$CX$90,INDEX($U$4:$U$11,1,1),$AC$2):INDEX($CR$55:$CX$90,INDEX($U$4:$U$11,1,1)+ROW()-55,$AC$2),FG$53))</f>
        <v>0</v>
      </c>
      <c r="FH57">
        <f>IF(OR(ROW()-54&gt;INDEX($U$4:$U$11,$AC$2+1,1)-INDEX($U$4:$U$11,$AC$2,1),ROW()-54&gt;$AD$2),NA(),COUNTIF(INDEX($CR$55:$CX$90,INDEX($U$4:$U$11,1,1),$AC$2):INDEX($CR$55:$CX$90,INDEX($U$4:$U$11,1,1)+ROW()-55,$AC$2),FH$53))</f>
        <v>1</v>
      </c>
      <c r="FI57">
        <f>IF(OR(ROW()-54&gt;INDEX($U$4:$U$11,$AC$2+1,1)-INDEX($U$4:$U$11,$AC$2,1),ROW()-54&gt;$AD$2),NA(),COUNTIF(INDEX($CR$55:$CX$90,INDEX($U$4:$U$11,1,1),$AC$2):INDEX($CR$55:$CX$90,INDEX($U$4:$U$11,1,1)+ROW()-55,$AC$2),FI$53))</f>
        <v>0</v>
      </c>
      <c r="FJ57">
        <f>IF(OR(ROW()-54&gt;INDEX($U$4:$U$11,$AC$2+1,1)-INDEX($U$4:$U$11,$AC$2,1),ROW()-54&gt;$AD$2),NA(),COUNTIF(INDEX($CR$55:$CX$90,INDEX($U$4:$U$11,1,1),$AC$2):INDEX($CR$55:$CX$90,INDEX($U$4:$U$11,1,1)+ROW()-55,$AC$2),FJ$53))</f>
        <v>0</v>
      </c>
      <c r="GO57" s="16"/>
      <c r="GP57" s="17"/>
      <c r="GQ57" s="17"/>
      <c r="GR57" s="17"/>
      <c r="GS57" s="17"/>
      <c r="GT57" s="17"/>
      <c r="GU57" s="17"/>
      <c r="GV57" s="17" t="s">
        <v>66</v>
      </c>
      <c r="GW57" s="17"/>
      <c r="GX57" s="17"/>
      <c r="GY57" s="17"/>
      <c r="GZ57" s="17"/>
      <c r="HA57" s="17"/>
      <c r="HB57" s="17"/>
      <c r="HC57" s="17"/>
      <c r="HD57" s="17"/>
      <c r="HE57" s="17" t="s">
        <v>57</v>
      </c>
      <c r="HF57" s="46">
        <f>FF43</f>
        <v>5</v>
      </c>
      <c r="HG57" s="43"/>
      <c r="HH57" s="59">
        <f>FF93</f>
        <v>3</v>
      </c>
      <c r="HI57" s="59">
        <f t="shared" si="159"/>
        <v>2</v>
      </c>
      <c r="HJ57" s="17" t="s">
        <v>66</v>
      </c>
      <c r="HK57" s="17"/>
      <c r="HL57" s="17"/>
      <c r="HM57" s="18"/>
    </row>
    <row r="58" spans="1:221" x14ac:dyDescent="0.45">
      <c r="A58" t="str">
        <f>データの貼付!A56</f>
        <v>FENG Tianwei</v>
      </c>
      <c r="B58">
        <f>データの貼付!B56</f>
        <v>1.5376469907407408E-2</v>
      </c>
      <c r="C58">
        <f>データの貼付!C56</f>
        <v>7.3368055555555564E-5</v>
      </c>
      <c r="D58">
        <f>データの貼付!D56</f>
        <v>4.3055555555555562E-2</v>
      </c>
      <c r="E58" t="str">
        <f>データの貼付!F56</f>
        <v>FENG Tianwei</v>
      </c>
      <c r="F58">
        <f>データの貼付!E56</f>
        <v>4.1666666666666664E-2</v>
      </c>
      <c r="G58" t="str">
        <f>データの貼付!G56</f>
        <v>#05</v>
      </c>
      <c r="H58" t="str">
        <f>データの貼付!H56</f>
        <v>FENG Tianwei</v>
      </c>
      <c r="I58" t="str">
        <f>データの貼付!I56</f>
        <v>Back</v>
      </c>
      <c r="J58" t="str">
        <f>データの貼付!J56</f>
        <v>B</v>
      </c>
      <c r="K58" t="str">
        <f>データの貼付!K56</f>
        <v>FS</v>
      </c>
      <c r="L58" t="str">
        <f>データの貼付!L56</f>
        <v>F</v>
      </c>
      <c r="M58" t="str">
        <f>データの貼付!M56</f>
        <v>Push</v>
      </c>
      <c r="N58" t="str">
        <f>データの貼付!N56</f>
        <v>F</v>
      </c>
      <c r="R58">
        <f t="shared" si="59"/>
        <v>0</v>
      </c>
      <c r="S58">
        <f>SUM(R$4:R58)</f>
        <v>4</v>
      </c>
      <c r="T58" t="str">
        <f t="shared" si="60"/>
        <v/>
      </c>
      <c r="W58" t="str">
        <f t="shared" si="57"/>
        <v>FENG Tianwei_FENG Tianwei</v>
      </c>
      <c r="X58" t="str">
        <f t="shared" si="58"/>
        <v>FENG Tianwei_#05</v>
      </c>
      <c r="AC58" s="3"/>
      <c r="AD58" s="5" t="s">
        <v>18</v>
      </c>
      <c r="AE58" s="9">
        <f>COUNTIF(INDEX($X$4:$X$200,1):INDEX($X$4:$X$200,AE48),AD3&amp;"_#03")/(COUNTIF(INDEX($W$4:$W$200,1):INDEX($W$4:$W$200,AE48),AD$3&amp;"_"&amp;AD$3)+COUNTIF(INDEX($W$4:$W$200,1):INDEX($W$4:$W$200,AE48),AC$3&amp;"_"&amp;AD$3))</f>
        <v>0.24324324324324326</v>
      </c>
      <c r="AF58" s="9">
        <f>COUNTIF(INDEX($X$4:$X$200,INDEX($U$4:$U$11,AF$48)):INDEX($X$4:$X$200,INDEX($U$4:$U$11,AF$48+1)),$AD3&amp;"_#03")/(COUNTIF(INDEX($W$4:$W$200,INDEX($U$4:$U$11,AF$48)):INDEX($W$4:$W$200,INDEX($U$4:$U$11,AF$48+1)-1),$AD$3&amp;"_"&amp;$AD$3)+COUNTIF(INDEX($W$4:$W$200,INDEX($U$4:$U$11,AF$48)):INDEX($W$4:$W$200,INDEX($U$4:$U$11,AF$48+1)-1),$AC$3&amp;"_"&amp;$AD$3))</f>
        <v>0.42857142857142855</v>
      </c>
      <c r="AG58" s="9">
        <f>COUNTIF(INDEX($X$4:$X$200,INDEX($U$4:$U$11,AG$48)):INDEX($X$4:$X$200,INDEX($U$4:$U$11,AG$48+1)),$AD3&amp;"_#03")/(COUNTIF(INDEX($W$4:$W$200,INDEX($U$4:$U$11,AG$48)):INDEX($W$4:$W$200,INDEX($U$4:$U$11,AG$48+1)-1),$AD$3&amp;"_"&amp;$AD$3)+COUNTIF(INDEX($W$4:$W$200,INDEX($U$4:$U$11,AG$48)):INDEX($W$4:$W$200,INDEX($U$4:$U$11,AG$48+1)-1),$AC$3&amp;"_"&amp;$AD$3))</f>
        <v>0.375</v>
      </c>
      <c r="AH58" s="9">
        <f>COUNTIF(INDEX($X$4:$X$200,INDEX($U$4:$U$11,AH$48)):INDEX($X$4:$X$200,INDEX($U$4:$U$11,AH$48+1)),$AD3&amp;"_#03")/(COUNTIF(INDEX($W$4:$W$200,INDEX($U$4:$U$11,AH$48)):INDEX($W$4:$W$200,INDEX($U$4:$U$11,AH$48+1)-1),$AD$3&amp;"_"&amp;$AD$3)+COUNTIF(INDEX($W$4:$W$200,INDEX($U$4:$U$11,AH$48)):INDEX($W$4:$W$200,INDEX($U$4:$U$11,AH$48+1)-1),$AC$3&amp;"_"&amp;$AD$3))</f>
        <v>0.125</v>
      </c>
      <c r="AI58" s="9">
        <f>COUNTIF(INDEX($X$4:$X$200,INDEX($U$4:$U$11,AI$48)):INDEX($X$4:$X$200,INDEX($U$4:$U$11,AI$48+1)),$AD3&amp;"_#03")/(COUNTIF(INDEX($W$4:$W$200,INDEX($U$4:$U$11,AI$48)):INDEX($W$4:$W$200,INDEX($U$4:$U$11,AI$48+1)-1),$AD$3&amp;"_"&amp;$AD$3)+COUNTIF(INDEX($W$4:$W$200,INDEX($U$4:$U$11,AI$48)):INDEX($W$4:$W$200,INDEX($U$4:$U$11,AI$48+1)-1),$AC$3&amp;"_"&amp;$AD$3))</f>
        <v>0.3</v>
      </c>
      <c r="AJ58" s="9">
        <f>COUNTIF(INDEX($X$4:$X$200,INDEX($U$4:$U$11,AJ$48)):INDEX($X$4:$X$200,INDEX($U$4:$U$11,AJ$48+1)),$AD3&amp;"_#03")/(COUNTIF(INDEX($W$4:$W$200,INDEX($U$4:$U$11,AJ$48)):INDEX($W$4:$W$200,INDEX($U$4:$U$11,AJ$48+1)-1),$AD$3&amp;"_"&amp;$AD$3)+COUNTIF(INDEX($W$4:$W$200,INDEX($U$4:$U$11,AJ$48)):INDEX($W$4:$W$200,INDEX($U$4:$U$11,AJ$48+1)-1),$AC$3&amp;"_"&amp;$AD$3))</f>
        <v>0</v>
      </c>
      <c r="AK58" s="9" t="e">
        <f>COUNTIF(INDEX($X$4:$X$200,INDEX($U$4:$U$11,AK$48)):INDEX($X$4:$X$200,INDEX($U$4:$U$11,AK$48+1)),$AD3&amp;"_#03")/(COUNTIF(INDEX($W$4:$W$200,INDEX($U$4:$U$11,AK$48)):INDEX($W$4:$W$200,INDEX($U$4:$U$11,AK$48+1)-1),$AD$3&amp;"_"&amp;$AD$3)+COUNTIF(INDEX($W$4:$W$200,INDEX($U$4:$U$11,AK$48)):INDEX($W$4:$W$200,INDEX($U$4:$U$11,AK$48+1)-1),$AC$3&amp;"_"&amp;$AD$3))</f>
        <v>#VALUE!</v>
      </c>
      <c r="AL58" s="9" t="e">
        <f>COUNTIF(INDEX($X$4:$X$200,INDEX($U$4:$U$11,AL$48)):INDEX($X$4:$X$200,INDEX($U$4:$U$11,AL$48+1)),$AD3&amp;"_#03")/(COUNTIF(INDEX($W$4:$W$200,INDEX($U$4:$U$11,AL$48)):INDEX($W$4:$W$200,INDEX($U$4:$U$11,AL$48+1)-1),$AD$3&amp;"_"&amp;$AD$3)+COUNTIF(INDEX($W$4:$W$200,INDEX($U$4:$U$11,AL$48)):INDEX($W$4:$W$200,INDEX($U$4:$U$11,AL$48+1)-1),$AC$3&amp;"_"&amp;$AD$3))</f>
        <v>#VALUE!</v>
      </c>
      <c r="AM58" s="9"/>
      <c r="AN58" s="7"/>
      <c r="AO58" s="5"/>
      <c r="AP58" s="5"/>
      <c r="AQ58" s="9"/>
      <c r="AS58" s="5"/>
      <c r="AT58" s="5"/>
      <c r="AU58" s="9"/>
      <c r="AW58" s="5"/>
      <c r="AX58" s="5"/>
      <c r="AY58" s="9"/>
      <c r="BA58" s="5"/>
      <c r="BB58" s="5"/>
      <c r="BC58" s="9"/>
      <c r="BE58" s="5"/>
      <c r="BF58" s="5"/>
      <c r="BG58" s="9"/>
      <c r="BI58" s="5"/>
      <c r="BJ58" s="5"/>
      <c r="BK58" s="9"/>
      <c r="BL58" t="str">
        <f t="shared" si="162"/>
        <v>KIHARA Miyuu_(Side)_KIHARA Miyuu</v>
      </c>
      <c r="BM58" t="str">
        <f t="shared" si="160"/>
        <v>FENG Tianwei_Back_KIHARA Miyuu</v>
      </c>
      <c r="BN58" t="str">
        <f t="shared" si="160"/>
        <v>KIHARA Miyuu_(Side)_FENG Tianwei</v>
      </c>
      <c r="BO58" t="str">
        <f t="shared" si="160"/>
        <v>FENG Tianwei_Side_FENG Tianwei</v>
      </c>
      <c r="BP58" t="str">
        <f t="shared" si="160"/>
        <v>KIHARA Miyuu_(Side)_FENG Tianwei</v>
      </c>
      <c r="BQ58" t="e">
        <f t="shared" si="160"/>
        <v>#VALUE!</v>
      </c>
      <c r="BR58" t="e">
        <f t="shared" si="160"/>
        <v>#VALUE!</v>
      </c>
      <c r="CR58" t="str">
        <f t="shared" si="163"/>
        <v>FENG Tianwei_Push_KIHARA Miyuu</v>
      </c>
      <c r="CS58" t="str">
        <f t="shared" si="164"/>
        <v>KIHARA Miyuu_Push_KIHARA Miyuu</v>
      </c>
      <c r="CT58" t="str">
        <f t="shared" si="165"/>
        <v>FENG Tianwei_ドライブ_FENG Tianwei</v>
      </c>
      <c r="CU58" t="str">
        <f t="shared" si="166"/>
        <v>KIHARA Miyuu_ドライブ_FENG Tianwei</v>
      </c>
      <c r="CV58" t="str">
        <f t="shared" si="167"/>
        <v>FENG Tianwei_ドライブ_FENG Tianwei</v>
      </c>
      <c r="CW58" t="e">
        <f t="shared" si="168"/>
        <v>#VALUE!</v>
      </c>
      <c r="CX58" t="e">
        <f t="shared" si="169"/>
        <v>#VALUE!</v>
      </c>
      <c r="DH58">
        <f>IF(OR(ROW()-54&gt;INDEX($U$4:$U$11,$AC$2+1,1)-INDEX($U$4:$U$11,$AC$2,1),ROW()-54&gt;$AD$2),NA(),COUNTIF(INDEX($BL$55:$BR$100,INDEX($U$4:$U$11,1,1),$AC$2):INDEX($BL$55:$BR$100,INDEX($U$4:$U$11,1,1)+ROW()-55,$AC$2),DH$53))</f>
        <v>0</v>
      </c>
      <c r="DI58">
        <f>IF(OR(ROW()-54&gt;INDEX($U$4:$U$11,$AC$2+1,1)-INDEX($U$4:$U$11,$AC$2,1),ROW()-54&gt;$AD$2),NA(),COUNTIF(INDEX($BL$55:$BR$100,INDEX($U$4:$U$11,1,1),$AC$2):INDEX($BL$55:$BR$100,INDEX($U$4:$U$11,1,1)+ROW()-55,$AC$2),DI$53))</f>
        <v>0</v>
      </c>
      <c r="DJ58">
        <f>IF(OR(ROW()-54&gt;INDEX($U$4:$U$11,$AC$2+1,1)-INDEX($U$4:$U$11,$AC$2,1),ROW()-54&gt;$AD$2),NA(),COUNTIF(INDEX($BL$55:$BR$100,INDEX($U$4:$U$11,1,1),$AC$2):INDEX($BL$55:$BR$100,INDEX($U$4:$U$11,1,1)+ROW()-55,$AC$2),DJ$53))</f>
        <v>0</v>
      </c>
      <c r="DL58">
        <f>IF(OR(ROW()-54&gt;INDEX($U$4:$U$11,$AC$2+1,1)-INDEX($U$4:$U$11,$AC$2,1),ROW()-54&gt;$AD$2),NA(),COUNTIF(INDEX($BL$55:$BR$100,INDEX($U$4:$U$11,1,1),$AC$2):INDEX($BL$55:$BR$100,INDEX($U$4:$U$11,1,1)+ROW()-55,$AC$2),DL$53))</f>
        <v>0</v>
      </c>
      <c r="DM58">
        <f>IF(OR(ROW()-54&gt;INDEX($U$4:$U$11,$AC$2+1,1)-INDEX($U$4:$U$11,$AC$2,1),ROW()-54&gt;$AD$2),NA(),COUNTIF(INDEX($BL$55:$BR$100,INDEX($U$4:$U$11,1,1),$AC$2):INDEX($BL$5:$BR$50,INDEX($U$4:$U$11,1,1)+ROW()-55,$AC$2),DM$53))</f>
        <v>0</v>
      </c>
      <c r="DN58">
        <f>IF(OR(ROW()-54&gt;INDEX($U$4:$U$11,$AC$2+1,1)-INDEX($U$4:$U$11,$AC$2,1),ROW()-54&gt;$AD$2),NA(),COUNTIF(INDEX($BL$55:$BR$100,INDEX($U$4:$U$11,1,1),$AC$2):INDEX($BL$55:$BR$100,INDEX($U$4:$U$11,1,1)+ROW()-55,$AC$2),DN$53))</f>
        <v>1</v>
      </c>
      <c r="ET58">
        <f>IF(OR(ROW()-54&gt;INDEX($U$4:$U$11,$AC$2+1,1)-INDEX($U$4:$U$11,$AC$2,1),ROW()-54&gt;$AD$2),NA(),COUNTIF(INDEX($CR$55:$CX$90,INDEX($U$4:$U$11,1,1),$AC$2):INDEX($CR$55:$CX$90,INDEX($U$4:$U$11,1,1)+ROW()-55,$AC$2),ET$53))</f>
        <v>0</v>
      </c>
      <c r="EU58">
        <f>IF(OR(ROW()-54&gt;INDEX($U$4:$U$11,$AC$2+1,1)-INDEX($U$4:$U$11,$AC$2,1),ROW()-54&gt;$AD$2),NA(),COUNTIF(INDEX($CR$55:$CX$90,INDEX($U$4:$U$11,1,1),$AC$2):INDEX($CR$55:$CX$90,INDEX($U$4:$U$11,1,1)+ROW()-55,$AC$2),EU$53))</f>
        <v>0</v>
      </c>
      <c r="EV58">
        <f>IF(OR(ROW()-54&gt;INDEX($U$4:$U$11,$AC$2+1,1)-INDEX($U$4:$U$11,$AC$2,1),ROW()-54&gt;$AD$2),NA(),COUNTIF(INDEX($CR$55:$CX$90,INDEX($U$4:$U$11,1,1),$AC$2):INDEX($CR$55:$CX$90,INDEX($U$4:$U$11,1,1)+ROW()-55,$AC$2),EV$53))</f>
        <v>0</v>
      </c>
      <c r="EW58">
        <f>IF(OR(ROW()-54&gt;INDEX($U$4:$U$11,$AC$2+1,1)-INDEX($U$4:$U$11,$AC$2,1),ROW()-54&gt;$AD$2),NA(),COUNTIF(INDEX($CR$55:$CX$90,INDEX($U$4:$U$11,1,1),$AC$2):INDEX($CR$55:$CX$90,INDEX($U$4:$U$11,1,1)+ROW()-55,$AC$2),EW$53))</f>
        <v>0</v>
      </c>
      <c r="EX58">
        <f>IF(OR(ROW()-54&gt;INDEX($U$4:$U$11,$AC$2+1,1)-INDEX($U$4:$U$11,$AC$2,1),ROW()-54&gt;$AD$2),NA(),COUNTIF(INDEX($CR$55:$CX$90,INDEX($U$4:$U$11,1,1),$AC$2):INDEX($CR$55:$CX$90,INDEX($U$4:$U$11,1,1)+ROW()-55,$AC$2),EX$53))</f>
        <v>0</v>
      </c>
      <c r="EY58">
        <f>IF(OR(ROW()-54&gt;INDEX($U$4:$U$11,$AC$2+1,1)-INDEX($U$4:$U$11,$AC$2,1),ROW()-54&gt;$AD$2),NA(),COUNTIF(INDEX($CR$55:$CX$90,INDEX($U$4:$U$11,1,1),$AC$2):INDEX($CR$55:$CX$90,INDEX($U$4:$U$11,1,1)+ROW()-55,$AC$2),EY$53))</f>
        <v>1</v>
      </c>
      <c r="EZ58">
        <f>IF(OR(ROW()-54&gt;INDEX($U$4:$U$11,$AC$2+1,1)-INDEX($U$4:$U$11,$AC$2,1),ROW()-54&gt;$AD$2),NA(),COUNTIF(INDEX($CR$55:$CX$90,INDEX($U$4:$U$11,1,1),$AC$2):INDEX($CR$55:$CX$90,INDEX($U$4:$U$11,1,1)+ROW()-55,$AC$2),EZ$53))</f>
        <v>0</v>
      </c>
      <c r="FA58">
        <f>IF(OR(ROW()-54&gt;INDEX($U$4:$U$11,$AC$2+1,1)-INDEX($U$4:$U$11,$AC$2,1),ROW()-54&gt;$AD$2),NA(),COUNTIF(INDEX($CR$55:$CX$90,INDEX($U$4:$U$11,1,1),$AC$2):INDEX($CR$55:$CX$90,INDEX($U$4:$U$11,1,1)+ROW()-55,$AC$2),FA$53))</f>
        <v>0</v>
      </c>
      <c r="FC58">
        <f>IF(OR(ROW()-54&gt;INDEX($U$4:$U$11,$AC$2+1,1)-INDEX($U$4:$U$11,$AC$2,1),ROW()-54&gt;$AD$2),NA(),COUNTIF(INDEX($CR$55:$CX$90,INDEX($U$4:$U$11,1,1),$AC$2):INDEX($CR$55:$CX$90,INDEX($U$4:$U$11,1,1)+ROW()-55,$AC$2),FC$53))</f>
        <v>0</v>
      </c>
      <c r="FD58">
        <f>IF(OR(ROW()-54&gt;INDEX($U$4:$U$11,$AC$2+1,1)-INDEX($U$4:$U$11,$AC$2,1),ROW()-54&gt;$AD$2),NA(),COUNTIF(INDEX($CR$55:$CX$90,INDEX($U$4:$U$11,1,1),$AC$2):INDEX($CR$55:$CX$90,INDEX($U$4:$U$11,1,1)+ROW()-55,$AC$2),FD$53))</f>
        <v>0</v>
      </c>
      <c r="FE58">
        <f>IF(OR(ROW()-54&gt;INDEX($U$4:$U$11,$AC$2+1,1)-INDEX($U$4:$U$11,$AC$2,1),ROW()-54&gt;$AD$2),NA(),COUNTIF(INDEX($CR$55:$CX$90,INDEX($U$4:$U$11,1,1),$AC$2):INDEX($CR$55:$CX$90,INDEX($U$4:$U$11,1,1)+ROW()-55,$AC$2),FE$53))</f>
        <v>0</v>
      </c>
      <c r="FF58">
        <f>IF(OR(ROW()-54&gt;INDEX($U$4:$U$11,$AC$2+1,1)-INDEX($U$4:$U$11,$AC$2,1),ROW()-54&gt;$AD$2),NA(),COUNTIF(INDEX($CR$55:$CX$90,INDEX($U$4:$U$11,1,1),$AC$2):INDEX($CR$55:$CX$90,INDEX($U$4:$U$11,1,1)+ROW()-55,$AC$2),FF$53))</f>
        <v>1</v>
      </c>
      <c r="FG58">
        <f>IF(OR(ROW()-54&gt;INDEX($U$4:$U$11,$AC$2+1,1)-INDEX($U$4:$U$11,$AC$2,1),ROW()-54&gt;$AD$2),NA(),COUNTIF(INDEX($CR$55:$CX$90,INDEX($U$4:$U$11,1,1),$AC$2):INDEX($CR$55:$CX$90,INDEX($U$4:$U$11,1,1)+ROW()-55,$AC$2),FG$53))</f>
        <v>0</v>
      </c>
      <c r="FH58">
        <f>IF(OR(ROW()-54&gt;INDEX($U$4:$U$11,$AC$2+1,1)-INDEX($U$4:$U$11,$AC$2,1),ROW()-54&gt;$AD$2),NA(),COUNTIF(INDEX($CR$55:$CX$90,INDEX($U$4:$U$11,1,1),$AC$2):INDEX($CR$55:$CX$90,INDEX($U$4:$U$11,1,1)+ROW()-55,$AC$2),FH$53))</f>
        <v>1</v>
      </c>
      <c r="FI58">
        <f>IF(OR(ROW()-54&gt;INDEX($U$4:$U$11,$AC$2+1,1)-INDEX($U$4:$U$11,$AC$2,1),ROW()-54&gt;$AD$2),NA(),COUNTIF(INDEX($CR$55:$CX$90,INDEX($U$4:$U$11,1,1),$AC$2):INDEX($CR$55:$CX$90,INDEX($U$4:$U$11,1,1)+ROW()-55,$AC$2),FI$53))</f>
        <v>0</v>
      </c>
      <c r="FJ58">
        <f>IF(OR(ROW()-54&gt;INDEX($U$4:$U$11,$AC$2+1,1)-INDEX($U$4:$U$11,$AC$2,1),ROW()-54&gt;$AD$2),NA(),COUNTIF(INDEX($CR$55:$CX$90,INDEX($U$4:$U$11,1,1),$AC$2):INDEX($CR$55:$CX$90,INDEX($U$4:$U$11,1,1)+ROW()-55,$AC$2),FJ$53))</f>
        <v>0</v>
      </c>
      <c r="GO58" s="16"/>
      <c r="GP58" s="17"/>
      <c r="GQ58" s="17"/>
      <c r="GR58" s="17"/>
      <c r="GS58" s="17"/>
      <c r="GT58" s="17"/>
      <c r="GU58" s="17"/>
      <c r="GV58" s="17"/>
      <c r="GW58" s="17"/>
      <c r="GX58" s="17"/>
      <c r="GY58" s="17"/>
      <c r="GZ58" s="17"/>
      <c r="HA58" s="17"/>
      <c r="HB58" s="17"/>
      <c r="HC58" s="17"/>
      <c r="HD58" s="17"/>
      <c r="HE58" s="17" t="s">
        <v>58</v>
      </c>
      <c r="HF58" s="46">
        <f>FG43</f>
        <v>0</v>
      </c>
      <c r="HG58" s="43"/>
      <c r="HH58" s="59">
        <f>FG93</f>
        <v>0</v>
      </c>
      <c r="HI58" s="59">
        <f t="shared" si="159"/>
        <v>0</v>
      </c>
      <c r="HJ58" s="17"/>
      <c r="HK58" s="17"/>
      <c r="HL58" s="17"/>
      <c r="HM58" s="18"/>
    </row>
    <row r="59" spans="1:221" x14ac:dyDescent="0.45">
      <c r="A59" t="str">
        <f>データの貼付!A57</f>
        <v>FENG Tianwei</v>
      </c>
      <c r="B59">
        <f>データの貼付!B57</f>
        <v>1.5613194444444445E-2</v>
      </c>
      <c r="C59">
        <f>データの貼付!C57</f>
        <v>9.4224537037037031E-5</v>
      </c>
      <c r="D59">
        <f>データの貼付!D57</f>
        <v>4.3055555555555562E-2</v>
      </c>
      <c r="E59" t="str">
        <f>データの貼付!F57</f>
        <v>KIHARA Miyuu</v>
      </c>
      <c r="F59">
        <f>データの貼付!E57</f>
        <v>4.1666666666666664E-2</v>
      </c>
      <c r="G59" t="str">
        <f>データの貼付!G57</f>
        <v>#08</v>
      </c>
      <c r="H59" t="str">
        <f>データの貼付!H57</f>
        <v>FENG Tianwei</v>
      </c>
      <c r="I59" t="str">
        <f>データの貼付!I57</f>
        <v>Back</v>
      </c>
      <c r="J59" t="str">
        <f>データの貼付!J57</f>
        <v>B</v>
      </c>
      <c r="K59" t="str">
        <f>データの貼付!K57</f>
        <v>BM</v>
      </c>
      <c r="L59" t="str">
        <f>データの貼付!L57</f>
        <v>B</v>
      </c>
      <c r="M59" t="str">
        <f>データの貼付!M57</f>
        <v>ドライブ</v>
      </c>
      <c r="N59" t="str">
        <f>データの貼付!N57</f>
        <v>B</v>
      </c>
      <c r="R59">
        <f t="shared" si="59"/>
        <v>0</v>
      </c>
      <c r="S59">
        <f>SUM(R$4:R59)</f>
        <v>4</v>
      </c>
      <c r="T59" t="str">
        <f t="shared" si="60"/>
        <v/>
      </c>
      <c r="W59" t="str">
        <f t="shared" si="57"/>
        <v>KIHARA Miyuu_FENG Tianwei</v>
      </c>
      <c r="X59" t="str">
        <f t="shared" si="58"/>
        <v>KIHARA Miyuu_#08</v>
      </c>
      <c r="AC59" s="3"/>
      <c r="AD59" s="5" t="s">
        <v>20</v>
      </c>
      <c r="AE59" s="9">
        <f>(COUNTIF(INDEX($X$4:$X$200,1):INDEX($X$4:$X$200,AE48),AD3&amp;"_#03")-COUNTIF(INDEX($X$4:$X$200,1):INDEX($X$4:$X$200,AE48),AC3&amp;"_#02"))/(COUNTIF(INDEX($W$4:$W$200,1):INDEX($W$4:$W$200,AE48),AD$3&amp;"_"&amp;AD$3)+COUNTIF(INDEX($W$4:$W$200,1):INDEX($W$4:$W$200,AE48),AC$3&amp;"_"&amp;AD$3))</f>
        <v>0.10810810810810811</v>
      </c>
      <c r="AF59" s="9">
        <f>(COUNTIF(INDEX($X$4:$X$200,INDEX($U$4:$U$11,AF$48)):INDEX($X$4:$X$200,INDEX($U$4:$U$11,AF$48+1)),$AD3&amp;"_#03")-COUNTIF(INDEX($X$4:$X$200,INDEX($U$4:$U$11,AF$48)):INDEX($X$4:$X$200,INDEX($U$4:$U$11,AF$48+1)),$AC3&amp;"_#02"))/(COUNTIF(INDEX($W$4:$W$200,INDEX($U$4:$U$11,AF$48)):INDEX($W$4:$W$200,INDEX($U$4:$U$11,AF$48+1)-1),$AD$3&amp;"_"&amp;$AD$3)+COUNTIF(INDEX($W$4:$W$200,INDEX($U$4:$U$11,AF$48)):INDEX($W$4:$W$200,INDEX($U$4:$U$11,AF$48+1)-1),$AC$3&amp;"_"&amp;$AD$3))</f>
        <v>0.42857142857142855</v>
      </c>
      <c r="AG59" s="9">
        <f>(COUNTIF(INDEX($X$4:$X$200,INDEX($U$4:$U$11,AG$48)):INDEX($X$4:$X$200,INDEX($U$4:$U$11,AG$48+1)),$AD3&amp;"_#03")-COUNTIF(INDEX($X$4:$X$200,INDEX($U$4:$U$11,AG$48)):INDEX($X$4:$X$200,INDEX($U$4:$U$11,AG$48+1)),$AC3&amp;"_#02"))/(COUNTIF(INDEX($W$4:$W$200,INDEX($U$4:$U$11,AG$48)):INDEX($W$4:$W$200,INDEX($U$4:$U$11,AG$48+1)-1),$AD$3&amp;"_"&amp;$AD$3)+COUNTIF(INDEX($W$4:$W$200,INDEX($U$4:$U$11,AG$48)):INDEX($W$4:$W$200,INDEX($U$4:$U$11,AG$48+1)-1),$AC$3&amp;"_"&amp;$AD$3))</f>
        <v>0.25</v>
      </c>
      <c r="AH59" s="9">
        <f>(COUNTIF(INDEX($X$4:$X$200,INDEX($U$4:$U$11,AH$48)):INDEX($X$4:$X$200,INDEX($U$4:$U$11,AH$48+1)),$AD3&amp;"_#03")-COUNTIF(INDEX($X$4:$X$200,INDEX($U$4:$U$11,AH$48)):INDEX($X$4:$X$200,INDEX($U$4:$U$11,AH$48+1)),$AC3&amp;"_#02"))/(COUNTIF(INDEX($W$4:$W$200,INDEX($U$4:$U$11,AH$48)):INDEX($W$4:$W$200,INDEX($U$4:$U$11,AH$48+1)-1),$AD$3&amp;"_"&amp;$AD$3)+COUNTIF(INDEX($W$4:$W$200,INDEX($U$4:$U$11,AH$48)):INDEX($W$4:$W$200,INDEX($U$4:$U$11,AH$48+1)-1),$AC$3&amp;"_"&amp;$AD$3))</f>
        <v>0</v>
      </c>
      <c r="AI59" s="9">
        <f>(COUNTIF(INDEX($X$4:$X$200,INDEX($U$4:$U$11,AI$48)):INDEX($X$4:$X$200,INDEX($U$4:$U$11,AI$48+1)),$AD3&amp;"_#03")-COUNTIF(INDEX($X$4:$X$200,INDEX($U$4:$U$11,AI$48)):INDEX($X$4:$X$200,INDEX($U$4:$U$11,AI$48+1)),$AC3&amp;"_#02"))/(COUNTIF(INDEX($W$4:$W$200,INDEX($U$4:$U$11,AI$48)):INDEX($W$4:$W$200,INDEX($U$4:$U$11,AI$48+1)-1),$AD$3&amp;"_"&amp;$AD$3)+COUNTIF(INDEX($W$4:$W$200,INDEX($U$4:$U$11,AI$48)):INDEX($W$4:$W$200,INDEX($U$4:$U$11,AI$48+1)-1),$AC$3&amp;"_"&amp;$AD$3))</f>
        <v>0.1</v>
      </c>
      <c r="AJ59" s="9">
        <f>(COUNTIF(INDEX($X$4:$X$200,INDEX($U$4:$U$11,AJ$48)):INDEX($X$4:$X$200,INDEX($U$4:$U$11,AJ$48+1)),$AD3&amp;"_#03")-COUNTIF(INDEX($X$4:$X$200,INDEX($U$4:$U$11,AJ$48)):INDEX($X$4:$X$200,INDEX($U$4:$U$11,AJ$48+1)),$AC3&amp;"_#02"))/(COUNTIF(INDEX($W$4:$W$200,INDEX($U$4:$U$11,AJ$48)):INDEX($W$4:$W$200,INDEX($U$4:$U$11,AJ$48+1)-1),$AD$3&amp;"_"&amp;$AD$3)+COUNTIF(INDEX($W$4:$W$200,INDEX($U$4:$U$11,AJ$48)):INDEX($W$4:$W$200,INDEX($U$4:$U$11,AJ$48+1)-1),$AC$3&amp;"_"&amp;$AD$3))</f>
        <v>-0.25</v>
      </c>
      <c r="AK59" s="9" t="e">
        <f>(COUNTIF(INDEX($X$4:$X$200,INDEX($U$4:$U$11,AK$48)):INDEX($X$4:$X$200,INDEX($U$4:$U$11,AK$48+1)),$AD3&amp;"_#03")-COUNTIF(INDEX($X$4:$X$200,INDEX($U$4:$U$11,AK$48)):INDEX($X$4:$X$200,INDEX($U$4:$U$11,AK$48+1)),$AC3&amp;"_#02"))/(COUNTIF(INDEX($W$4:$W$200,INDEX($U$4:$U$11,AK$48)):INDEX($W$4:$W$200,INDEX($U$4:$U$11,AK$48+1)-1),$AD$3&amp;"_"&amp;$AD$3)+COUNTIF(INDEX($W$4:$W$200,INDEX($U$4:$U$11,AK$48)):INDEX($W$4:$W$200,INDEX($U$4:$U$11,AK$48+1)-1),$AC$3&amp;"_"&amp;$AD$3))</f>
        <v>#VALUE!</v>
      </c>
      <c r="AL59" s="9" t="e">
        <f>(COUNTIF(INDEX($X$4:$X$200,INDEX($U$4:$U$11,AL$48)):INDEX($X$4:$X$200,INDEX($U$4:$U$11,AL$48+1)),$AD3&amp;"_#03")-COUNTIF(INDEX($X$4:$X$200,INDEX($U$4:$U$11,AL$48)):INDEX($X$4:$X$200,INDEX($U$4:$U$11,AL$48+1)),$AC3&amp;"_#02"))/(COUNTIF(INDEX($W$4:$W$200,INDEX($U$4:$U$11,AL$48)):INDEX($W$4:$W$200,INDEX($U$4:$U$11,AL$48+1)-1),$AD$3&amp;"_"&amp;$AD$3)+COUNTIF(INDEX($W$4:$W$200,INDEX($U$4:$U$11,AL$48)):INDEX($W$4:$W$200,INDEX($U$4:$U$11,AL$48+1)-1),$AC$3&amp;"_"&amp;$AD$3))</f>
        <v>#VALUE!</v>
      </c>
      <c r="AM59" s="9"/>
      <c r="AN59" s="7"/>
      <c r="AO59" s="5"/>
      <c r="AP59" s="5"/>
      <c r="AQ59" s="9"/>
      <c r="AS59" s="5"/>
      <c r="AT59" s="5"/>
      <c r="AU59" s="9"/>
      <c r="AW59" s="5"/>
      <c r="AX59" s="5"/>
      <c r="AY59" s="9"/>
      <c r="BA59" s="5"/>
      <c r="BB59" s="5"/>
      <c r="BC59" s="9"/>
      <c r="BE59" s="5"/>
      <c r="BF59" s="5"/>
      <c r="BG59" s="9"/>
      <c r="BI59" s="5"/>
      <c r="BJ59" s="5"/>
      <c r="BK59" s="9"/>
      <c r="BL59" t="str">
        <f t="shared" si="162"/>
        <v>FENG Tianwei_Side_KIHARA Miyuu</v>
      </c>
      <c r="BM59" t="str">
        <f t="shared" si="160"/>
        <v>KIHARA Miyuu_(Side)_KIHARA Miyuu</v>
      </c>
      <c r="BN59" t="str">
        <f t="shared" si="160"/>
        <v>FENG Tianwei_Side_FENG Tianwei</v>
      </c>
      <c r="BO59" t="str">
        <f t="shared" si="160"/>
        <v>KIHARA Miyuu_(Side)_KIHARA Miyuu</v>
      </c>
      <c r="BP59" t="str">
        <f t="shared" si="160"/>
        <v>FENG Tianwei_Side_KIHARA Miyuu</v>
      </c>
      <c r="BQ59" t="e">
        <f t="shared" si="160"/>
        <v>#VALUE!</v>
      </c>
      <c r="BR59" t="e">
        <f t="shared" si="160"/>
        <v>#VALUE!</v>
      </c>
      <c r="CR59" t="str">
        <f t="shared" si="163"/>
        <v>KIHARA Miyuu_Push_KIHARA Miyuu</v>
      </c>
      <c r="CS59" t="str">
        <f t="shared" si="164"/>
        <v>FENG Tianwei_Stop_KIHARA Miyuu</v>
      </c>
      <c r="CT59" t="str">
        <f t="shared" si="165"/>
        <v>KIHARA Miyuu_ドライブ_FENG Tianwei</v>
      </c>
      <c r="CU59" t="str">
        <f t="shared" si="166"/>
        <v>FENG Tianwei_Push_KIHARA Miyuu</v>
      </c>
      <c r="CV59" t="str">
        <f t="shared" si="167"/>
        <v>KIHARA Miyuu_Stop_KIHARA Miyuu</v>
      </c>
      <c r="CW59" t="e">
        <f t="shared" si="168"/>
        <v>#VALUE!</v>
      </c>
      <c r="CX59" t="e">
        <f t="shared" si="169"/>
        <v>#VALUE!</v>
      </c>
      <c r="DH59">
        <f>IF(OR(ROW()-54&gt;INDEX($U$4:$U$11,$AC$2+1,1)-INDEX($U$4:$U$11,$AC$2,1),ROW()-54&gt;$AD$2),NA(),COUNTIF(INDEX($BL$55:$BR$100,INDEX($U$4:$U$11,1,1),$AC$2):INDEX($BL$55:$BR$100,INDEX($U$4:$U$11,1,1)+ROW()-55,$AC$2),DH$53))</f>
        <v>0</v>
      </c>
      <c r="DI59">
        <f>IF(OR(ROW()-54&gt;INDEX($U$4:$U$11,$AC$2+1,1)-INDEX($U$4:$U$11,$AC$2,1),ROW()-54&gt;$AD$2),NA(),COUNTIF(INDEX($BL$55:$BR$100,INDEX($U$4:$U$11,1,1),$AC$2):INDEX($BL$55:$BR$100,INDEX($U$4:$U$11,1,1)+ROW()-55,$AC$2),DI$53))</f>
        <v>1</v>
      </c>
      <c r="DJ59">
        <f>IF(OR(ROW()-54&gt;INDEX($U$4:$U$11,$AC$2+1,1)-INDEX($U$4:$U$11,$AC$2,1),ROW()-54&gt;$AD$2),NA(),COUNTIF(INDEX($BL$55:$BR$100,INDEX($U$4:$U$11,1,1),$AC$2):INDEX($BL$55:$BR$100,INDEX($U$4:$U$11,1,1)+ROW()-55,$AC$2),DJ$53))</f>
        <v>0</v>
      </c>
      <c r="DL59">
        <f>IF(OR(ROW()-54&gt;INDEX($U$4:$U$11,$AC$2+1,1)-INDEX($U$4:$U$11,$AC$2,1),ROW()-54&gt;$AD$2),NA(),COUNTIF(INDEX($BL$55:$BR$100,INDEX($U$4:$U$11,1,1),$AC$2):INDEX($BL$55:$BR$100,INDEX($U$4:$U$11,1,1)+ROW()-55,$AC$2),DL$53))</f>
        <v>0</v>
      </c>
      <c r="DM59">
        <f>IF(OR(ROW()-54&gt;INDEX($U$4:$U$11,$AC$2+1,1)-INDEX($U$4:$U$11,$AC$2,1),ROW()-54&gt;$AD$2),NA(),COUNTIF(INDEX($BL$55:$BR$100,INDEX($U$4:$U$11,1,1),$AC$2):INDEX($BL$5:$BR$50,INDEX($U$4:$U$11,1,1)+ROW()-55,$AC$2),DM$53))</f>
        <v>0</v>
      </c>
      <c r="DN59">
        <f>IF(OR(ROW()-54&gt;INDEX($U$4:$U$11,$AC$2+1,1)-INDEX($U$4:$U$11,$AC$2,1),ROW()-54&gt;$AD$2),NA(),COUNTIF(INDEX($BL$55:$BR$100,INDEX($U$4:$U$11,1,1),$AC$2):INDEX($BL$55:$BR$100,INDEX($U$4:$U$11,1,1)+ROW()-55,$AC$2),DN$53))</f>
        <v>1</v>
      </c>
      <c r="ET59">
        <f>IF(OR(ROW()-54&gt;INDEX($U$4:$U$11,$AC$2+1,1)-INDEX($U$4:$U$11,$AC$2,1),ROW()-54&gt;$AD$2),NA(),COUNTIF(INDEX($CR$55:$CX$90,INDEX($U$4:$U$11,1,1),$AC$2):INDEX($CR$55:$CX$90,INDEX($U$4:$U$11,1,1)+ROW()-55,$AC$2),ET$53))</f>
        <v>0</v>
      </c>
      <c r="EU59">
        <f>IF(OR(ROW()-54&gt;INDEX($U$4:$U$11,$AC$2+1,1)-INDEX($U$4:$U$11,$AC$2,1),ROW()-54&gt;$AD$2),NA(),COUNTIF(INDEX($CR$55:$CX$90,INDEX($U$4:$U$11,1,1),$AC$2):INDEX($CR$55:$CX$90,INDEX($U$4:$U$11,1,1)+ROW()-55,$AC$2),EU$53))</f>
        <v>0</v>
      </c>
      <c r="EV59">
        <f>IF(OR(ROW()-54&gt;INDEX($U$4:$U$11,$AC$2+1,1)-INDEX($U$4:$U$11,$AC$2,1),ROW()-54&gt;$AD$2),NA(),COUNTIF(INDEX($CR$55:$CX$90,INDEX($U$4:$U$11,1,1),$AC$2):INDEX($CR$55:$CX$90,INDEX($U$4:$U$11,1,1)+ROW()-55,$AC$2),EV$53))</f>
        <v>0</v>
      </c>
      <c r="EW59">
        <f>IF(OR(ROW()-54&gt;INDEX($U$4:$U$11,$AC$2+1,1)-INDEX($U$4:$U$11,$AC$2,1),ROW()-54&gt;$AD$2),NA(),COUNTIF(INDEX($CR$55:$CX$90,INDEX($U$4:$U$11,1,1),$AC$2):INDEX($CR$55:$CX$90,INDEX($U$4:$U$11,1,1)+ROW()-55,$AC$2),EW$53))</f>
        <v>0</v>
      </c>
      <c r="EX59">
        <f>IF(OR(ROW()-54&gt;INDEX($U$4:$U$11,$AC$2+1,1)-INDEX($U$4:$U$11,$AC$2,1),ROW()-54&gt;$AD$2),NA(),COUNTIF(INDEX($CR$55:$CX$90,INDEX($U$4:$U$11,1,1),$AC$2):INDEX($CR$55:$CX$90,INDEX($U$4:$U$11,1,1)+ROW()-55,$AC$2),EX$53))</f>
        <v>0</v>
      </c>
      <c r="EY59">
        <f>IF(OR(ROW()-54&gt;INDEX($U$4:$U$11,$AC$2+1,1)-INDEX($U$4:$U$11,$AC$2,1),ROW()-54&gt;$AD$2),NA(),COUNTIF(INDEX($CR$55:$CX$90,INDEX($U$4:$U$11,1,1),$AC$2):INDEX($CR$55:$CX$90,INDEX($U$4:$U$11,1,1)+ROW()-55,$AC$2),EY$53))</f>
        <v>1</v>
      </c>
      <c r="EZ59">
        <f>IF(OR(ROW()-54&gt;INDEX($U$4:$U$11,$AC$2+1,1)-INDEX($U$4:$U$11,$AC$2,1),ROW()-54&gt;$AD$2),NA(),COUNTIF(INDEX($CR$55:$CX$90,INDEX($U$4:$U$11,1,1),$AC$2):INDEX($CR$55:$CX$90,INDEX($U$4:$U$11,1,1)+ROW()-55,$AC$2),EZ$53))</f>
        <v>0</v>
      </c>
      <c r="FA59">
        <f>IF(OR(ROW()-54&gt;INDEX($U$4:$U$11,$AC$2+1,1)-INDEX($U$4:$U$11,$AC$2,1),ROW()-54&gt;$AD$2),NA(),COUNTIF(INDEX($CR$55:$CX$90,INDEX($U$4:$U$11,1,1),$AC$2):INDEX($CR$55:$CX$90,INDEX($U$4:$U$11,1,1)+ROW()-55,$AC$2),FA$53))</f>
        <v>0</v>
      </c>
      <c r="FC59">
        <f>IF(OR(ROW()-54&gt;INDEX($U$4:$U$11,$AC$2+1,1)-INDEX($U$4:$U$11,$AC$2,1),ROW()-54&gt;$AD$2),NA(),COUNTIF(INDEX($CR$55:$CX$90,INDEX($U$4:$U$11,1,1),$AC$2):INDEX($CR$55:$CX$90,INDEX($U$4:$U$11,1,1)+ROW()-55,$AC$2),FC$53))</f>
        <v>0</v>
      </c>
      <c r="FD59">
        <f>IF(OR(ROW()-54&gt;INDEX($U$4:$U$11,$AC$2+1,1)-INDEX($U$4:$U$11,$AC$2,1),ROW()-54&gt;$AD$2),NA(),COUNTIF(INDEX($CR$55:$CX$90,INDEX($U$4:$U$11,1,1),$AC$2):INDEX($CR$55:$CX$90,INDEX($U$4:$U$11,1,1)+ROW()-55,$AC$2),FD$53))</f>
        <v>0</v>
      </c>
      <c r="FE59">
        <f>IF(OR(ROW()-54&gt;INDEX($U$4:$U$11,$AC$2+1,1)-INDEX($U$4:$U$11,$AC$2,1),ROW()-54&gt;$AD$2),NA(),COUNTIF(INDEX($CR$55:$CX$90,INDEX($U$4:$U$11,1,1),$AC$2):INDEX($CR$55:$CX$90,INDEX($U$4:$U$11,1,1)+ROW()-55,$AC$2),FE$53))</f>
        <v>0</v>
      </c>
      <c r="FF59">
        <f>IF(OR(ROW()-54&gt;INDEX($U$4:$U$11,$AC$2+1,1)-INDEX($U$4:$U$11,$AC$2,1),ROW()-54&gt;$AD$2),NA(),COUNTIF(INDEX($CR$55:$CX$90,INDEX($U$4:$U$11,1,1),$AC$2):INDEX($CR$55:$CX$90,INDEX($U$4:$U$11,1,1)+ROW()-55,$AC$2),FF$53))</f>
        <v>1</v>
      </c>
      <c r="FG59">
        <f>IF(OR(ROW()-54&gt;INDEX($U$4:$U$11,$AC$2+1,1)-INDEX($U$4:$U$11,$AC$2,1),ROW()-54&gt;$AD$2),NA(),COUNTIF(INDEX($CR$55:$CX$90,INDEX($U$4:$U$11,1,1),$AC$2):INDEX($CR$55:$CX$90,INDEX($U$4:$U$11,1,1)+ROW()-55,$AC$2),FG$53))</f>
        <v>0</v>
      </c>
      <c r="FH59">
        <f>IF(OR(ROW()-54&gt;INDEX($U$4:$U$11,$AC$2+1,1)-INDEX($U$4:$U$11,$AC$2,1),ROW()-54&gt;$AD$2),NA(),COUNTIF(INDEX($CR$55:$CX$90,INDEX($U$4:$U$11,1,1),$AC$2):INDEX($CR$55:$CX$90,INDEX($U$4:$U$11,1,1)+ROW()-55,$AC$2),FH$53))</f>
        <v>1</v>
      </c>
      <c r="FI59">
        <f>IF(OR(ROW()-54&gt;INDEX($U$4:$U$11,$AC$2+1,1)-INDEX($U$4:$U$11,$AC$2,1),ROW()-54&gt;$AD$2),NA(),COUNTIF(INDEX($CR$55:$CX$90,INDEX($U$4:$U$11,1,1),$AC$2):INDEX($CR$55:$CX$90,INDEX($U$4:$U$11,1,1)+ROW()-55,$AC$2),FI$53))</f>
        <v>0</v>
      </c>
      <c r="FJ59">
        <f>IF(OR(ROW()-54&gt;INDEX($U$4:$U$11,$AC$2+1,1)-INDEX($U$4:$U$11,$AC$2,1),ROW()-54&gt;$AD$2),NA(),COUNTIF(INDEX($CR$55:$CX$90,INDEX($U$4:$U$11,1,1),$AC$2):INDEX($CR$55:$CX$90,INDEX($U$4:$U$11,1,1)+ROW()-55,$AC$2),FJ$53))</f>
        <v>0</v>
      </c>
      <c r="GO59" s="16"/>
      <c r="GP59" s="17"/>
      <c r="GQ59" s="17"/>
      <c r="GR59" s="17"/>
      <c r="GS59" s="17"/>
      <c r="GT59" s="17"/>
      <c r="GU59" s="17"/>
      <c r="GV59" s="17"/>
      <c r="GW59" s="17"/>
      <c r="GX59" s="17"/>
      <c r="GY59" s="17"/>
      <c r="GZ59" s="17"/>
      <c r="HA59" s="17"/>
      <c r="HB59" s="17"/>
      <c r="HC59" s="17"/>
      <c r="HD59" s="17"/>
      <c r="HE59" s="17" t="s">
        <v>59</v>
      </c>
      <c r="HF59" s="46">
        <f>FH43</f>
        <v>22</v>
      </c>
      <c r="HG59" s="43"/>
      <c r="HH59" s="59">
        <f>FH$93</f>
        <v>8</v>
      </c>
      <c r="HI59" s="59">
        <f t="shared" si="159"/>
        <v>14</v>
      </c>
      <c r="HJ59" s="17"/>
      <c r="HK59" s="17"/>
      <c r="HL59" s="17"/>
      <c r="HM59" s="18"/>
    </row>
    <row r="60" spans="1:221" x14ac:dyDescent="0.45">
      <c r="A60" t="str">
        <f>データの貼付!A58</f>
        <v>KIHARA Miyuu</v>
      </c>
      <c r="B60">
        <f>データの貼付!B58</f>
        <v>1.5876967592592595E-2</v>
      </c>
      <c r="C60">
        <f>データの貼付!C58</f>
        <v>6.3333333333333332E-5</v>
      </c>
      <c r="D60">
        <f>データの貼付!D58</f>
        <v>4.3055555555555562E-2</v>
      </c>
      <c r="E60" t="str">
        <f>データの貼付!F58</f>
        <v>KIHARA Miyuu</v>
      </c>
      <c r="F60">
        <f>データの貼付!E58</f>
        <v>4.1666666666666664E-2</v>
      </c>
      <c r="G60" t="str">
        <f>データの貼付!G58</f>
        <v>#03</v>
      </c>
      <c r="H60" t="str">
        <f>データの貼付!H58</f>
        <v>KIHARA Miyuu</v>
      </c>
      <c r="I60" t="str">
        <f>データの貼付!I58</f>
        <v>(Side)</v>
      </c>
      <c r="J60" t="str">
        <f>データの貼付!J58</f>
        <v>B</v>
      </c>
      <c r="K60" t="str">
        <f>データの貼付!K58</f>
        <v>FS</v>
      </c>
      <c r="L60" t="str">
        <f>データの貼付!L58</f>
        <v>F</v>
      </c>
      <c r="M60" t="str">
        <f>データの貼付!M58</f>
        <v>Push</v>
      </c>
      <c r="N60" t="str">
        <f>データの貼付!N58</f>
        <v>BM</v>
      </c>
      <c r="R60">
        <f t="shared" si="59"/>
        <v>0</v>
      </c>
      <c r="S60">
        <f>SUM(R$4:R60)</f>
        <v>4</v>
      </c>
      <c r="T60" t="str">
        <f t="shared" si="60"/>
        <v/>
      </c>
      <c r="W60" t="str">
        <f t="shared" si="57"/>
        <v>KIHARA Miyuu_KIHARA Miyuu</v>
      </c>
      <c r="X60" t="str">
        <f t="shared" si="58"/>
        <v>KIHARA Miyuu_#03</v>
      </c>
      <c r="AC60" s="3"/>
      <c r="AD60" s="5" t="s">
        <v>22</v>
      </c>
      <c r="AE60" s="9">
        <f>(COUNTIF(INDEX($X$4:$X$200,1):INDEX($X$4:$X$200,AE48),AD3&amp;"_#01")+COUNTIF(INDEX($X$4:$X$200,1):INDEX($X$4:$X$200,AE48),AD3&amp;"_#03"))/(COUNTIF(INDEX($W$4:$W$200,1):INDEX($W$4:$W$200,AE48),AD$3&amp;"_"&amp;AD$3)+COUNTIF(INDEX($W$4:$W$200,1):INDEX($W$4:$W$200,AE48),AC$3&amp;"_"&amp;AD$3))</f>
        <v>0.3783783783783784</v>
      </c>
      <c r="AF60" s="9">
        <f>(COUNTIF(INDEX($X$4:$X$200,INDEX($U$4:$U$11,AF$48)):INDEX($X$4:$X$200,INDEX($U$4:$U$11,AF$48+1)-1),$AD3&amp;"_#01")+COUNTIF(INDEX($X$4:$X$200,INDEX($U$4:$U$11,AF$48)):INDEX($X$4:$X$200,INDEX($U$4:$U$11,AF$48+1)-1),$AD3&amp;"_#03"))/(COUNTIF(INDEX($W$4:$W$200,INDEX($U$4:$U$11,AF$48)):INDEX($W$4:$W$200,INDEX($U$4:$U$11,AF$48+1)-1),$AD$3&amp;"_"&amp;$AD$3)+COUNTIF(INDEX($W$4:$W$200,INDEX($U$4:$U$11,AF$48)):INDEX($W$4:$W$200,INDEX($U$4:$U$11,AF$48+1)-1),$AC$3&amp;"_"&amp;$AD$3))</f>
        <v>0.7142857142857143</v>
      </c>
      <c r="AG60" s="9">
        <f>(COUNTIF(INDEX($X$4:$X$200,INDEX($U$4:$U$11,AG$48)):INDEX($X$4:$X$200,INDEX($U$4:$U$11,AG$48+1)-1),$AD3&amp;"_#01")+COUNTIF(INDEX($X$4:$X$200,INDEX($U$4:$U$11,AG$48)):INDEX($X$4:$X$200,INDEX($U$4:$U$11,AG$48+1)-1),$AD3&amp;"_#03"))/(COUNTIF(INDEX($W$4:$W$200,INDEX($U$4:$U$11,AG$48)):INDEX($W$4:$W$200,INDEX($U$4:$U$11,AG$48+1)-1),$AD$3&amp;"_"&amp;$AD$3)+COUNTIF(INDEX($W$4:$W$200,INDEX($U$4:$U$11,AG$48)):INDEX($W$4:$W$200,INDEX($U$4:$U$11,AG$48+1)-1),$AC$3&amp;"_"&amp;$AD$3))</f>
        <v>0.5</v>
      </c>
      <c r="AH60" s="9">
        <f>(COUNTIF(INDEX($X$4:$X$200,INDEX($U$4:$U$11,AH$48)):INDEX($X$4:$X$200,INDEX($U$4:$U$11,AH$48+1)-1),$AD3&amp;"_#01")+COUNTIF(INDEX($X$4:$X$200,INDEX($U$4:$U$11,AH$48)):INDEX($X$4:$X$200,INDEX($U$4:$U$11,AH$48+1)-1),$AD3&amp;"_#03"))/(COUNTIF(INDEX($W$4:$W$200,INDEX($U$4:$U$11,AH$48)):INDEX($W$4:$W$200,INDEX($U$4:$U$11,AH$48+1)-1),$AD$3&amp;"_"&amp;$AD$3)+COUNTIF(INDEX($W$4:$W$200,INDEX($U$4:$U$11,AH$48)):INDEX($W$4:$W$200,INDEX($U$4:$U$11,AH$48+1)-1),$AC$3&amp;"_"&amp;$AD$3))</f>
        <v>0.25</v>
      </c>
      <c r="AI60" s="9">
        <f>(COUNTIF(INDEX($X$4:$X$200,INDEX($U$4:$U$11,AI$48)):INDEX($X$4:$X$200,INDEX($U$4:$U$11,AI$48+1)-1),$AD3&amp;"_#01")+COUNTIF(INDEX($X$4:$X$200,INDEX($U$4:$U$11,AI$48)):INDEX($X$4:$X$200,INDEX($U$4:$U$11,AI$48+1)-1),$AD3&amp;"_#03"))/(COUNTIF(INDEX($W$4:$W$200,INDEX($U$4:$U$11,AI$48)):INDEX($W$4:$W$200,INDEX($U$4:$U$11,AI$48+1)-1),$AD$3&amp;"_"&amp;$AD$3)+COUNTIF(INDEX($W$4:$W$200,INDEX($U$4:$U$11,AI$48)):INDEX($W$4:$W$200,INDEX($U$4:$U$11,AI$48+1)-1),$AC$3&amp;"_"&amp;$AD$3))</f>
        <v>0.3</v>
      </c>
      <c r="AJ60" s="9">
        <f>(COUNTIF(INDEX($X$4:$X$200,INDEX($U$4:$U$11,AJ$48)):INDEX($X$4:$X$200,INDEX($U$4:$U$11,AJ$48+1)-1),$AD3&amp;"_#01")+COUNTIF(INDEX($X$4:$X$200,INDEX($U$4:$U$11,AJ$48)):INDEX($X$4:$X$200,INDEX($U$4:$U$11,AJ$48+1)-1),$AD3&amp;"_#03"))/(COUNTIF(INDEX($W$4:$W$200,INDEX($U$4:$U$11,AJ$48)):INDEX($W$4:$W$200,INDEX($U$4:$U$11,AJ$48+1)-1),$AD$3&amp;"_"&amp;$AD$3)+COUNTIF(INDEX($W$4:$W$200,INDEX($U$4:$U$11,AJ$48)):INDEX($W$4:$W$200,INDEX($U$4:$U$11,AJ$48+1)-1),$AC$3&amp;"_"&amp;$AD$3))</f>
        <v>0</v>
      </c>
      <c r="AK60" s="9" t="e">
        <f>(COUNTIF(INDEX($X$4:$X$200,INDEX($U$4:$U$11,AK$48)):INDEX($X$4:$X$200,INDEX($U$4:$U$11,AK$48+1)-1),$AD3&amp;"_#01")+COUNTIF(INDEX($X$4:$X$200,INDEX($U$4:$U$11,AK$48)):INDEX($X$4:$X$200,INDEX($U$4:$U$11,AK$48+1)-1),$AD3&amp;"_#03"))/(COUNTIF(INDEX($W$4:$W$200,INDEX($U$4:$U$11,AK$48)):INDEX($W$4:$W$200,INDEX($U$4:$U$11,AK$48+1)-1),$AD$3&amp;"_"&amp;$AD$3)+COUNTIF(INDEX($W$4:$W$200,INDEX($U$4:$U$11,AK$48)):INDEX($W$4:$W$200,INDEX($U$4:$U$11,AK$48+1)-1),$AC$3&amp;"_"&amp;$AD$3))</f>
        <v>#VALUE!</v>
      </c>
      <c r="AL60" s="9" t="e">
        <f>(COUNTIF(INDEX($X$4:$X$200,INDEX($U$4:$U$11,AL$48)):INDEX($X$4:$X$200,INDEX($U$4:$U$11,AL$48+1)-1),$AD3&amp;"_#01")+COUNTIF(INDEX($X$4:$X$200,INDEX($U$4:$U$11,AL$48)):INDEX($X$4:$X$200,INDEX($U$4:$U$11,AL$48+1)-1),$AD3&amp;"_#03"))/(COUNTIF(INDEX($W$4:$W$200,INDEX($U$4:$U$11,AL$48)):INDEX($W$4:$W$200,INDEX($U$4:$U$11,AL$48+1)-1),$AD$3&amp;"_"&amp;$AD$3)+COUNTIF(INDEX($W$4:$W$200,INDEX($U$4:$U$11,AL$48)):INDEX($W$4:$W$200,INDEX($U$4:$U$11,AL$48+1)-1),$AC$3&amp;"_"&amp;$AD$3))</f>
        <v>#VALUE!</v>
      </c>
      <c r="AM60" s="9"/>
      <c r="AN60" s="7"/>
      <c r="AO60" s="5"/>
      <c r="AP60" s="5"/>
      <c r="AQ60" s="9"/>
      <c r="AS60" s="5"/>
      <c r="AT60" s="5"/>
      <c r="AU60" s="9"/>
      <c r="AW60" s="5"/>
      <c r="AX60" s="5"/>
      <c r="AY60" s="9"/>
      <c r="BA60" s="5"/>
      <c r="BB60" s="5"/>
      <c r="BC60" s="9"/>
      <c r="BE60" s="5"/>
      <c r="BF60" s="5"/>
      <c r="BG60" s="9"/>
      <c r="BI60" s="5"/>
      <c r="BJ60" s="5"/>
      <c r="BK60" s="9"/>
      <c r="BL60" t="str">
        <f t="shared" si="162"/>
        <v>FENG Tianwei_Side_FENG Tianwei</v>
      </c>
      <c r="BM60" t="str">
        <f t="shared" si="160"/>
        <v>KIHARA Miyuu_(Side)_KIHARA Miyuu</v>
      </c>
      <c r="BN60" t="str">
        <f t="shared" si="160"/>
        <v>FENG Tianwei_Side_FENG Tianwei</v>
      </c>
      <c r="BO60" t="str">
        <f t="shared" si="160"/>
        <v>KIHARA Miyuu_(Side)_FENG Tianwei</v>
      </c>
      <c r="BP60" t="str">
        <f t="shared" si="160"/>
        <v>FENG Tianwei_Side_FENG Tianwei</v>
      </c>
      <c r="BQ60" t="e">
        <f t="shared" si="160"/>
        <v>#VALUE!</v>
      </c>
      <c r="BR60" t="e">
        <f t="shared" si="160"/>
        <v>#VALUE!</v>
      </c>
      <c r="CR60" t="str">
        <f t="shared" si="163"/>
        <v>KIHARA Miyuu_ドライブ_FENG Tianwei</v>
      </c>
      <c r="CS60" t="str">
        <f t="shared" si="164"/>
        <v>FENG Tianwei_Stop_KIHARA Miyuu</v>
      </c>
      <c r="CT60" t="str">
        <f t="shared" si="165"/>
        <v>KIHARA Miyuu_ドライブ_FENG Tianwei</v>
      </c>
      <c r="CU60" t="str">
        <f t="shared" si="166"/>
        <v>FENG Tianwei_Push_FENG Tianwei</v>
      </c>
      <c r="CV60" t="str">
        <f t="shared" si="167"/>
        <v>KIHARA Miyuu_ドライブ_FENG Tianwei</v>
      </c>
      <c r="CW60" t="e">
        <f t="shared" si="168"/>
        <v>#VALUE!</v>
      </c>
      <c r="CX60" t="e">
        <f t="shared" si="169"/>
        <v>#VALUE!</v>
      </c>
      <c r="DH60">
        <f>IF(OR(ROW()-54&gt;INDEX($U$4:$U$11,$AC$2+1,1)-INDEX($U$4:$U$11,$AC$2,1),ROW()-54&gt;$AD$2),NA(),COUNTIF(INDEX($BL$55:$BR$100,INDEX($U$4:$U$11,1,1),$AC$2):INDEX($BL$55:$BR$100,INDEX($U$4:$U$11,1,1)+ROW()-55,$AC$2),DH$53))</f>
        <v>0</v>
      </c>
      <c r="DI60">
        <f>IF(OR(ROW()-54&gt;INDEX($U$4:$U$11,$AC$2+1,1)-INDEX($U$4:$U$11,$AC$2,1),ROW()-54&gt;$AD$2),NA(),COUNTIF(INDEX($BL$55:$BR$100,INDEX($U$4:$U$11,1,1),$AC$2):INDEX($BL$55:$BR$100,INDEX($U$4:$U$11,1,1)+ROW()-55,$AC$2),DI$53))</f>
        <v>2</v>
      </c>
      <c r="DJ60">
        <f>IF(OR(ROW()-54&gt;INDEX($U$4:$U$11,$AC$2+1,1)-INDEX($U$4:$U$11,$AC$2,1),ROW()-54&gt;$AD$2),NA(),COUNTIF(INDEX($BL$55:$BR$100,INDEX($U$4:$U$11,1,1),$AC$2):INDEX($BL$55:$BR$100,INDEX($U$4:$U$11,1,1)+ROW()-55,$AC$2),DJ$53))</f>
        <v>0</v>
      </c>
      <c r="DL60">
        <f>IF(OR(ROW()-54&gt;INDEX($U$4:$U$11,$AC$2+1,1)-INDEX($U$4:$U$11,$AC$2,1),ROW()-54&gt;$AD$2),NA(),COUNTIF(INDEX($BL$55:$BR$100,INDEX($U$4:$U$11,1,1),$AC$2):INDEX($BL$55:$BR$100,INDEX($U$4:$U$11,1,1)+ROW()-55,$AC$2),DL$53))</f>
        <v>0</v>
      </c>
      <c r="DM60">
        <f>IF(OR(ROW()-54&gt;INDEX($U$4:$U$11,$AC$2+1,1)-INDEX($U$4:$U$11,$AC$2,1),ROW()-54&gt;$AD$2),NA(),COUNTIF(INDEX($BL$55:$BR$100,INDEX($U$4:$U$11,1,1),$AC$2):INDEX($BL$5:$BR$50,INDEX($U$4:$U$11,1,1)+ROW()-55,$AC$2),DM$53))</f>
        <v>0</v>
      </c>
      <c r="DN60">
        <f>IF(OR(ROW()-54&gt;INDEX($U$4:$U$11,$AC$2+1,1)-INDEX($U$4:$U$11,$AC$2,1),ROW()-54&gt;$AD$2),NA(),COUNTIF(INDEX($BL$55:$BR$100,INDEX($U$4:$U$11,1,1),$AC$2):INDEX($BL$55:$BR$100,INDEX($U$4:$U$11,1,1)+ROW()-55,$AC$2),DN$53))</f>
        <v>1</v>
      </c>
      <c r="ET60">
        <f>IF(OR(ROW()-54&gt;INDEX($U$4:$U$11,$AC$2+1,1)-INDEX($U$4:$U$11,$AC$2,1),ROW()-54&gt;$AD$2),NA(),COUNTIF(INDEX($CR$55:$CX$90,INDEX($U$4:$U$11,1,1),$AC$2):INDEX($CR$55:$CX$90,INDEX($U$4:$U$11,1,1)+ROW()-55,$AC$2),ET$53))</f>
        <v>0</v>
      </c>
      <c r="EU60">
        <f>IF(OR(ROW()-54&gt;INDEX($U$4:$U$11,$AC$2+1,1)-INDEX($U$4:$U$11,$AC$2,1),ROW()-54&gt;$AD$2),NA(),COUNTIF(INDEX($CR$55:$CX$90,INDEX($U$4:$U$11,1,1),$AC$2):INDEX($CR$55:$CX$90,INDEX($U$4:$U$11,1,1)+ROW()-55,$AC$2),EU$53))</f>
        <v>0</v>
      </c>
      <c r="EV60">
        <f>IF(OR(ROW()-54&gt;INDEX($U$4:$U$11,$AC$2+1,1)-INDEX($U$4:$U$11,$AC$2,1),ROW()-54&gt;$AD$2),NA(),COUNTIF(INDEX($CR$55:$CX$90,INDEX($U$4:$U$11,1,1),$AC$2):INDEX($CR$55:$CX$90,INDEX($U$4:$U$11,1,1)+ROW()-55,$AC$2),EV$53))</f>
        <v>0</v>
      </c>
      <c r="EW60">
        <f>IF(OR(ROW()-54&gt;INDEX($U$4:$U$11,$AC$2+1,1)-INDEX($U$4:$U$11,$AC$2,1),ROW()-54&gt;$AD$2),NA(),COUNTIF(INDEX($CR$55:$CX$90,INDEX($U$4:$U$11,1,1),$AC$2):INDEX($CR$55:$CX$90,INDEX($U$4:$U$11,1,1)+ROW()-55,$AC$2),EW$53))</f>
        <v>0</v>
      </c>
      <c r="EX60">
        <f>IF(OR(ROW()-54&gt;INDEX($U$4:$U$11,$AC$2+1,1)-INDEX($U$4:$U$11,$AC$2,1),ROW()-54&gt;$AD$2),NA(),COUNTIF(INDEX($CR$55:$CX$90,INDEX($U$4:$U$11,1,1),$AC$2):INDEX($CR$55:$CX$90,INDEX($U$4:$U$11,1,1)+ROW()-55,$AC$2),EX$53))</f>
        <v>0</v>
      </c>
      <c r="EY60">
        <f>IF(OR(ROW()-54&gt;INDEX($U$4:$U$11,$AC$2+1,1)-INDEX($U$4:$U$11,$AC$2,1),ROW()-54&gt;$AD$2),NA(),COUNTIF(INDEX($CR$55:$CX$90,INDEX($U$4:$U$11,1,1),$AC$2):INDEX($CR$55:$CX$90,INDEX($U$4:$U$11,1,1)+ROW()-55,$AC$2),EY$53))</f>
        <v>1</v>
      </c>
      <c r="EZ60">
        <f>IF(OR(ROW()-54&gt;INDEX($U$4:$U$11,$AC$2+1,1)-INDEX($U$4:$U$11,$AC$2,1),ROW()-54&gt;$AD$2),NA(),COUNTIF(INDEX($CR$55:$CX$90,INDEX($U$4:$U$11,1,1),$AC$2):INDEX($CR$55:$CX$90,INDEX($U$4:$U$11,1,1)+ROW()-55,$AC$2),EZ$53))</f>
        <v>0</v>
      </c>
      <c r="FA60">
        <f>IF(OR(ROW()-54&gt;INDEX($U$4:$U$11,$AC$2+1,1)-INDEX($U$4:$U$11,$AC$2,1),ROW()-54&gt;$AD$2),NA(),COUNTIF(INDEX($CR$55:$CX$90,INDEX($U$4:$U$11,1,1),$AC$2):INDEX($CR$55:$CX$90,INDEX($U$4:$U$11,1,1)+ROW()-55,$AC$2),FA$53))</f>
        <v>0</v>
      </c>
      <c r="FC60">
        <f>IF(OR(ROW()-54&gt;INDEX($U$4:$U$11,$AC$2+1,1)-INDEX($U$4:$U$11,$AC$2,1),ROW()-54&gt;$AD$2),NA(),COUNTIF(INDEX($CR$55:$CX$90,INDEX($U$4:$U$11,1,1),$AC$2):INDEX($CR$55:$CX$90,INDEX($U$4:$U$11,1,1)+ROW()-55,$AC$2),FC$53))</f>
        <v>0</v>
      </c>
      <c r="FD60">
        <f>IF(OR(ROW()-54&gt;INDEX($U$4:$U$11,$AC$2+1,1)-INDEX($U$4:$U$11,$AC$2,1),ROW()-54&gt;$AD$2),NA(),COUNTIF(INDEX($CR$55:$CX$90,INDEX($U$4:$U$11,1,1),$AC$2):INDEX($CR$55:$CX$90,INDEX($U$4:$U$11,1,1)+ROW()-55,$AC$2),FD$53))</f>
        <v>0</v>
      </c>
      <c r="FE60">
        <f>IF(OR(ROW()-54&gt;INDEX($U$4:$U$11,$AC$2+1,1)-INDEX($U$4:$U$11,$AC$2,1),ROW()-54&gt;$AD$2),NA(),COUNTIF(INDEX($CR$55:$CX$90,INDEX($U$4:$U$11,1,1),$AC$2):INDEX($CR$55:$CX$90,INDEX($U$4:$U$11,1,1)+ROW()-55,$AC$2),FE$53))</f>
        <v>0</v>
      </c>
      <c r="FF60">
        <f>IF(OR(ROW()-54&gt;INDEX($U$4:$U$11,$AC$2+1,1)-INDEX($U$4:$U$11,$AC$2,1),ROW()-54&gt;$AD$2),NA(),COUNTIF(INDEX($CR$55:$CX$90,INDEX($U$4:$U$11,1,1),$AC$2):INDEX($CR$55:$CX$90,INDEX($U$4:$U$11,1,1)+ROW()-55,$AC$2),FF$53))</f>
        <v>1</v>
      </c>
      <c r="FG60">
        <f>IF(OR(ROW()-54&gt;INDEX($U$4:$U$11,$AC$2+1,1)-INDEX($U$4:$U$11,$AC$2,1),ROW()-54&gt;$AD$2),NA(),COUNTIF(INDEX($CR$55:$CX$90,INDEX($U$4:$U$11,1,1),$AC$2):INDEX($CR$55:$CX$90,INDEX($U$4:$U$11,1,1)+ROW()-55,$AC$2),FG$53))</f>
        <v>0</v>
      </c>
      <c r="FH60">
        <f>IF(OR(ROW()-54&gt;INDEX($U$4:$U$11,$AC$2+1,1)-INDEX($U$4:$U$11,$AC$2,1),ROW()-54&gt;$AD$2),NA(),COUNTIF(INDEX($CR$55:$CX$90,INDEX($U$4:$U$11,1,1),$AC$2):INDEX($CR$55:$CX$90,INDEX($U$4:$U$11,1,1)+ROW()-55,$AC$2),FH$53))</f>
        <v>1</v>
      </c>
      <c r="FI60">
        <f>IF(OR(ROW()-54&gt;INDEX($U$4:$U$11,$AC$2+1,1)-INDEX($U$4:$U$11,$AC$2,1),ROW()-54&gt;$AD$2),NA(),COUNTIF(INDEX($CR$55:$CX$90,INDEX($U$4:$U$11,1,1),$AC$2):INDEX($CR$55:$CX$90,INDEX($U$4:$U$11,1,1)+ROW()-55,$AC$2),FI$53))</f>
        <v>0</v>
      </c>
      <c r="FJ60">
        <f>IF(OR(ROW()-54&gt;INDEX($U$4:$U$11,$AC$2+1,1)-INDEX($U$4:$U$11,$AC$2,1),ROW()-54&gt;$AD$2),NA(),COUNTIF(INDEX($CR$55:$CX$90,INDEX($U$4:$U$11,1,1),$AC$2):INDEX($CR$55:$CX$90,INDEX($U$4:$U$11,1,1)+ROW()-55,$AC$2),FJ$53))</f>
        <v>0</v>
      </c>
      <c r="GO60" s="16"/>
      <c r="GP60" s="17"/>
      <c r="GQ60" s="17"/>
      <c r="GR60" s="17"/>
      <c r="GS60" s="17"/>
      <c r="GT60" s="17"/>
      <c r="GU60" s="17"/>
      <c r="GV60" s="17"/>
      <c r="GW60" s="17"/>
      <c r="GX60" s="17"/>
      <c r="GY60" s="17"/>
      <c r="GZ60" s="17"/>
      <c r="HA60" s="17"/>
      <c r="HB60" s="17"/>
      <c r="HC60" s="17"/>
      <c r="HD60" s="17"/>
      <c r="HE60" s="17" t="s">
        <v>60</v>
      </c>
      <c r="HF60" s="46">
        <f>FI43</f>
        <v>0</v>
      </c>
      <c r="HG60" s="43"/>
      <c r="HH60" s="59">
        <f>FI$93</f>
        <v>0</v>
      </c>
      <c r="HI60" s="59">
        <f t="shared" si="159"/>
        <v>0</v>
      </c>
      <c r="HJ60" s="17"/>
      <c r="HK60" s="17"/>
      <c r="HL60" s="17"/>
      <c r="HM60" s="18"/>
    </row>
    <row r="61" spans="1:221" x14ac:dyDescent="0.45">
      <c r="A61" t="str">
        <f>データの貼付!A59</f>
        <v>KIHARA Miyuu</v>
      </c>
      <c r="B61">
        <f>データの貼付!B59</f>
        <v>1.6080486111111111E-2</v>
      </c>
      <c r="C61">
        <f>データの貼付!C59</f>
        <v>9.1134259259259269E-5</v>
      </c>
      <c r="D61">
        <f>データの貼付!D59</f>
        <v>4.3055555555555562E-2</v>
      </c>
      <c r="E61" t="str">
        <f>データの貼付!F59</f>
        <v>KIHARA Miyuu</v>
      </c>
      <c r="F61">
        <f>データの貼付!E59</f>
        <v>4.1666666666666664E-2</v>
      </c>
      <c r="G61" t="str">
        <f>データの貼付!G59</f>
        <v>#05</v>
      </c>
      <c r="H61" t="str">
        <f>データの貼付!H59</f>
        <v>KIHARA Miyuu</v>
      </c>
      <c r="I61" t="str">
        <f>データの貼付!I59</f>
        <v>(Side)</v>
      </c>
      <c r="J61" t="str">
        <f>データの貼付!J59</f>
        <v>B</v>
      </c>
      <c r="K61" t="str">
        <f>データの貼付!K59</f>
        <v>FS</v>
      </c>
      <c r="L61" t="str">
        <f>データの貼付!L59</f>
        <v>F</v>
      </c>
      <c r="M61" t="str">
        <f>データの貼付!M59</f>
        <v>Push</v>
      </c>
      <c r="N61" t="str">
        <f>データの貼付!N59</f>
        <v>FS</v>
      </c>
      <c r="R61">
        <f t="shared" si="59"/>
        <v>0</v>
      </c>
      <c r="S61">
        <f>SUM(R$4:R61)</f>
        <v>4</v>
      </c>
      <c r="T61" t="str">
        <f t="shared" si="60"/>
        <v/>
      </c>
      <c r="W61" t="str">
        <f t="shared" si="57"/>
        <v>KIHARA Miyuu_KIHARA Miyuu</v>
      </c>
      <c r="X61" t="str">
        <f t="shared" si="58"/>
        <v>KIHARA Miyuu_#05</v>
      </c>
      <c r="BL61" t="str">
        <f t="shared" si="162"/>
        <v>KIHARA Miyuu_(Side)_KIHARA Miyuu</v>
      </c>
      <c r="BM61" t="str">
        <f t="shared" si="160"/>
        <v>FENG Tianwei_(Side)_KIHARA Miyuu</v>
      </c>
      <c r="BN61" t="str">
        <f t="shared" si="160"/>
        <v>KIHARA Miyuu_(Side)_FENG Tianwei</v>
      </c>
      <c r="BO61" t="str">
        <f t="shared" si="160"/>
        <v>FENG Tianwei_Back_FENG Tianwei</v>
      </c>
      <c r="BP61" t="str">
        <f t="shared" si="160"/>
        <v>KIHARA Miyuu_(Side)_FENG Tianwei</v>
      </c>
      <c r="BQ61" t="e">
        <f t="shared" si="160"/>
        <v>#VALUE!</v>
      </c>
      <c r="BR61" t="e">
        <f t="shared" si="160"/>
        <v>#VALUE!</v>
      </c>
      <c r="CR61" t="str">
        <f t="shared" si="163"/>
        <v>FENG Tianwei_Push_KIHARA Miyuu</v>
      </c>
      <c r="CS61" t="str">
        <f t="shared" si="164"/>
        <v>KIHARA Miyuu_Stop_KIHARA Miyuu</v>
      </c>
      <c r="CT61" t="str">
        <f t="shared" si="165"/>
        <v>FENG Tianwei_Stop_FENG Tianwei</v>
      </c>
      <c r="CU61" t="str">
        <f t="shared" si="166"/>
        <v>KIHARA Miyuu_Push_FENG Tianwei</v>
      </c>
      <c r="CV61" t="str">
        <f t="shared" si="167"/>
        <v>FENG Tianwei_ドライブ_FENG Tianwei</v>
      </c>
      <c r="CW61" t="e">
        <f t="shared" si="168"/>
        <v>#VALUE!</v>
      </c>
      <c r="CX61" t="e">
        <f t="shared" si="169"/>
        <v>#VALUE!</v>
      </c>
      <c r="DH61">
        <f>IF(OR(ROW()-54&gt;INDEX($U$4:$U$11,$AC$2+1,1)-INDEX($U$4:$U$11,$AC$2,1),ROW()-54&gt;$AD$2),NA(),COUNTIF(INDEX($BL$55:$BR$100,INDEX($U$4:$U$11,1,1),$AC$2):INDEX($BL$55:$BR$100,INDEX($U$4:$U$11,1,1)+ROW()-55,$AC$2),DH$53))</f>
        <v>0</v>
      </c>
      <c r="DI61">
        <f>IF(OR(ROW()-54&gt;INDEX($U$4:$U$11,$AC$2+1,1)-INDEX($U$4:$U$11,$AC$2,1),ROW()-54&gt;$AD$2),NA(),COUNTIF(INDEX($BL$55:$BR$100,INDEX($U$4:$U$11,1,1),$AC$2):INDEX($BL$55:$BR$100,INDEX($U$4:$U$11,1,1)+ROW()-55,$AC$2),DI$53))</f>
        <v>2</v>
      </c>
      <c r="DJ61">
        <f>IF(OR(ROW()-54&gt;INDEX($U$4:$U$11,$AC$2+1,1)-INDEX($U$4:$U$11,$AC$2,1),ROW()-54&gt;$AD$2),NA(),COUNTIF(INDEX($BL$55:$BR$100,INDEX($U$4:$U$11,1,1),$AC$2):INDEX($BL$55:$BR$100,INDEX($U$4:$U$11,1,1)+ROW()-55,$AC$2),DJ$53))</f>
        <v>0</v>
      </c>
      <c r="DL61">
        <f>IF(OR(ROW()-54&gt;INDEX($U$4:$U$11,$AC$2+1,1)-INDEX($U$4:$U$11,$AC$2,1),ROW()-54&gt;$AD$2),NA(),COUNTIF(INDEX($BL$55:$BR$100,INDEX($U$4:$U$11,1,1),$AC$2):INDEX($BL$55:$BR$100,INDEX($U$4:$U$11,1,1)+ROW()-55,$AC$2),DL$53))</f>
        <v>0</v>
      </c>
      <c r="DM61">
        <f>IF(OR(ROW()-54&gt;INDEX($U$4:$U$11,$AC$2+1,1)-INDEX($U$4:$U$11,$AC$2,1),ROW()-54&gt;$AD$2),NA(),COUNTIF(INDEX($BL$55:$BR$100,INDEX($U$4:$U$11,1,1),$AC$2):INDEX($BL$5:$BR$50,INDEX($U$4:$U$11,1,1)+ROW()-55,$AC$2),DM$53))</f>
        <v>0</v>
      </c>
      <c r="DN61">
        <f>IF(OR(ROW()-54&gt;INDEX($U$4:$U$11,$AC$2+1,1)-INDEX($U$4:$U$11,$AC$2,1),ROW()-54&gt;$AD$2),NA(),COUNTIF(INDEX($BL$55:$BR$100,INDEX($U$4:$U$11,1,1),$AC$2):INDEX($BL$55:$BR$100,INDEX($U$4:$U$11,1,1)+ROW()-55,$AC$2),DN$53))</f>
        <v>1</v>
      </c>
      <c r="ET61">
        <f>IF(OR(ROW()-54&gt;INDEX($U$4:$U$11,$AC$2+1,1)-INDEX($U$4:$U$11,$AC$2,1),ROW()-54&gt;$AD$2),NA(),COUNTIF(INDEX($CR$55:$CX$90,INDEX($U$4:$U$11,1,1),$AC$2):INDEX($CR$55:$CX$90,INDEX($U$4:$U$11,1,1)+ROW()-55,$AC$2),ET$53))</f>
        <v>0</v>
      </c>
      <c r="EU61">
        <f>IF(OR(ROW()-54&gt;INDEX($U$4:$U$11,$AC$2+1,1)-INDEX($U$4:$U$11,$AC$2,1),ROW()-54&gt;$AD$2),NA(),COUNTIF(INDEX($CR$55:$CX$90,INDEX($U$4:$U$11,1,1),$AC$2):INDEX($CR$55:$CX$90,INDEX($U$4:$U$11,1,1)+ROW()-55,$AC$2),EU$53))</f>
        <v>0</v>
      </c>
      <c r="EV61">
        <f>IF(OR(ROW()-54&gt;INDEX($U$4:$U$11,$AC$2+1,1)-INDEX($U$4:$U$11,$AC$2,1),ROW()-54&gt;$AD$2),NA(),COUNTIF(INDEX($CR$55:$CX$90,INDEX($U$4:$U$11,1,1),$AC$2):INDEX($CR$55:$CX$90,INDEX($U$4:$U$11,1,1)+ROW()-55,$AC$2),EV$53))</f>
        <v>0</v>
      </c>
      <c r="EW61">
        <f>IF(OR(ROW()-54&gt;INDEX($U$4:$U$11,$AC$2+1,1)-INDEX($U$4:$U$11,$AC$2,1),ROW()-54&gt;$AD$2),NA(),COUNTIF(INDEX($CR$55:$CX$90,INDEX($U$4:$U$11,1,1),$AC$2):INDEX($CR$55:$CX$90,INDEX($U$4:$U$11,1,1)+ROW()-55,$AC$2),EW$53))</f>
        <v>1</v>
      </c>
      <c r="EX61">
        <f>IF(OR(ROW()-54&gt;INDEX($U$4:$U$11,$AC$2+1,1)-INDEX($U$4:$U$11,$AC$2,1),ROW()-54&gt;$AD$2),NA(),COUNTIF(INDEX($CR$55:$CX$90,INDEX($U$4:$U$11,1,1),$AC$2):INDEX($CR$55:$CX$90,INDEX($U$4:$U$11,1,1)+ROW()-55,$AC$2),EX$53))</f>
        <v>0</v>
      </c>
      <c r="EY61">
        <f>IF(OR(ROW()-54&gt;INDEX($U$4:$U$11,$AC$2+1,1)-INDEX($U$4:$U$11,$AC$2,1),ROW()-54&gt;$AD$2),NA(),COUNTIF(INDEX($CR$55:$CX$90,INDEX($U$4:$U$11,1,1),$AC$2):INDEX($CR$55:$CX$90,INDEX($U$4:$U$11,1,1)+ROW()-55,$AC$2),EY$53))</f>
        <v>1</v>
      </c>
      <c r="EZ61">
        <f>IF(OR(ROW()-54&gt;INDEX($U$4:$U$11,$AC$2+1,1)-INDEX($U$4:$U$11,$AC$2,1),ROW()-54&gt;$AD$2),NA(),COUNTIF(INDEX($CR$55:$CX$90,INDEX($U$4:$U$11,1,1),$AC$2):INDEX($CR$55:$CX$90,INDEX($U$4:$U$11,1,1)+ROW()-55,$AC$2),EZ$53))</f>
        <v>0</v>
      </c>
      <c r="FA61">
        <f>IF(OR(ROW()-54&gt;INDEX($U$4:$U$11,$AC$2+1,1)-INDEX($U$4:$U$11,$AC$2,1),ROW()-54&gt;$AD$2),NA(),COUNTIF(INDEX($CR$55:$CX$90,INDEX($U$4:$U$11,1,1),$AC$2):INDEX($CR$55:$CX$90,INDEX($U$4:$U$11,1,1)+ROW()-55,$AC$2),FA$53))</f>
        <v>0</v>
      </c>
      <c r="FC61">
        <f>IF(OR(ROW()-54&gt;INDEX($U$4:$U$11,$AC$2+1,1)-INDEX($U$4:$U$11,$AC$2,1),ROW()-54&gt;$AD$2),NA(),COUNTIF(INDEX($CR$55:$CX$90,INDEX($U$4:$U$11,1,1),$AC$2):INDEX($CR$55:$CX$90,INDEX($U$4:$U$11,1,1)+ROW()-55,$AC$2),FC$53))</f>
        <v>0</v>
      </c>
      <c r="FD61">
        <f>IF(OR(ROW()-54&gt;INDEX($U$4:$U$11,$AC$2+1,1)-INDEX($U$4:$U$11,$AC$2,1),ROW()-54&gt;$AD$2),NA(),COUNTIF(INDEX($CR$55:$CX$90,INDEX($U$4:$U$11,1,1),$AC$2):INDEX($CR$55:$CX$90,INDEX($U$4:$U$11,1,1)+ROW()-55,$AC$2),FD$53))</f>
        <v>0</v>
      </c>
      <c r="FE61">
        <f>IF(OR(ROW()-54&gt;INDEX($U$4:$U$11,$AC$2+1,1)-INDEX($U$4:$U$11,$AC$2,1),ROW()-54&gt;$AD$2),NA(),COUNTIF(INDEX($CR$55:$CX$90,INDEX($U$4:$U$11,1,1),$AC$2):INDEX($CR$55:$CX$90,INDEX($U$4:$U$11,1,1)+ROW()-55,$AC$2),FE$53))</f>
        <v>0</v>
      </c>
      <c r="FF61">
        <f>IF(OR(ROW()-54&gt;INDEX($U$4:$U$11,$AC$2+1,1)-INDEX($U$4:$U$11,$AC$2,1),ROW()-54&gt;$AD$2),NA(),COUNTIF(INDEX($CR$55:$CX$90,INDEX($U$4:$U$11,1,1),$AC$2):INDEX($CR$55:$CX$90,INDEX($U$4:$U$11,1,1)+ROW()-55,$AC$2),FF$53))</f>
        <v>1</v>
      </c>
      <c r="FG61">
        <f>IF(OR(ROW()-54&gt;INDEX($U$4:$U$11,$AC$2+1,1)-INDEX($U$4:$U$11,$AC$2,1),ROW()-54&gt;$AD$2),NA(),COUNTIF(INDEX($CR$55:$CX$90,INDEX($U$4:$U$11,1,1),$AC$2):INDEX($CR$55:$CX$90,INDEX($U$4:$U$11,1,1)+ROW()-55,$AC$2),FG$53))</f>
        <v>0</v>
      </c>
      <c r="FH61">
        <f>IF(OR(ROW()-54&gt;INDEX($U$4:$U$11,$AC$2+1,1)-INDEX($U$4:$U$11,$AC$2,1),ROW()-54&gt;$AD$2),NA(),COUNTIF(INDEX($CR$55:$CX$90,INDEX($U$4:$U$11,1,1),$AC$2):INDEX($CR$55:$CX$90,INDEX($U$4:$U$11,1,1)+ROW()-55,$AC$2),FH$53))</f>
        <v>1</v>
      </c>
      <c r="FI61">
        <f>IF(OR(ROW()-54&gt;INDEX($U$4:$U$11,$AC$2+1,1)-INDEX($U$4:$U$11,$AC$2,1),ROW()-54&gt;$AD$2),NA(),COUNTIF(INDEX($CR$55:$CX$90,INDEX($U$4:$U$11,1,1),$AC$2):INDEX($CR$55:$CX$90,INDEX($U$4:$U$11,1,1)+ROW()-55,$AC$2),FI$53))</f>
        <v>0</v>
      </c>
      <c r="FJ61">
        <f>IF(OR(ROW()-54&gt;INDEX($U$4:$U$11,$AC$2+1,1)-INDEX($U$4:$U$11,$AC$2,1),ROW()-54&gt;$AD$2),NA(),COUNTIF(INDEX($CR$55:$CX$90,INDEX($U$4:$U$11,1,1),$AC$2):INDEX($CR$55:$CX$90,INDEX($U$4:$U$11,1,1)+ROW()-55,$AC$2),FJ$53))</f>
        <v>0</v>
      </c>
      <c r="GO61" s="16"/>
      <c r="GP61" s="17"/>
      <c r="GQ61" s="17"/>
      <c r="GR61" s="17"/>
      <c r="GS61" s="17"/>
      <c r="GT61" s="17"/>
      <c r="GU61" s="17"/>
      <c r="GV61" s="17"/>
      <c r="GW61" s="17"/>
      <c r="GX61" s="17"/>
      <c r="GY61" s="17"/>
      <c r="GZ61" s="17"/>
      <c r="HA61" s="17"/>
      <c r="HB61" s="17"/>
      <c r="HC61" s="17"/>
      <c r="HD61" s="17"/>
      <c r="HE61" s="17" t="s">
        <v>61</v>
      </c>
      <c r="HF61" s="46">
        <f>FJ43</f>
        <v>1</v>
      </c>
      <c r="HG61" s="43"/>
      <c r="HH61" s="59">
        <f>FJ$93</f>
        <v>0</v>
      </c>
      <c r="HI61" s="59">
        <f t="shared" si="159"/>
        <v>1</v>
      </c>
      <c r="HJ61" s="17"/>
      <c r="HK61" s="17"/>
      <c r="HL61" s="17"/>
      <c r="HM61" s="18"/>
    </row>
    <row r="62" spans="1:221" ht="18.600000000000001" thickBot="1" x14ac:dyDescent="0.5">
      <c r="A62" t="str">
        <f>データの貼付!A60</f>
        <v>FENG Tianwei</v>
      </c>
      <c r="B62">
        <f>データの貼付!B60</f>
        <v>1.6412604166666667E-2</v>
      </c>
      <c r="C62">
        <f>データの貼付!C60</f>
        <v>5.7928240740740743E-5</v>
      </c>
      <c r="D62">
        <f>データの貼付!D60</f>
        <v>4.3055555555555562E-2</v>
      </c>
      <c r="E62" t="str">
        <f>データの貼付!F60</f>
        <v>FENG Tianwei</v>
      </c>
      <c r="F62">
        <f>データの貼付!E60</f>
        <v>4.1666666666666664E-2</v>
      </c>
      <c r="G62" t="str">
        <f>データの貼付!G60</f>
        <v>#01</v>
      </c>
      <c r="H62" t="str">
        <f>データの貼付!H60</f>
        <v>FENG Tianwei</v>
      </c>
      <c r="I62" t="str">
        <f>データの貼付!I60</f>
        <v>Side</v>
      </c>
      <c r="J62" t="str">
        <f>データの貼付!J60</f>
        <v>B</v>
      </c>
      <c r="K62" t="str">
        <f>データの貼付!K60</f>
        <v>BM</v>
      </c>
      <c r="L62" t="str">
        <f>データの貼付!L60</f>
        <v>F</v>
      </c>
      <c r="M62" t="str">
        <f>データの貼付!M60</f>
        <v>ドライブ</v>
      </c>
      <c r="N62" t="str">
        <f>データの貼付!N60</f>
        <v>オーバーミス</v>
      </c>
      <c r="R62">
        <f t="shared" si="59"/>
        <v>0</v>
      </c>
      <c r="S62">
        <f>SUM(R$4:R62)</f>
        <v>4</v>
      </c>
      <c r="T62" t="str">
        <f t="shared" si="60"/>
        <v/>
      </c>
      <c r="W62" t="str">
        <f t="shared" si="57"/>
        <v>FENG Tianwei_FENG Tianwei</v>
      </c>
      <c r="X62" t="str">
        <f t="shared" si="58"/>
        <v>FENG Tianwei_#01</v>
      </c>
      <c r="BL62" t="str">
        <f t="shared" si="162"/>
        <v>KIHARA Miyuu_(Side)_KIHARA Miyuu</v>
      </c>
      <c r="BM62" t="str">
        <f t="shared" si="160"/>
        <v>FENG Tianwei_Side_FENG Tianwei</v>
      </c>
      <c r="BN62" t="str">
        <f t="shared" si="160"/>
        <v>KIHARA Miyuu_(Side)_FENG Tianwei</v>
      </c>
      <c r="BO62" t="str">
        <f t="shared" si="160"/>
        <v>FENG Tianwei_Back_KIHARA Miyuu</v>
      </c>
      <c r="BP62" t="str">
        <f t="shared" si="160"/>
        <v>KIHARA Miyuu_(Side)_FENG Tianwei</v>
      </c>
      <c r="BQ62" t="e">
        <f t="shared" si="160"/>
        <v>#VALUE!</v>
      </c>
      <c r="BR62" t="e">
        <f t="shared" si="160"/>
        <v>#VALUE!</v>
      </c>
      <c r="CR62" t="str">
        <f t="shared" ref="CR62:CR90" si="170">IF(BD12=$AC$3,$AD$3,$AC$3)&amp;"_"&amp;IF(INDEX($E$4:$E$200,AN12)=0,"SL",INDEX($M$4:$M$200,AN12)&amp;"_"&amp;INDEX($E$4:$E$200,AN12))</f>
        <v>FENG Tianwei_ドライブ_KIHARA Miyuu</v>
      </c>
      <c r="CS62" t="str">
        <f t="shared" ref="CS62:CS90" si="171">IF(BE12=$AC$3,$AD$3,$AC$3)&amp;"_"&amp;IF(INDEX($E$4:$E$200,AO12)=0,"SL",INDEX($M$4:$M$200,AO12)&amp;"_"&amp;INDEX($E$4:$E$200,AO12))</f>
        <v>KIHARA Miyuu_空振り_FENG Tianwei</v>
      </c>
      <c r="CT62" t="str">
        <f t="shared" ref="CT62:CT90" si="172">IF(BF12=$AC$3,$AD$3,$AC$3)&amp;"_"&amp;IF(INDEX($E$4:$E$200,AP12)=0,"SL",INDEX($M$4:$M$200,AP12)&amp;"_"&amp;INDEX($E$4:$E$200,AP12))</f>
        <v>FENG Tianwei_Push_FENG Tianwei</v>
      </c>
      <c r="CU62" t="str">
        <f t="shared" ref="CU62:CU90" si="173">IF(BG12=$AC$3,$AD$3,$AC$3)&amp;"_"&amp;IF(INDEX($E$4:$E$200,AQ12)=0,"SL",INDEX($M$4:$M$200,AQ12)&amp;"_"&amp;INDEX($E$4:$E$200,AQ12))</f>
        <v>KIHARA Miyuu_ドライブ_KIHARA Miyuu</v>
      </c>
      <c r="CV62" t="str">
        <f t="shared" ref="CV62:CV90" si="174">IF(BH12=$AC$3,$AD$3,$AC$3)&amp;"_"&amp;IF(INDEX($E$4:$E$200,AR12)=0,"SL",INDEX($M$4:$M$200,AR12)&amp;"_"&amp;INDEX($E$4:$E$200,AR12))</f>
        <v>FENG Tianwei_Chiquita_FENG Tianwei</v>
      </c>
      <c r="CW62" t="e">
        <f t="shared" ref="CW62:CW90" si="175">IF(BI12=$AC$3,$AD$3,$AC$3)&amp;"_"&amp;IF(INDEX($E$4:$E$200,AS12)=0,"SL",INDEX($M$4:$M$200,AS12)&amp;"_"&amp;INDEX($E$4:$E$200,AS12))</f>
        <v>#VALUE!</v>
      </c>
      <c r="CX62" t="e">
        <f t="shared" ref="CX62:CX90" si="176">IF(BJ12=$AC$3,$AD$3,$AC$3)&amp;"_"&amp;IF(INDEX($E$4:$E$200,AT12)=0,"SL",INDEX($M$4:$M$200,AT12)&amp;"_"&amp;INDEX($E$4:$E$200,AT12))</f>
        <v>#VALUE!</v>
      </c>
      <c r="DH62">
        <f>IF(OR(ROW()-54&gt;INDEX($U$4:$U$11,$AC$2+1,1)-INDEX($U$4:$U$11,$AC$2,1),ROW()-54&gt;$AD$2),NA(),COUNTIF(INDEX($BL$55:$BR$100,INDEX($U$4:$U$11,1,1),$AC$2):INDEX($BL$55:$BR$100,INDEX($U$4:$U$11,1,1)+ROW()-55,$AC$2),DH$53))</f>
        <v>0</v>
      </c>
      <c r="DI62">
        <f>IF(OR(ROW()-54&gt;INDEX($U$4:$U$11,$AC$2+1,1)-INDEX($U$4:$U$11,$AC$2,1),ROW()-54&gt;$AD$2),NA(),COUNTIF(INDEX($BL$55:$BR$100,INDEX($U$4:$U$11,1,1),$AC$2):INDEX($BL$55:$BR$100,INDEX($U$4:$U$11,1,1)+ROW()-55,$AC$2),DI$53))</f>
        <v>2</v>
      </c>
      <c r="DJ62">
        <f>IF(OR(ROW()-54&gt;INDEX($U$4:$U$11,$AC$2+1,1)-INDEX($U$4:$U$11,$AC$2,1),ROW()-54&gt;$AD$2),NA(),COUNTIF(INDEX($BL$55:$BR$100,INDEX($U$4:$U$11,1,1),$AC$2):INDEX($BL$55:$BR$100,INDEX($U$4:$U$11,1,1)+ROW()-55,$AC$2),DJ$53))</f>
        <v>0</v>
      </c>
      <c r="DL62">
        <f>IF(OR(ROW()-54&gt;INDEX($U$4:$U$11,$AC$2+1,1)-INDEX($U$4:$U$11,$AC$2,1),ROW()-54&gt;$AD$2),NA(),COUNTIF(INDEX($BL$55:$BR$100,INDEX($U$4:$U$11,1,1),$AC$2):INDEX($BL$55:$BR$100,INDEX($U$4:$U$11,1,1)+ROW()-55,$AC$2),DL$53))</f>
        <v>0</v>
      </c>
      <c r="DM62">
        <f>IF(OR(ROW()-54&gt;INDEX($U$4:$U$11,$AC$2+1,1)-INDEX($U$4:$U$11,$AC$2,1),ROW()-54&gt;$AD$2),NA(),COUNTIF(INDEX($BL$55:$BR$100,INDEX($U$4:$U$11,1,1),$AC$2):INDEX($BL$5:$BR$50,INDEX($U$4:$U$11,1,1)+ROW()-55,$AC$2),DM$53))</f>
        <v>0</v>
      </c>
      <c r="DN62">
        <f>IF(OR(ROW()-54&gt;INDEX($U$4:$U$11,$AC$2+1,1)-INDEX($U$4:$U$11,$AC$2,1),ROW()-54&gt;$AD$2),NA(),COUNTIF(INDEX($BL$55:$BR$100,INDEX($U$4:$U$11,1,1),$AC$2):INDEX($BL$55:$BR$100,INDEX($U$4:$U$11,1,1)+ROW()-55,$AC$2),DN$53))</f>
        <v>1</v>
      </c>
      <c r="ET62">
        <f>IF(OR(ROW()-54&gt;INDEX($U$4:$U$11,$AC$2+1,1)-INDEX($U$4:$U$11,$AC$2,1),ROW()-54&gt;$AD$2),NA(),COUNTIF(INDEX($CR$55:$CX$90,INDEX($U$4:$U$11,1,1),$AC$2):INDEX($CR$55:$CX$90,INDEX($U$4:$U$11,1,1)+ROW()-55,$AC$2),ET$53))</f>
        <v>0</v>
      </c>
      <c r="EU62">
        <f>IF(OR(ROW()-54&gt;INDEX($U$4:$U$11,$AC$2+1,1)-INDEX($U$4:$U$11,$AC$2,1),ROW()-54&gt;$AD$2),NA(),COUNTIF(INDEX($CR$55:$CX$90,INDEX($U$4:$U$11,1,1),$AC$2):INDEX($CR$55:$CX$90,INDEX($U$4:$U$11,1,1)+ROW()-55,$AC$2),EU$53))</f>
        <v>0</v>
      </c>
      <c r="EV62">
        <f>IF(OR(ROW()-54&gt;INDEX($U$4:$U$11,$AC$2+1,1)-INDEX($U$4:$U$11,$AC$2,1),ROW()-54&gt;$AD$2),NA(),COUNTIF(INDEX($CR$55:$CX$90,INDEX($U$4:$U$11,1,1),$AC$2):INDEX($CR$55:$CX$90,INDEX($U$4:$U$11,1,1)+ROW()-55,$AC$2),EV$53))</f>
        <v>1</v>
      </c>
      <c r="EW62">
        <f>IF(OR(ROW()-54&gt;INDEX($U$4:$U$11,$AC$2+1,1)-INDEX($U$4:$U$11,$AC$2,1),ROW()-54&gt;$AD$2),NA(),COUNTIF(INDEX($CR$55:$CX$90,INDEX($U$4:$U$11,1,1),$AC$2):INDEX($CR$55:$CX$90,INDEX($U$4:$U$11,1,1)+ROW()-55,$AC$2),EW$53))</f>
        <v>1</v>
      </c>
      <c r="EX62">
        <f>IF(OR(ROW()-54&gt;INDEX($U$4:$U$11,$AC$2+1,1)-INDEX($U$4:$U$11,$AC$2,1),ROW()-54&gt;$AD$2),NA(),COUNTIF(INDEX($CR$55:$CX$90,INDEX($U$4:$U$11,1,1),$AC$2):INDEX($CR$55:$CX$90,INDEX($U$4:$U$11,1,1)+ROW()-55,$AC$2),EX$53))</f>
        <v>0</v>
      </c>
      <c r="EY62">
        <f>IF(OR(ROW()-54&gt;INDEX($U$4:$U$11,$AC$2+1,1)-INDEX($U$4:$U$11,$AC$2,1),ROW()-54&gt;$AD$2),NA(),COUNTIF(INDEX($CR$55:$CX$90,INDEX($U$4:$U$11,1,1),$AC$2):INDEX($CR$55:$CX$90,INDEX($U$4:$U$11,1,1)+ROW()-55,$AC$2),EY$53))</f>
        <v>1</v>
      </c>
      <c r="EZ62">
        <f>IF(OR(ROW()-54&gt;INDEX($U$4:$U$11,$AC$2+1,1)-INDEX($U$4:$U$11,$AC$2,1),ROW()-54&gt;$AD$2),NA(),COUNTIF(INDEX($CR$55:$CX$90,INDEX($U$4:$U$11,1,1),$AC$2):INDEX($CR$55:$CX$90,INDEX($U$4:$U$11,1,1)+ROW()-55,$AC$2),EZ$53))</f>
        <v>0</v>
      </c>
      <c r="FA62">
        <f>IF(OR(ROW()-54&gt;INDEX($U$4:$U$11,$AC$2+1,1)-INDEX($U$4:$U$11,$AC$2,1),ROW()-54&gt;$AD$2),NA(),COUNTIF(INDEX($CR$55:$CX$90,INDEX($U$4:$U$11,1,1),$AC$2):INDEX($CR$55:$CX$90,INDEX($U$4:$U$11,1,1)+ROW()-55,$AC$2),FA$53))</f>
        <v>0</v>
      </c>
      <c r="FC62">
        <f>IF(OR(ROW()-54&gt;INDEX($U$4:$U$11,$AC$2+1,1)-INDEX($U$4:$U$11,$AC$2,1),ROW()-54&gt;$AD$2),NA(),COUNTIF(INDEX($CR$55:$CX$90,INDEX($U$4:$U$11,1,1),$AC$2):INDEX($CR$55:$CX$90,INDEX($U$4:$U$11,1,1)+ROW()-55,$AC$2),FC$53))</f>
        <v>0</v>
      </c>
      <c r="FD62">
        <f>IF(OR(ROW()-54&gt;INDEX($U$4:$U$11,$AC$2+1,1)-INDEX($U$4:$U$11,$AC$2,1),ROW()-54&gt;$AD$2),NA(),COUNTIF(INDEX($CR$55:$CX$90,INDEX($U$4:$U$11,1,1),$AC$2):INDEX($CR$55:$CX$90,INDEX($U$4:$U$11,1,1)+ROW()-55,$AC$2),FD$53))</f>
        <v>0</v>
      </c>
      <c r="FE62">
        <f>IF(OR(ROW()-54&gt;INDEX($U$4:$U$11,$AC$2+1,1)-INDEX($U$4:$U$11,$AC$2,1),ROW()-54&gt;$AD$2),NA(),COUNTIF(INDEX($CR$55:$CX$90,INDEX($U$4:$U$11,1,1),$AC$2):INDEX($CR$55:$CX$90,INDEX($U$4:$U$11,1,1)+ROW()-55,$AC$2),FE$53))</f>
        <v>0</v>
      </c>
      <c r="FF62">
        <f>IF(OR(ROW()-54&gt;INDEX($U$4:$U$11,$AC$2+1,1)-INDEX($U$4:$U$11,$AC$2,1),ROW()-54&gt;$AD$2),NA(),COUNTIF(INDEX($CR$55:$CX$90,INDEX($U$4:$U$11,1,1),$AC$2):INDEX($CR$55:$CX$90,INDEX($U$4:$U$11,1,1)+ROW()-55,$AC$2),FF$53))</f>
        <v>1</v>
      </c>
      <c r="FG62">
        <f>IF(OR(ROW()-54&gt;INDEX($U$4:$U$11,$AC$2+1,1)-INDEX($U$4:$U$11,$AC$2,1),ROW()-54&gt;$AD$2),NA(),COUNTIF(INDEX($CR$55:$CX$90,INDEX($U$4:$U$11,1,1),$AC$2):INDEX($CR$55:$CX$90,INDEX($U$4:$U$11,1,1)+ROW()-55,$AC$2),FG$53))</f>
        <v>0</v>
      </c>
      <c r="FH62">
        <f>IF(OR(ROW()-54&gt;INDEX($U$4:$U$11,$AC$2+1,1)-INDEX($U$4:$U$11,$AC$2,1),ROW()-54&gt;$AD$2),NA(),COUNTIF(INDEX($CR$55:$CX$90,INDEX($U$4:$U$11,1,1),$AC$2):INDEX($CR$55:$CX$90,INDEX($U$4:$U$11,1,1)+ROW()-55,$AC$2),FH$53))</f>
        <v>1</v>
      </c>
      <c r="FI62">
        <f>IF(OR(ROW()-54&gt;INDEX($U$4:$U$11,$AC$2+1,1)-INDEX($U$4:$U$11,$AC$2,1),ROW()-54&gt;$AD$2),NA(),COUNTIF(INDEX($CR$55:$CX$90,INDEX($U$4:$U$11,1,1),$AC$2):INDEX($CR$55:$CX$90,INDEX($U$4:$U$11,1,1)+ROW()-55,$AC$2),FI$53))</f>
        <v>0</v>
      </c>
      <c r="FJ62">
        <f>IF(OR(ROW()-54&gt;INDEX($U$4:$U$11,$AC$2+1,1)-INDEX($U$4:$U$11,$AC$2,1),ROW()-54&gt;$AD$2),NA(),COUNTIF(INDEX($CR$55:$CX$90,INDEX($U$4:$U$11,1,1),$AC$2):INDEX($CR$55:$CX$90,INDEX($U$4:$U$11,1,1)+ROW()-55,$AC$2),FJ$53))</f>
        <v>0</v>
      </c>
      <c r="GO62" s="19"/>
      <c r="GP62" s="20"/>
      <c r="GQ62" s="20"/>
      <c r="GR62" s="20"/>
      <c r="GS62" s="20"/>
      <c r="GT62" s="20"/>
      <c r="GU62" s="20"/>
      <c r="GV62" s="20"/>
      <c r="GW62" s="20"/>
      <c r="GX62" s="20"/>
      <c r="GY62" s="20"/>
      <c r="GZ62" s="20"/>
      <c r="HA62" s="20"/>
      <c r="HB62" s="20"/>
      <c r="HC62" s="20"/>
      <c r="HD62" s="20"/>
      <c r="HE62" s="20" t="str">
        <f>$AD$3</f>
        <v>KIHARA Miyuu</v>
      </c>
      <c r="HF62" s="20"/>
      <c r="HG62" s="20"/>
      <c r="HH62" t="s">
        <v>83</v>
      </c>
      <c r="HI62" t="s">
        <v>84</v>
      </c>
      <c r="HJ62" s="20"/>
      <c r="HK62" s="20"/>
      <c r="HL62" s="20"/>
      <c r="HM62" s="21"/>
    </row>
    <row r="63" spans="1:221" x14ac:dyDescent="0.45">
      <c r="A63" t="str">
        <f>データの貼付!A61</f>
        <v>FENG Tianwei</v>
      </c>
      <c r="B63">
        <f>データの貼付!B61</f>
        <v>1.6660162037037039E-2</v>
      </c>
      <c r="C63">
        <f>データの貼付!C61</f>
        <v>4.3252314814814813E-5</v>
      </c>
      <c r="D63">
        <f>データの貼付!D61</f>
        <v>4.3055555555555562E-2</v>
      </c>
      <c r="E63" t="str">
        <f>データの貼付!F61</f>
        <v>FENG Tianwei</v>
      </c>
      <c r="F63">
        <f>データの貼付!E61</f>
        <v>4.1666666666666664E-2</v>
      </c>
      <c r="G63" t="str">
        <f>データの貼付!G61</f>
        <v>#01</v>
      </c>
      <c r="H63" t="str">
        <f>データの貼付!H61</f>
        <v>FENG Tianwei</v>
      </c>
      <c r="I63" t="str">
        <f>データの貼付!I61</f>
        <v>Side</v>
      </c>
      <c r="J63" t="str">
        <f>データの貼付!J61</f>
        <v>B</v>
      </c>
      <c r="K63" t="str">
        <f>データの貼付!K61</f>
        <v>B</v>
      </c>
      <c r="L63" t="str">
        <f>データの貼付!L61</f>
        <v>B</v>
      </c>
      <c r="M63" t="str">
        <f>データの貼付!M61</f>
        <v>ドライブ</v>
      </c>
      <c r="N63" t="str">
        <f>データの貼付!N61</f>
        <v>ネット</v>
      </c>
      <c r="R63">
        <f t="shared" si="59"/>
        <v>0</v>
      </c>
      <c r="S63">
        <f>SUM(R$4:R63)</f>
        <v>4</v>
      </c>
      <c r="T63" t="str">
        <f t="shared" si="60"/>
        <v/>
      </c>
      <c r="W63" t="str">
        <f t="shared" si="57"/>
        <v>FENG Tianwei_FENG Tianwei</v>
      </c>
      <c r="X63" t="str">
        <f t="shared" si="58"/>
        <v>FENG Tianwei_#01</v>
      </c>
      <c r="BL63" t="str">
        <f t="shared" si="162"/>
        <v>FENG Tianwei_(Side)_FENG Tianwei</v>
      </c>
      <c r="BM63" t="str">
        <f t="shared" si="160"/>
        <v>KIHARA Miyuu_(Side)_FENG Tianwei</v>
      </c>
      <c r="BN63" t="str">
        <f t="shared" si="160"/>
        <v>FENG Tianwei_Side_FENG Tianwei</v>
      </c>
      <c r="BO63" t="str">
        <f t="shared" si="160"/>
        <v>KIHARA Miyuu_(Side)_KIHARA Miyuu</v>
      </c>
      <c r="BP63" t="e">
        <f t="shared" si="160"/>
        <v>#VALUE!</v>
      </c>
      <c r="BQ63" t="e">
        <f t="shared" si="160"/>
        <v>#VALUE!</v>
      </c>
      <c r="BR63" t="e">
        <f t="shared" si="160"/>
        <v>#VALUE!</v>
      </c>
      <c r="CR63" t="str">
        <f t="shared" si="170"/>
        <v>KIHARA Miyuu_Stop_FENG Tianwei</v>
      </c>
      <c r="CS63" t="str">
        <f t="shared" si="171"/>
        <v>FENG Tianwei_ドライブ_FENG Tianwei</v>
      </c>
      <c r="CT63" t="str">
        <f t="shared" si="172"/>
        <v>KIHARA Miyuu_ドライブ_FENG Tianwei</v>
      </c>
      <c r="CU63" t="str">
        <f t="shared" si="173"/>
        <v>FENG Tianwei_Push_KIHARA Miyuu</v>
      </c>
      <c r="CV63" t="e">
        <f t="shared" si="174"/>
        <v>#VALUE!</v>
      </c>
      <c r="CW63" t="e">
        <f t="shared" si="175"/>
        <v>#VALUE!</v>
      </c>
      <c r="CX63" t="e">
        <f t="shared" si="176"/>
        <v>#VALUE!</v>
      </c>
      <c r="DH63">
        <f>IF(OR(ROW()-54&gt;INDEX($U$4:$U$11,$AC$2+1,1)-INDEX($U$4:$U$11,$AC$2,1),ROW()-54&gt;$AD$2),NA(),COUNTIF(INDEX($BL$55:$BR$100,INDEX($U$4:$U$11,1,1),$AC$2):INDEX($BL$55:$BR$100,INDEX($U$4:$U$11,1,1)+ROW()-55,$AC$2),DH$53))</f>
        <v>0</v>
      </c>
      <c r="DI63">
        <f>IF(OR(ROW()-54&gt;INDEX($U$4:$U$11,$AC$2+1,1)-INDEX($U$4:$U$11,$AC$2,1),ROW()-54&gt;$AD$2),NA(),COUNTIF(INDEX($BL$55:$BR$100,INDEX($U$4:$U$11,1,1),$AC$2):INDEX($BL$55:$BR$100,INDEX($U$4:$U$11,1,1)+ROW()-55,$AC$2),DI$53))</f>
        <v>3</v>
      </c>
      <c r="DJ63">
        <f>IF(OR(ROW()-54&gt;INDEX($U$4:$U$11,$AC$2+1,1)-INDEX($U$4:$U$11,$AC$2,1),ROW()-54&gt;$AD$2),NA(),COUNTIF(INDEX($BL$55:$BR$100,INDEX($U$4:$U$11,1,1),$AC$2):INDEX($BL$55:$BR$100,INDEX($U$4:$U$11,1,1)+ROW()-55,$AC$2),DJ$53))</f>
        <v>0</v>
      </c>
      <c r="DL63">
        <f>IF(OR(ROW()-54&gt;INDEX($U$4:$U$11,$AC$2+1,1)-INDEX($U$4:$U$11,$AC$2,1),ROW()-54&gt;$AD$2),NA(),COUNTIF(INDEX($BL$55:$BR$100,INDEX($U$4:$U$11,1,1),$AC$2):INDEX($BL$55:$BR$100,INDEX($U$4:$U$11,1,1)+ROW()-55,$AC$2),DL$53))</f>
        <v>0</v>
      </c>
      <c r="DM63">
        <f>IF(OR(ROW()-54&gt;INDEX($U$4:$U$11,$AC$2+1,1)-INDEX($U$4:$U$11,$AC$2,1),ROW()-54&gt;$AD$2),NA(),COUNTIF(INDEX($BL$55:$BR$100,INDEX($U$4:$U$11,1,1),$AC$2):INDEX($BL$5:$BR$50,INDEX($U$4:$U$11,1,1)+ROW()-55,$AC$2),DM$53))</f>
        <v>0</v>
      </c>
      <c r="DN63">
        <f>IF(OR(ROW()-54&gt;INDEX($U$4:$U$11,$AC$2+1,1)-INDEX($U$4:$U$11,$AC$2,1),ROW()-54&gt;$AD$2),NA(),COUNTIF(INDEX($BL$55:$BR$100,INDEX($U$4:$U$11,1,1),$AC$2):INDEX($BL$55:$BR$100,INDEX($U$4:$U$11,1,1)+ROW()-55,$AC$2),DN$53))</f>
        <v>1</v>
      </c>
      <c r="ET63">
        <f>IF(OR(ROW()-54&gt;INDEX($U$4:$U$11,$AC$2+1,1)-INDEX($U$4:$U$11,$AC$2,1),ROW()-54&gt;$AD$2),NA(),COUNTIF(INDEX($CR$55:$CX$90,INDEX($U$4:$U$11,1,1),$AC$2):INDEX($CR$55:$CX$90,INDEX($U$4:$U$11,1,1)+ROW()-55,$AC$2),ET$53))</f>
        <v>0</v>
      </c>
      <c r="EU63">
        <f>IF(OR(ROW()-54&gt;INDEX($U$4:$U$11,$AC$2+1,1)-INDEX($U$4:$U$11,$AC$2,1),ROW()-54&gt;$AD$2),NA(),COUNTIF(INDEX($CR$55:$CX$90,INDEX($U$4:$U$11,1,1),$AC$2):INDEX($CR$55:$CX$90,INDEX($U$4:$U$11,1,1)+ROW()-55,$AC$2),EU$53))</f>
        <v>0</v>
      </c>
      <c r="EV63">
        <f>IF(OR(ROW()-54&gt;INDEX($U$4:$U$11,$AC$2+1,1)-INDEX($U$4:$U$11,$AC$2,1),ROW()-54&gt;$AD$2),NA(),COUNTIF(INDEX($CR$55:$CX$90,INDEX($U$4:$U$11,1,1),$AC$2):INDEX($CR$55:$CX$90,INDEX($U$4:$U$11,1,1)+ROW()-55,$AC$2),EV$53))</f>
        <v>1</v>
      </c>
      <c r="EW63">
        <f>IF(OR(ROW()-54&gt;INDEX($U$4:$U$11,$AC$2+1,1)-INDEX($U$4:$U$11,$AC$2,1),ROW()-54&gt;$AD$2),NA(),COUNTIF(INDEX($CR$55:$CX$90,INDEX($U$4:$U$11,1,1),$AC$2):INDEX($CR$55:$CX$90,INDEX($U$4:$U$11,1,1)+ROW()-55,$AC$2),EW$53))</f>
        <v>1</v>
      </c>
      <c r="EX63">
        <f>IF(OR(ROW()-54&gt;INDEX($U$4:$U$11,$AC$2+1,1)-INDEX($U$4:$U$11,$AC$2,1),ROW()-54&gt;$AD$2),NA(),COUNTIF(INDEX($CR$55:$CX$90,INDEX($U$4:$U$11,1,1),$AC$2):INDEX($CR$55:$CX$90,INDEX($U$4:$U$11,1,1)+ROW()-55,$AC$2),EX$53))</f>
        <v>0</v>
      </c>
      <c r="EY63">
        <f>IF(OR(ROW()-54&gt;INDEX($U$4:$U$11,$AC$2+1,1)-INDEX($U$4:$U$11,$AC$2,1),ROW()-54&gt;$AD$2),NA(),COUNTIF(INDEX($CR$55:$CX$90,INDEX($U$4:$U$11,1,1),$AC$2):INDEX($CR$55:$CX$90,INDEX($U$4:$U$11,1,1)+ROW()-55,$AC$2),EY$53))</f>
        <v>1</v>
      </c>
      <c r="EZ63">
        <f>IF(OR(ROW()-54&gt;INDEX($U$4:$U$11,$AC$2+1,1)-INDEX($U$4:$U$11,$AC$2,1),ROW()-54&gt;$AD$2),NA(),COUNTIF(INDEX($CR$55:$CX$90,INDEX($U$4:$U$11,1,1),$AC$2):INDEX($CR$55:$CX$90,INDEX($U$4:$U$11,1,1)+ROW()-55,$AC$2),EZ$53))</f>
        <v>0</v>
      </c>
      <c r="FA63">
        <f>IF(OR(ROW()-54&gt;INDEX($U$4:$U$11,$AC$2+1,1)-INDEX($U$4:$U$11,$AC$2,1),ROW()-54&gt;$AD$2),NA(),COUNTIF(INDEX($CR$55:$CX$90,INDEX($U$4:$U$11,1,1),$AC$2):INDEX($CR$55:$CX$90,INDEX($U$4:$U$11,1,1)+ROW()-55,$AC$2),FA$53))</f>
        <v>0</v>
      </c>
      <c r="FC63">
        <f>IF(OR(ROW()-54&gt;INDEX($U$4:$U$11,$AC$2+1,1)-INDEX($U$4:$U$11,$AC$2,1),ROW()-54&gt;$AD$2),NA(),COUNTIF(INDEX($CR$55:$CX$90,INDEX($U$4:$U$11,1,1),$AC$2):INDEX($CR$55:$CX$90,INDEX($U$4:$U$11,1,1)+ROW()-55,$AC$2),FC$53))</f>
        <v>0</v>
      </c>
      <c r="FD63">
        <f>IF(OR(ROW()-54&gt;INDEX($U$4:$U$11,$AC$2+1,1)-INDEX($U$4:$U$11,$AC$2,1),ROW()-54&gt;$AD$2),NA(),COUNTIF(INDEX($CR$55:$CX$90,INDEX($U$4:$U$11,1,1),$AC$2):INDEX($CR$55:$CX$90,INDEX($U$4:$U$11,1,1)+ROW()-55,$AC$2),FD$53))</f>
        <v>0</v>
      </c>
      <c r="FE63">
        <f>IF(OR(ROW()-54&gt;INDEX($U$4:$U$11,$AC$2+1,1)-INDEX($U$4:$U$11,$AC$2,1),ROW()-54&gt;$AD$2),NA(),COUNTIF(INDEX($CR$55:$CX$90,INDEX($U$4:$U$11,1,1),$AC$2):INDEX($CR$55:$CX$90,INDEX($U$4:$U$11,1,1)+ROW()-55,$AC$2),FE$53))</f>
        <v>0</v>
      </c>
      <c r="FF63">
        <f>IF(OR(ROW()-54&gt;INDEX($U$4:$U$11,$AC$2+1,1)-INDEX($U$4:$U$11,$AC$2,1),ROW()-54&gt;$AD$2),NA(),COUNTIF(INDEX($CR$55:$CX$90,INDEX($U$4:$U$11,1,1),$AC$2):INDEX($CR$55:$CX$90,INDEX($U$4:$U$11,1,1)+ROW()-55,$AC$2),FF$53))</f>
        <v>1</v>
      </c>
      <c r="FG63">
        <f>IF(OR(ROW()-54&gt;INDEX($U$4:$U$11,$AC$2+1,1)-INDEX($U$4:$U$11,$AC$2,1),ROW()-54&gt;$AD$2),NA(),COUNTIF(INDEX($CR$55:$CX$90,INDEX($U$4:$U$11,1,1),$AC$2):INDEX($CR$55:$CX$90,INDEX($U$4:$U$11,1,1)+ROW()-55,$AC$2),FG$53))</f>
        <v>0</v>
      </c>
      <c r="FH63">
        <f>IF(OR(ROW()-54&gt;INDEX($U$4:$U$11,$AC$2+1,1)-INDEX($U$4:$U$11,$AC$2,1),ROW()-54&gt;$AD$2),NA(),COUNTIF(INDEX($CR$55:$CX$90,INDEX($U$4:$U$11,1,1),$AC$2):INDEX($CR$55:$CX$90,INDEX($U$4:$U$11,1,1)+ROW()-55,$AC$2),FH$53))</f>
        <v>1</v>
      </c>
      <c r="FI63">
        <f>IF(OR(ROW()-54&gt;INDEX($U$4:$U$11,$AC$2+1,1)-INDEX($U$4:$U$11,$AC$2,1),ROW()-54&gt;$AD$2),NA(),COUNTIF(INDEX($CR$55:$CX$90,INDEX($U$4:$U$11,1,1),$AC$2):INDEX($CR$55:$CX$90,INDEX($U$4:$U$11,1,1)+ROW()-55,$AC$2),FI$53))</f>
        <v>0</v>
      </c>
      <c r="FJ63">
        <f>IF(OR(ROW()-54&gt;INDEX($U$4:$U$11,$AC$2+1,1)-INDEX($U$4:$U$11,$AC$2,1),ROW()-54&gt;$AD$2),NA(),COUNTIF(INDEX($CR$55:$CX$90,INDEX($U$4:$U$11,1,1),$AC$2):INDEX($CR$55:$CX$90,INDEX($U$4:$U$11,1,1)+ROW()-55,$AC$2),FJ$53))</f>
        <v>0</v>
      </c>
    </row>
    <row r="64" spans="1:221" x14ac:dyDescent="0.45">
      <c r="A64" t="str">
        <f>データの貼付!A62</f>
        <v>KIHARA Miyuu</v>
      </c>
      <c r="B64">
        <f>データの貼付!B62</f>
        <v>1.693744212962963E-2</v>
      </c>
      <c r="C64">
        <f>データの貼付!C62</f>
        <v>6.178240740740741E-5</v>
      </c>
      <c r="D64">
        <f>データの貼付!D62</f>
        <v>4.3055555555555562E-2</v>
      </c>
      <c r="E64" t="str">
        <f>データの貼付!F62</f>
        <v>KIHARA Miyuu</v>
      </c>
      <c r="F64">
        <f>データの貼付!E62</f>
        <v>4.1666666666666664E-2</v>
      </c>
      <c r="G64" t="str">
        <f>データの貼付!G62</f>
        <v>#03</v>
      </c>
      <c r="H64" t="str">
        <f>データの貼付!H62</f>
        <v>KIHARA Miyuu</v>
      </c>
      <c r="I64" t="str">
        <f>データの貼付!I62</f>
        <v>(Side)</v>
      </c>
      <c r="J64" t="str">
        <f>データの貼付!J62</f>
        <v>B</v>
      </c>
      <c r="K64" t="str">
        <f>データの貼付!K62</f>
        <v>FMS</v>
      </c>
      <c r="L64" t="str">
        <f>データの貼付!L62</f>
        <v>F</v>
      </c>
      <c r="M64" t="str">
        <f>データの貼付!M62</f>
        <v>Push</v>
      </c>
      <c r="N64" t="str">
        <f>データの貼付!N62</f>
        <v>B</v>
      </c>
      <c r="R64">
        <f t="shared" si="59"/>
        <v>0</v>
      </c>
      <c r="S64">
        <f>SUM(R$4:R64)</f>
        <v>4</v>
      </c>
      <c r="T64" t="str">
        <f t="shared" si="60"/>
        <v/>
      </c>
      <c r="W64" t="str">
        <f t="shared" si="57"/>
        <v>KIHARA Miyuu_KIHARA Miyuu</v>
      </c>
      <c r="X64" t="str">
        <f t="shared" si="58"/>
        <v>KIHARA Miyuu_#03</v>
      </c>
      <c r="BL64" t="str">
        <f t="shared" si="162"/>
        <v>FENG Tianwei_(Side)_FENG Tianwei</v>
      </c>
      <c r="BM64" t="str">
        <f t="shared" si="160"/>
        <v>KIHARA Miyuu_(Side)_KIHARA Miyuu</v>
      </c>
      <c r="BN64" t="str">
        <f t="shared" si="160"/>
        <v>FENG Tianwei_Back_FENG Tianwei</v>
      </c>
      <c r="BO64" t="str">
        <f t="shared" si="160"/>
        <v>KIHARA Miyuu_(Side)_KIHARA Miyuu</v>
      </c>
      <c r="BP64" t="e">
        <f t="shared" si="160"/>
        <v>#VALUE!</v>
      </c>
      <c r="BQ64" t="e">
        <f t="shared" si="160"/>
        <v>#VALUE!</v>
      </c>
      <c r="BR64" t="e">
        <f t="shared" si="160"/>
        <v>#VALUE!</v>
      </c>
      <c r="CR64" t="str">
        <f t="shared" si="170"/>
        <v>KIHARA Miyuu_ドライブ_FENG Tianwei</v>
      </c>
      <c r="CS64" t="str">
        <f t="shared" si="171"/>
        <v>FENG Tianwei_Chiquita_KIHARA Miyuu</v>
      </c>
      <c r="CT64" t="str">
        <f t="shared" si="172"/>
        <v>KIHARA Miyuu_Stop_FENG Tianwei</v>
      </c>
      <c r="CU64" t="str">
        <f t="shared" si="173"/>
        <v>FENG Tianwei_Push_KIHARA Miyuu</v>
      </c>
      <c r="CV64" t="e">
        <f t="shared" si="174"/>
        <v>#VALUE!</v>
      </c>
      <c r="CW64" t="e">
        <f t="shared" si="175"/>
        <v>#VALUE!</v>
      </c>
      <c r="CX64" t="e">
        <f t="shared" si="176"/>
        <v>#VALUE!</v>
      </c>
      <c r="DH64">
        <f>IF(OR(ROW()-54&gt;INDEX($U$4:$U$11,$AC$2+1,1)-INDEX($U$4:$U$11,$AC$2,1),ROW()-54&gt;$AD$2),NA(),COUNTIF(INDEX($BL$55:$BR$100,INDEX($U$4:$U$11,1,1),$AC$2):INDEX($BL$55:$BR$100,INDEX($U$4:$U$11,1,1)+ROW()-55,$AC$2),DH$53))</f>
        <v>1</v>
      </c>
      <c r="DI64">
        <f>IF(OR(ROW()-54&gt;INDEX($U$4:$U$11,$AC$2+1,1)-INDEX($U$4:$U$11,$AC$2,1),ROW()-54&gt;$AD$2),NA(),COUNTIF(INDEX($BL$55:$BR$100,INDEX($U$4:$U$11,1,1),$AC$2):INDEX($BL$55:$BR$100,INDEX($U$4:$U$11,1,1)+ROW()-55,$AC$2),DI$53))</f>
        <v>3</v>
      </c>
      <c r="DJ64">
        <f>IF(OR(ROW()-54&gt;INDEX($U$4:$U$11,$AC$2+1,1)-INDEX($U$4:$U$11,$AC$2,1),ROW()-54&gt;$AD$2),NA(),COUNTIF(INDEX($BL$55:$BR$100,INDEX($U$4:$U$11,1,1),$AC$2):INDEX($BL$55:$BR$100,INDEX($U$4:$U$11,1,1)+ROW()-55,$AC$2),DJ$53))</f>
        <v>0</v>
      </c>
      <c r="DL64">
        <f>IF(OR(ROW()-54&gt;INDEX($U$4:$U$11,$AC$2+1,1)-INDEX($U$4:$U$11,$AC$2,1),ROW()-54&gt;$AD$2),NA(),COUNTIF(INDEX($BL$55:$BR$100,INDEX($U$4:$U$11,1,1),$AC$2):INDEX($BL$55:$BR$100,INDEX($U$4:$U$11,1,1)+ROW()-55,$AC$2),DL$53))</f>
        <v>0</v>
      </c>
      <c r="DM64">
        <f>IF(OR(ROW()-54&gt;INDEX($U$4:$U$11,$AC$2+1,1)-INDEX($U$4:$U$11,$AC$2,1),ROW()-54&gt;$AD$2),NA(),COUNTIF(INDEX($BL$55:$BR$100,INDEX($U$4:$U$11,1,1),$AC$2):INDEX($BL$5:$BR$50,INDEX($U$4:$U$11,1,1)+ROW()-55,$AC$2),DM$53))</f>
        <v>0</v>
      </c>
      <c r="DN64">
        <f>IF(OR(ROW()-54&gt;INDEX($U$4:$U$11,$AC$2+1,1)-INDEX($U$4:$U$11,$AC$2,1),ROW()-54&gt;$AD$2),NA(),COUNTIF(INDEX($BL$55:$BR$100,INDEX($U$4:$U$11,1,1),$AC$2):INDEX($BL$55:$BR$100,INDEX($U$4:$U$11,1,1)+ROW()-55,$AC$2),DN$53))</f>
        <v>1</v>
      </c>
      <c r="ET64">
        <f>IF(OR(ROW()-54&gt;INDEX($U$4:$U$11,$AC$2+1,1)-INDEX($U$4:$U$11,$AC$2,1),ROW()-54&gt;$AD$2),NA(),COUNTIF(INDEX($CR$55:$CX$90,INDEX($U$4:$U$11,1,1),$AC$2):INDEX($CR$55:$CX$90,INDEX($U$4:$U$11,1,1)+ROW()-55,$AC$2),ET$53))</f>
        <v>0</v>
      </c>
      <c r="EU64">
        <f>IF(OR(ROW()-54&gt;INDEX($U$4:$U$11,$AC$2+1,1)-INDEX($U$4:$U$11,$AC$2,1),ROW()-54&gt;$AD$2),NA(),COUNTIF(INDEX($CR$55:$CX$90,INDEX($U$4:$U$11,1,1),$AC$2):INDEX($CR$55:$CX$90,INDEX($U$4:$U$11,1,1)+ROW()-55,$AC$2),EU$53))</f>
        <v>0</v>
      </c>
      <c r="EV64">
        <f>IF(OR(ROW()-54&gt;INDEX($U$4:$U$11,$AC$2+1,1)-INDEX($U$4:$U$11,$AC$2,1),ROW()-54&gt;$AD$2),NA(),COUNTIF(INDEX($CR$55:$CX$90,INDEX($U$4:$U$11,1,1),$AC$2):INDEX($CR$55:$CX$90,INDEX($U$4:$U$11,1,1)+ROW()-55,$AC$2),EV$53))</f>
        <v>1</v>
      </c>
      <c r="EW64">
        <f>IF(OR(ROW()-54&gt;INDEX($U$4:$U$11,$AC$2+1,1)-INDEX($U$4:$U$11,$AC$2,1),ROW()-54&gt;$AD$2),NA(),COUNTIF(INDEX($CR$55:$CX$90,INDEX($U$4:$U$11,1,1),$AC$2):INDEX($CR$55:$CX$90,INDEX($U$4:$U$11,1,1)+ROW()-55,$AC$2),EW$53))</f>
        <v>1</v>
      </c>
      <c r="EX64">
        <f>IF(OR(ROW()-54&gt;INDEX($U$4:$U$11,$AC$2+1,1)-INDEX($U$4:$U$11,$AC$2,1),ROW()-54&gt;$AD$2),NA(),COUNTIF(INDEX($CR$55:$CX$90,INDEX($U$4:$U$11,1,1),$AC$2):INDEX($CR$55:$CX$90,INDEX($U$4:$U$11,1,1)+ROW()-55,$AC$2),EX$53))</f>
        <v>0</v>
      </c>
      <c r="EY64">
        <f>IF(OR(ROW()-54&gt;INDEX($U$4:$U$11,$AC$2+1,1)-INDEX($U$4:$U$11,$AC$2,1),ROW()-54&gt;$AD$2),NA(),COUNTIF(INDEX($CR$55:$CX$90,INDEX($U$4:$U$11,1,1),$AC$2):INDEX($CR$55:$CX$90,INDEX($U$4:$U$11,1,1)+ROW()-55,$AC$2),EY$53))</f>
        <v>1</v>
      </c>
      <c r="EZ64">
        <f>IF(OR(ROW()-54&gt;INDEX($U$4:$U$11,$AC$2+1,1)-INDEX($U$4:$U$11,$AC$2,1),ROW()-54&gt;$AD$2),NA(),COUNTIF(INDEX($CR$55:$CX$90,INDEX($U$4:$U$11,1,1),$AC$2):INDEX($CR$55:$CX$90,INDEX($U$4:$U$11,1,1)+ROW()-55,$AC$2),EZ$53))</f>
        <v>0</v>
      </c>
      <c r="FA64">
        <f>IF(OR(ROW()-54&gt;INDEX($U$4:$U$11,$AC$2+1,1)-INDEX($U$4:$U$11,$AC$2,1),ROW()-54&gt;$AD$2),NA(),COUNTIF(INDEX($CR$55:$CX$90,INDEX($U$4:$U$11,1,1),$AC$2):INDEX($CR$55:$CX$90,INDEX($U$4:$U$11,1,1)+ROW()-55,$AC$2),FA$53))</f>
        <v>0</v>
      </c>
      <c r="FC64">
        <f>IF(OR(ROW()-54&gt;INDEX($U$4:$U$11,$AC$2+1,1)-INDEX($U$4:$U$11,$AC$2,1),ROW()-54&gt;$AD$2),NA(),COUNTIF(INDEX($CR$55:$CX$90,INDEX($U$4:$U$11,1,1),$AC$2):INDEX($CR$55:$CX$90,INDEX($U$4:$U$11,1,1)+ROW()-55,$AC$2),FC$53))</f>
        <v>0</v>
      </c>
      <c r="FD64">
        <f>IF(OR(ROW()-54&gt;INDEX($U$4:$U$11,$AC$2+1,1)-INDEX($U$4:$U$11,$AC$2,1),ROW()-54&gt;$AD$2),NA(),COUNTIF(INDEX($CR$55:$CX$90,INDEX($U$4:$U$11,1,1),$AC$2):INDEX($CR$55:$CX$90,INDEX($U$4:$U$11,1,1)+ROW()-55,$AC$2),FD$53))</f>
        <v>0</v>
      </c>
      <c r="FE64">
        <f>IF(OR(ROW()-54&gt;INDEX($U$4:$U$11,$AC$2+1,1)-INDEX($U$4:$U$11,$AC$2,1),ROW()-54&gt;$AD$2),NA(),COUNTIF(INDEX($CR$55:$CX$90,INDEX($U$4:$U$11,1,1),$AC$2):INDEX($CR$55:$CX$90,INDEX($U$4:$U$11,1,1)+ROW()-55,$AC$2),FE$53))</f>
        <v>0</v>
      </c>
      <c r="FF64">
        <f>IF(OR(ROW()-54&gt;INDEX($U$4:$U$11,$AC$2+1,1)-INDEX($U$4:$U$11,$AC$2,1),ROW()-54&gt;$AD$2),NA(),COUNTIF(INDEX($CR$55:$CX$90,INDEX($U$4:$U$11,1,1),$AC$2):INDEX($CR$55:$CX$90,INDEX($U$4:$U$11,1,1)+ROW()-55,$AC$2),FF$53))</f>
        <v>1</v>
      </c>
      <c r="FG64">
        <f>IF(OR(ROW()-54&gt;INDEX($U$4:$U$11,$AC$2+1,1)-INDEX($U$4:$U$11,$AC$2,1),ROW()-54&gt;$AD$2),NA(),COUNTIF(INDEX($CR$55:$CX$90,INDEX($U$4:$U$11,1,1),$AC$2):INDEX($CR$55:$CX$90,INDEX($U$4:$U$11,1,1)+ROW()-55,$AC$2),FG$53))</f>
        <v>0</v>
      </c>
      <c r="FH64">
        <f>IF(OR(ROW()-54&gt;INDEX($U$4:$U$11,$AC$2+1,1)-INDEX($U$4:$U$11,$AC$2,1),ROW()-54&gt;$AD$2),NA(),COUNTIF(INDEX($CR$55:$CX$90,INDEX($U$4:$U$11,1,1),$AC$2):INDEX($CR$55:$CX$90,INDEX($U$4:$U$11,1,1)+ROW()-55,$AC$2),FH$53))</f>
        <v>1</v>
      </c>
      <c r="FI64">
        <f>IF(OR(ROW()-54&gt;INDEX($U$4:$U$11,$AC$2+1,1)-INDEX($U$4:$U$11,$AC$2,1),ROW()-54&gt;$AD$2),NA(),COUNTIF(INDEX($CR$55:$CX$90,INDEX($U$4:$U$11,1,1),$AC$2):INDEX($CR$55:$CX$90,INDEX($U$4:$U$11,1,1)+ROW()-55,$AC$2),FI$53))</f>
        <v>0</v>
      </c>
      <c r="FJ64">
        <f>IF(OR(ROW()-54&gt;INDEX($U$4:$U$11,$AC$2+1,1)-INDEX($U$4:$U$11,$AC$2,1),ROW()-54&gt;$AD$2),NA(),COUNTIF(INDEX($CR$55:$CX$90,INDEX($U$4:$U$11,1,1),$AC$2):INDEX($CR$55:$CX$90,INDEX($U$4:$U$11,1,1)+ROW()-55,$AC$2),FJ$53))</f>
        <v>0</v>
      </c>
    </row>
    <row r="65" spans="1:166" x14ac:dyDescent="0.45">
      <c r="A65" t="str">
        <f>データの貼付!A63</f>
        <v>KIHARA Miyuu</v>
      </c>
      <c r="B65">
        <f>データの貼付!B63</f>
        <v>1.7162199074074073E-2</v>
      </c>
      <c r="C65">
        <f>データの貼付!C63</f>
        <v>1.3361111111111112E-4</v>
      </c>
      <c r="D65">
        <f>データの貼付!D63</f>
        <v>4.3055555555555562E-2</v>
      </c>
      <c r="E65" t="str">
        <f>データの貼付!F63</f>
        <v>KIHARA Miyuu</v>
      </c>
      <c r="F65">
        <f>データの貼付!E63</f>
        <v>4.1666666666666664E-2</v>
      </c>
      <c r="G65" t="str">
        <f>データの貼付!G63</f>
        <v>#09-</v>
      </c>
      <c r="H65" t="str">
        <f>データの貼付!H63</f>
        <v>KIHARA Miyuu</v>
      </c>
      <c r="I65" t="str">
        <f>データの貼付!I63</f>
        <v>(Side)</v>
      </c>
      <c r="J65" t="str">
        <f>データの貼付!J63</f>
        <v>B</v>
      </c>
      <c r="K65" t="str">
        <f>データの貼付!K63</f>
        <v>FMS</v>
      </c>
      <c r="L65" t="str">
        <f>データの貼付!L63</f>
        <v>B</v>
      </c>
      <c r="M65" t="str">
        <f>データの貼付!M63</f>
        <v>Chiquita</v>
      </c>
      <c r="N65" t="str">
        <f>データの貼付!N63</f>
        <v>BM</v>
      </c>
      <c r="R65">
        <f t="shared" si="59"/>
        <v>0</v>
      </c>
      <c r="S65">
        <f>SUM(R$4:R65)</f>
        <v>4</v>
      </c>
      <c r="T65" t="str">
        <f t="shared" si="60"/>
        <v/>
      </c>
      <c r="W65" t="str">
        <f t="shared" si="57"/>
        <v>KIHARA Miyuu_KIHARA Miyuu</v>
      </c>
      <c r="X65" t="str">
        <f t="shared" si="58"/>
        <v>KIHARA Miyuu_#09-</v>
      </c>
      <c r="BL65" t="str">
        <f t="shared" si="162"/>
        <v>KIHARA Miyuu_SL</v>
      </c>
      <c r="BM65" t="str">
        <f t="shared" si="160"/>
        <v>FENG Tianwei_Back_FENG Tianwei</v>
      </c>
      <c r="BN65" t="str">
        <f t="shared" si="160"/>
        <v>KIHARA Miyuu_(Side)_KIHARA Miyuu</v>
      </c>
      <c r="BO65" t="str">
        <f t="shared" si="160"/>
        <v>FENG Tianwei_Side_FENG Tianwei</v>
      </c>
      <c r="BP65" t="e">
        <f t="shared" si="160"/>
        <v>#VALUE!</v>
      </c>
      <c r="BQ65" t="e">
        <f t="shared" si="160"/>
        <v>#VALUE!</v>
      </c>
      <c r="BR65" t="e">
        <f t="shared" si="160"/>
        <v>#VALUE!</v>
      </c>
      <c r="CR65" t="str">
        <f t="shared" si="170"/>
        <v>FENG Tianwei_SL</v>
      </c>
      <c r="CS65" t="str">
        <f t="shared" si="171"/>
        <v>KIHARA Miyuu_Push_FENG Tianwei</v>
      </c>
      <c r="CT65" t="str">
        <f t="shared" si="172"/>
        <v>FENG Tianwei_Push_KIHARA Miyuu</v>
      </c>
      <c r="CU65" t="str">
        <f t="shared" si="173"/>
        <v>KIHARA Miyuu_ドライブ_FENG Tianwei</v>
      </c>
      <c r="CV65" t="e">
        <f t="shared" si="174"/>
        <v>#VALUE!</v>
      </c>
      <c r="CW65" t="e">
        <f t="shared" si="175"/>
        <v>#VALUE!</v>
      </c>
      <c r="CX65" t="e">
        <f t="shared" si="176"/>
        <v>#VALUE!</v>
      </c>
      <c r="DH65">
        <f>IF(OR(ROW()-54&gt;INDEX($U$4:$U$11,$AC$2+1,1)-INDEX($U$4:$U$11,$AC$2,1),ROW()-54&gt;$AD$2),NA(),COUNTIF(INDEX($BL$55:$BR$100,INDEX($U$4:$U$11,1,1),$AC$2):INDEX($BL$55:$BR$100,INDEX($U$4:$U$11,1,1)+ROW()-55,$AC$2),DH$53))</f>
        <v>1</v>
      </c>
      <c r="DI65">
        <f>IF(OR(ROW()-54&gt;INDEX($U$4:$U$11,$AC$2+1,1)-INDEX($U$4:$U$11,$AC$2,1),ROW()-54&gt;$AD$2),NA(),COUNTIF(INDEX($BL$55:$BR$100,INDEX($U$4:$U$11,1,1),$AC$2):INDEX($BL$55:$BR$100,INDEX($U$4:$U$11,1,1)+ROW()-55,$AC$2),DI$53))</f>
        <v>3</v>
      </c>
      <c r="DJ65">
        <f>IF(OR(ROW()-54&gt;INDEX($U$4:$U$11,$AC$2+1,1)-INDEX($U$4:$U$11,$AC$2,1),ROW()-54&gt;$AD$2),NA(),COUNTIF(INDEX($BL$55:$BR$100,INDEX($U$4:$U$11,1,1),$AC$2):INDEX($BL$55:$BR$100,INDEX($U$4:$U$11,1,1)+ROW()-55,$AC$2),DJ$53))</f>
        <v>0</v>
      </c>
      <c r="DL65">
        <f>IF(OR(ROW()-54&gt;INDEX($U$4:$U$11,$AC$2+1,1)-INDEX($U$4:$U$11,$AC$2,1),ROW()-54&gt;$AD$2),NA(),COUNTIF(INDEX($BL$55:$BR$100,INDEX($U$4:$U$11,1,1),$AC$2):INDEX($BL$55:$BR$100,INDEX($U$4:$U$11,1,1)+ROW()-55,$AC$2),DL$53))</f>
        <v>0</v>
      </c>
      <c r="DM65">
        <f>IF(OR(ROW()-54&gt;INDEX($U$4:$U$11,$AC$2+1,1)-INDEX($U$4:$U$11,$AC$2,1),ROW()-54&gt;$AD$2),NA(),COUNTIF(INDEX($BL$55:$BR$100,INDEX($U$4:$U$11,1,1),$AC$2):INDEX($BL$5:$BR$50,INDEX($U$4:$U$11,1,1)+ROW()-55,$AC$2),DM$53))</f>
        <v>0</v>
      </c>
      <c r="DN65">
        <f>IF(OR(ROW()-54&gt;INDEX($U$4:$U$11,$AC$2+1,1)-INDEX($U$4:$U$11,$AC$2,1),ROW()-54&gt;$AD$2),NA(),COUNTIF(INDEX($BL$55:$BR$100,INDEX($U$4:$U$11,1,1),$AC$2):INDEX($BL$55:$BR$100,INDEX($U$4:$U$11,1,1)+ROW()-55,$AC$2),DN$53))</f>
        <v>2</v>
      </c>
      <c r="ET65">
        <f>IF(OR(ROW()-54&gt;INDEX($U$4:$U$11,$AC$2+1,1)-INDEX($U$4:$U$11,$AC$2,1),ROW()-54&gt;$AD$2),NA(),COUNTIF(INDEX($CR$55:$CX$90,INDEX($U$4:$U$11,1,1),$AC$2):INDEX($CR$55:$CX$90,INDEX($U$4:$U$11,1,1)+ROW()-55,$AC$2),ET$53))</f>
        <v>0</v>
      </c>
      <c r="EU65">
        <f>IF(OR(ROW()-54&gt;INDEX($U$4:$U$11,$AC$2+1,1)-INDEX($U$4:$U$11,$AC$2,1),ROW()-54&gt;$AD$2),NA(),COUNTIF(INDEX($CR$55:$CX$90,INDEX($U$4:$U$11,1,1),$AC$2):INDEX($CR$55:$CX$90,INDEX($U$4:$U$11,1,1)+ROW()-55,$AC$2),EU$53))</f>
        <v>0</v>
      </c>
      <c r="EV65">
        <f>IF(OR(ROW()-54&gt;INDEX($U$4:$U$11,$AC$2+1,1)-INDEX($U$4:$U$11,$AC$2,1),ROW()-54&gt;$AD$2),NA(),COUNTIF(INDEX($CR$55:$CX$90,INDEX($U$4:$U$11,1,1),$AC$2):INDEX($CR$55:$CX$90,INDEX($U$4:$U$11,1,1)+ROW()-55,$AC$2),EV$53))</f>
        <v>1</v>
      </c>
      <c r="EW65">
        <f>IF(OR(ROW()-54&gt;INDEX($U$4:$U$11,$AC$2+1,1)-INDEX($U$4:$U$11,$AC$2,1),ROW()-54&gt;$AD$2),NA(),COUNTIF(INDEX($CR$55:$CX$90,INDEX($U$4:$U$11,1,1),$AC$2):INDEX($CR$55:$CX$90,INDEX($U$4:$U$11,1,1)+ROW()-55,$AC$2),EW$53))</f>
        <v>1</v>
      </c>
      <c r="EX65">
        <f>IF(OR(ROW()-54&gt;INDEX($U$4:$U$11,$AC$2+1,1)-INDEX($U$4:$U$11,$AC$2,1),ROW()-54&gt;$AD$2),NA(),COUNTIF(INDEX($CR$55:$CX$90,INDEX($U$4:$U$11,1,1),$AC$2):INDEX($CR$55:$CX$90,INDEX($U$4:$U$11,1,1)+ROW()-55,$AC$2),EX$53))</f>
        <v>0</v>
      </c>
      <c r="EY65">
        <f>IF(OR(ROW()-54&gt;INDEX($U$4:$U$11,$AC$2+1,1)-INDEX($U$4:$U$11,$AC$2,1),ROW()-54&gt;$AD$2),NA(),COUNTIF(INDEX($CR$55:$CX$90,INDEX($U$4:$U$11,1,1),$AC$2):INDEX($CR$55:$CX$90,INDEX($U$4:$U$11,1,1)+ROW()-55,$AC$2),EY$53))</f>
        <v>1</v>
      </c>
      <c r="EZ65">
        <f>IF(OR(ROW()-54&gt;INDEX($U$4:$U$11,$AC$2+1,1)-INDEX($U$4:$U$11,$AC$2,1),ROW()-54&gt;$AD$2),NA(),COUNTIF(INDEX($CR$55:$CX$90,INDEX($U$4:$U$11,1,1),$AC$2):INDEX($CR$55:$CX$90,INDEX($U$4:$U$11,1,1)+ROW()-55,$AC$2),EZ$53))</f>
        <v>0</v>
      </c>
      <c r="FA65">
        <f>IF(OR(ROW()-54&gt;INDEX($U$4:$U$11,$AC$2+1,1)-INDEX($U$4:$U$11,$AC$2,1),ROW()-54&gt;$AD$2),NA(),COUNTIF(INDEX($CR$55:$CX$90,INDEX($U$4:$U$11,1,1),$AC$2):INDEX($CR$55:$CX$90,INDEX($U$4:$U$11,1,1)+ROW()-55,$AC$2),FA$53))</f>
        <v>0</v>
      </c>
      <c r="FC65">
        <f>IF(OR(ROW()-54&gt;INDEX($U$4:$U$11,$AC$2+1,1)-INDEX($U$4:$U$11,$AC$2,1),ROW()-54&gt;$AD$2),NA(),COUNTIF(INDEX($CR$55:$CX$90,INDEX($U$4:$U$11,1,1),$AC$2):INDEX($CR$55:$CX$90,INDEX($U$4:$U$11,1,1)+ROW()-55,$AC$2),FC$53))</f>
        <v>0</v>
      </c>
      <c r="FD65">
        <f>IF(OR(ROW()-54&gt;INDEX($U$4:$U$11,$AC$2+1,1)-INDEX($U$4:$U$11,$AC$2,1),ROW()-54&gt;$AD$2),NA(),COUNTIF(INDEX($CR$55:$CX$90,INDEX($U$4:$U$11,1,1),$AC$2):INDEX($CR$55:$CX$90,INDEX($U$4:$U$11,1,1)+ROW()-55,$AC$2),FD$53))</f>
        <v>0</v>
      </c>
      <c r="FE65">
        <f>IF(OR(ROW()-54&gt;INDEX($U$4:$U$11,$AC$2+1,1)-INDEX($U$4:$U$11,$AC$2,1),ROW()-54&gt;$AD$2),NA(),COUNTIF(INDEX($CR$55:$CX$90,INDEX($U$4:$U$11,1,1),$AC$2):INDEX($CR$55:$CX$90,INDEX($U$4:$U$11,1,1)+ROW()-55,$AC$2),FE$53))</f>
        <v>0</v>
      </c>
      <c r="FF65">
        <f>IF(OR(ROW()-54&gt;INDEX($U$4:$U$11,$AC$2+1,1)-INDEX($U$4:$U$11,$AC$2,1),ROW()-54&gt;$AD$2),NA(),COUNTIF(INDEX($CR$55:$CX$90,INDEX($U$4:$U$11,1,1),$AC$2):INDEX($CR$55:$CX$90,INDEX($U$4:$U$11,1,1)+ROW()-55,$AC$2),FF$53))</f>
        <v>1</v>
      </c>
      <c r="FG65">
        <f>IF(OR(ROW()-54&gt;INDEX($U$4:$U$11,$AC$2+1,1)-INDEX($U$4:$U$11,$AC$2,1),ROW()-54&gt;$AD$2),NA(),COUNTIF(INDEX($CR$55:$CX$90,INDEX($U$4:$U$11,1,1),$AC$2):INDEX($CR$55:$CX$90,INDEX($U$4:$U$11,1,1)+ROW()-55,$AC$2),FG$53))</f>
        <v>0</v>
      </c>
      <c r="FH65">
        <f>IF(OR(ROW()-54&gt;INDEX($U$4:$U$11,$AC$2+1,1)-INDEX($U$4:$U$11,$AC$2,1),ROW()-54&gt;$AD$2),NA(),COUNTIF(INDEX($CR$55:$CX$90,INDEX($U$4:$U$11,1,1),$AC$2):INDEX($CR$55:$CX$90,INDEX($U$4:$U$11,1,1)+ROW()-55,$AC$2),FH$53))</f>
        <v>1</v>
      </c>
      <c r="FI65">
        <f>IF(OR(ROW()-54&gt;INDEX($U$4:$U$11,$AC$2+1,1)-INDEX($U$4:$U$11,$AC$2,1),ROW()-54&gt;$AD$2),NA(),COUNTIF(INDEX($CR$55:$CX$90,INDEX($U$4:$U$11,1,1),$AC$2):INDEX($CR$55:$CX$90,INDEX($U$4:$U$11,1,1)+ROW()-55,$AC$2),FI$53))</f>
        <v>0</v>
      </c>
      <c r="FJ65">
        <f>IF(OR(ROW()-54&gt;INDEX($U$4:$U$11,$AC$2+1,1)-INDEX($U$4:$U$11,$AC$2,1),ROW()-54&gt;$AD$2),NA(),COUNTIF(INDEX($CR$55:$CX$90,INDEX($U$4:$U$11,1,1),$AC$2):INDEX($CR$55:$CX$90,INDEX($U$4:$U$11,1,1)+ROW()-55,$AC$2),FJ$53))</f>
        <v>0</v>
      </c>
    </row>
    <row r="66" spans="1:166" x14ac:dyDescent="0.45">
      <c r="A66" t="str">
        <f>データの貼付!A64</f>
        <v>FENG Tianwei</v>
      </c>
      <c r="B66">
        <f>データの貼付!B64</f>
        <v>1.7584687500000001E-2</v>
      </c>
      <c r="C66">
        <f>データの貼付!C64</f>
        <v>9.6539351851851832E-5</v>
      </c>
      <c r="D66">
        <f>データの貼付!D64</f>
        <v>4.3055555555555562E-2</v>
      </c>
      <c r="E66" t="str">
        <f>データの貼付!F64</f>
        <v>FENG Tianwei</v>
      </c>
      <c r="F66">
        <f>データの貼付!E64</f>
        <v>4.1666666666666664E-2</v>
      </c>
      <c r="G66" t="str">
        <f>データの貼付!G64</f>
        <v>#09-</v>
      </c>
      <c r="H66" t="str">
        <f>データの貼付!H64</f>
        <v>FENG Tianwei</v>
      </c>
      <c r="I66" t="str">
        <f>データの貼付!I64</f>
        <v>Side</v>
      </c>
      <c r="J66" t="str">
        <f>データの貼付!J64</f>
        <v>B</v>
      </c>
      <c r="K66" t="str">
        <f>データの貼付!K64</f>
        <v>B</v>
      </c>
      <c r="L66" t="str">
        <f>データの貼付!L64</f>
        <v>B</v>
      </c>
      <c r="M66" t="str">
        <f>データの貼付!M64</f>
        <v>ドライブ</v>
      </c>
      <c r="N66" t="str">
        <f>データの貼付!N64</f>
        <v>B</v>
      </c>
      <c r="R66">
        <f t="shared" si="59"/>
        <v>0</v>
      </c>
      <c r="S66">
        <f>SUM(R$4:R66)</f>
        <v>4</v>
      </c>
      <c r="T66" t="str">
        <f t="shared" si="60"/>
        <v/>
      </c>
      <c r="W66" t="str">
        <f t="shared" si="57"/>
        <v>FENG Tianwei_FENG Tianwei</v>
      </c>
      <c r="X66" t="str">
        <f t="shared" si="58"/>
        <v>FENG Tianwei_#09-</v>
      </c>
      <c r="BL66" t="str">
        <f t="shared" si="162"/>
        <v>KIHARA Miyuu_(Side)_KIHARA Miyuu</v>
      </c>
      <c r="BM66" t="str">
        <f t="shared" si="160"/>
        <v>FENG Tianwei_Side_KIHARA Miyuu</v>
      </c>
      <c r="BN66" t="str">
        <f t="shared" si="160"/>
        <v>KIHARA Miyuu_(Side)_KIHARA Miyuu</v>
      </c>
      <c r="BO66" t="str">
        <f t="shared" si="160"/>
        <v>FENG Tianwei_Side_FENG Tianwei</v>
      </c>
      <c r="BP66" t="e">
        <f t="shared" si="160"/>
        <v>#VALUE!</v>
      </c>
      <c r="BQ66" t="e">
        <f t="shared" si="160"/>
        <v>#VALUE!</v>
      </c>
      <c r="BR66" t="e">
        <f t="shared" si="160"/>
        <v>#VALUE!</v>
      </c>
      <c r="CR66" t="str">
        <f t="shared" si="170"/>
        <v>FENG Tianwei_Chiquita_KIHARA Miyuu</v>
      </c>
      <c r="CS66" t="str">
        <f t="shared" si="171"/>
        <v>KIHARA Miyuu_ドライブ_KIHARA Miyuu</v>
      </c>
      <c r="CT66" t="str">
        <f t="shared" si="172"/>
        <v>FENG Tianwei_Push_KIHARA Miyuu</v>
      </c>
      <c r="CU66" t="str">
        <f t="shared" si="173"/>
        <v>KIHARA Miyuu_ドライブ_FENG Tianwei</v>
      </c>
      <c r="CV66" t="e">
        <f t="shared" si="174"/>
        <v>#VALUE!</v>
      </c>
      <c r="CW66" t="e">
        <f t="shared" si="175"/>
        <v>#VALUE!</v>
      </c>
      <c r="CX66" t="e">
        <f t="shared" si="176"/>
        <v>#VALUE!</v>
      </c>
      <c r="DH66">
        <f>IF(OR(ROW()-54&gt;INDEX($U$4:$U$11,$AC$2+1,1)-INDEX($U$4:$U$11,$AC$2,1),ROW()-54&gt;$AD$2),NA(),COUNTIF(INDEX($BL$55:$BR$100,INDEX($U$4:$U$11,1,1),$AC$2):INDEX($BL$55:$BR$100,INDEX($U$4:$U$11,1,1)+ROW()-55,$AC$2),DH$53))</f>
        <v>1</v>
      </c>
      <c r="DI66">
        <f>IF(OR(ROW()-54&gt;INDEX($U$4:$U$11,$AC$2+1,1)-INDEX($U$4:$U$11,$AC$2,1),ROW()-54&gt;$AD$2),NA(),COUNTIF(INDEX($BL$55:$BR$100,INDEX($U$4:$U$11,1,1),$AC$2):INDEX($BL$55:$BR$100,INDEX($U$4:$U$11,1,1)+ROW()-55,$AC$2),DI$53))</f>
        <v>3</v>
      </c>
      <c r="DJ66">
        <f>IF(OR(ROW()-54&gt;INDEX($U$4:$U$11,$AC$2+1,1)-INDEX($U$4:$U$11,$AC$2,1),ROW()-54&gt;$AD$2),NA(),COUNTIF(INDEX($BL$55:$BR$100,INDEX($U$4:$U$11,1,1),$AC$2):INDEX($BL$55:$BR$100,INDEX($U$4:$U$11,1,1)+ROW()-55,$AC$2),DJ$53))</f>
        <v>0</v>
      </c>
      <c r="DL66">
        <f>IF(OR(ROW()-54&gt;INDEX($U$4:$U$11,$AC$2+1,1)-INDEX($U$4:$U$11,$AC$2,1),ROW()-54&gt;$AD$2),NA(),COUNTIF(INDEX($BL$55:$BR$100,INDEX($U$4:$U$11,1,1),$AC$2):INDEX($BL$55:$BR$100,INDEX($U$4:$U$11,1,1)+ROW()-55,$AC$2),DL$53))</f>
        <v>0</v>
      </c>
      <c r="DM66">
        <f>IF(OR(ROW()-54&gt;INDEX($U$4:$U$11,$AC$2+1,1)-INDEX($U$4:$U$11,$AC$2,1),ROW()-54&gt;$AD$2),NA(),COUNTIF(INDEX($BL$55:$BR$100,INDEX($U$4:$U$11,1,1),$AC$2):INDEX($BL$5:$BR$50,INDEX($U$4:$U$11,1,1)+ROW()-55,$AC$2),DM$53))</f>
        <v>0</v>
      </c>
      <c r="DN66">
        <f>IF(OR(ROW()-54&gt;INDEX($U$4:$U$11,$AC$2+1,1)-INDEX($U$4:$U$11,$AC$2,1),ROW()-54&gt;$AD$2),NA(),COUNTIF(INDEX($BL$55:$BR$100,INDEX($U$4:$U$11,1,1),$AC$2):INDEX($BL$55:$BR$100,INDEX($U$4:$U$11,1,1)+ROW()-55,$AC$2),DN$53))</f>
        <v>3</v>
      </c>
      <c r="ET66">
        <f>IF(OR(ROW()-54&gt;INDEX($U$4:$U$11,$AC$2+1,1)-INDEX($U$4:$U$11,$AC$2,1),ROW()-54&gt;$AD$2),NA(),COUNTIF(INDEX($CR$55:$CX$90,INDEX($U$4:$U$11,1,1),$AC$2):INDEX($CR$55:$CX$90,INDEX($U$4:$U$11,1,1)+ROW()-55,$AC$2),ET$53))</f>
        <v>0</v>
      </c>
      <c r="EU66">
        <f>IF(OR(ROW()-54&gt;INDEX($U$4:$U$11,$AC$2+1,1)-INDEX($U$4:$U$11,$AC$2,1),ROW()-54&gt;$AD$2),NA(),COUNTIF(INDEX($CR$55:$CX$90,INDEX($U$4:$U$11,1,1),$AC$2):INDEX($CR$55:$CX$90,INDEX($U$4:$U$11,1,1)+ROW()-55,$AC$2),EU$53))</f>
        <v>0</v>
      </c>
      <c r="EV66">
        <f>IF(OR(ROW()-54&gt;INDEX($U$4:$U$11,$AC$2+1,1)-INDEX($U$4:$U$11,$AC$2,1),ROW()-54&gt;$AD$2),NA(),COUNTIF(INDEX($CR$55:$CX$90,INDEX($U$4:$U$11,1,1),$AC$2):INDEX($CR$55:$CX$90,INDEX($U$4:$U$11,1,1)+ROW()-55,$AC$2),EV$53))</f>
        <v>1</v>
      </c>
      <c r="EW66">
        <f>IF(OR(ROW()-54&gt;INDEX($U$4:$U$11,$AC$2+1,1)-INDEX($U$4:$U$11,$AC$2,1),ROW()-54&gt;$AD$2),NA(),COUNTIF(INDEX($CR$55:$CX$90,INDEX($U$4:$U$11,1,1),$AC$2):INDEX($CR$55:$CX$90,INDEX($U$4:$U$11,1,1)+ROW()-55,$AC$2),EW$53))</f>
        <v>1</v>
      </c>
      <c r="EX66">
        <f>IF(OR(ROW()-54&gt;INDEX($U$4:$U$11,$AC$2+1,1)-INDEX($U$4:$U$11,$AC$2,1),ROW()-54&gt;$AD$2),NA(),COUNTIF(INDEX($CR$55:$CX$90,INDEX($U$4:$U$11,1,1),$AC$2):INDEX($CR$55:$CX$90,INDEX($U$4:$U$11,1,1)+ROW()-55,$AC$2),EX$53))</f>
        <v>0</v>
      </c>
      <c r="EY66">
        <f>IF(OR(ROW()-54&gt;INDEX($U$4:$U$11,$AC$2+1,1)-INDEX($U$4:$U$11,$AC$2,1),ROW()-54&gt;$AD$2),NA(),COUNTIF(INDEX($CR$55:$CX$90,INDEX($U$4:$U$11,1,1),$AC$2):INDEX($CR$55:$CX$90,INDEX($U$4:$U$11,1,1)+ROW()-55,$AC$2),EY$53))</f>
        <v>1</v>
      </c>
      <c r="EZ66">
        <f>IF(OR(ROW()-54&gt;INDEX($U$4:$U$11,$AC$2+1,1)-INDEX($U$4:$U$11,$AC$2,1),ROW()-54&gt;$AD$2),NA(),COUNTIF(INDEX($CR$55:$CX$90,INDEX($U$4:$U$11,1,1),$AC$2):INDEX($CR$55:$CX$90,INDEX($U$4:$U$11,1,1)+ROW()-55,$AC$2),EZ$53))</f>
        <v>0</v>
      </c>
      <c r="FA66">
        <f>IF(OR(ROW()-54&gt;INDEX($U$4:$U$11,$AC$2+1,1)-INDEX($U$4:$U$11,$AC$2,1),ROW()-54&gt;$AD$2),NA(),COUNTIF(INDEX($CR$55:$CX$90,INDEX($U$4:$U$11,1,1),$AC$2):INDEX($CR$55:$CX$90,INDEX($U$4:$U$11,1,1)+ROW()-55,$AC$2),FA$53))</f>
        <v>0</v>
      </c>
      <c r="FC66">
        <f>IF(OR(ROW()-54&gt;INDEX($U$4:$U$11,$AC$2+1,1)-INDEX($U$4:$U$11,$AC$2,1),ROW()-54&gt;$AD$2),NA(),COUNTIF(INDEX($CR$55:$CX$90,INDEX($U$4:$U$11,1,1),$AC$2):INDEX($CR$55:$CX$90,INDEX($U$4:$U$11,1,1)+ROW()-55,$AC$2),FC$53))</f>
        <v>0</v>
      </c>
      <c r="FD66">
        <f>IF(OR(ROW()-54&gt;INDEX($U$4:$U$11,$AC$2+1,1)-INDEX($U$4:$U$11,$AC$2,1),ROW()-54&gt;$AD$2),NA(),COUNTIF(INDEX($CR$55:$CX$90,INDEX($U$4:$U$11,1,1),$AC$2):INDEX($CR$55:$CX$90,INDEX($U$4:$U$11,1,1)+ROW()-55,$AC$2),FD$53))</f>
        <v>0</v>
      </c>
      <c r="FE66">
        <f>IF(OR(ROW()-54&gt;INDEX($U$4:$U$11,$AC$2+1,1)-INDEX($U$4:$U$11,$AC$2,1),ROW()-54&gt;$AD$2),NA(),COUNTIF(INDEX($CR$55:$CX$90,INDEX($U$4:$U$11,1,1),$AC$2):INDEX($CR$55:$CX$90,INDEX($U$4:$U$11,1,1)+ROW()-55,$AC$2),FE$53))</f>
        <v>0</v>
      </c>
      <c r="FF66">
        <f>IF(OR(ROW()-54&gt;INDEX($U$4:$U$11,$AC$2+1,1)-INDEX($U$4:$U$11,$AC$2,1),ROW()-54&gt;$AD$2),NA(),COUNTIF(INDEX($CR$55:$CX$90,INDEX($U$4:$U$11,1,1),$AC$2):INDEX($CR$55:$CX$90,INDEX($U$4:$U$11,1,1)+ROW()-55,$AC$2),FF$53))</f>
        <v>1</v>
      </c>
      <c r="FG66">
        <f>IF(OR(ROW()-54&gt;INDEX($U$4:$U$11,$AC$2+1,1)-INDEX($U$4:$U$11,$AC$2,1),ROW()-54&gt;$AD$2),NA(),COUNTIF(INDEX($CR$55:$CX$90,INDEX($U$4:$U$11,1,1),$AC$2):INDEX($CR$55:$CX$90,INDEX($U$4:$U$11,1,1)+ROW()-55,$AC$2),FG$53))</f>
        <v>0</v>
      </c>
      <c r="FH66">
        <f>IF(OR(ROW()-54&gt;INDEX($U$4:$U$11,$AC$2+1,1)-INDEX($U$4:$U$11,$AC$2,1),ROW()-54&gt;$AD$2),NA(),COUNTIF(INDEX($CR$55:$CX$90,INDEX($U$4:$U$11,1,1),$AC$2):INDEX($CR$55:$CX$90,INDEX($U$4:$U$11,1,1)+ROW()-55,$AC$2),FH$53))</f>
        <v>1</v>
      </c>
      <c r="FI66">
        <f>IF(OR(ROW()-54&gt;INDEX($U$4:$U$11,$AC$2+1,1)-INDEX($U$4:$U$11,$AC$2,1),ROW()-54&gt;$AD$2),NA(),COUNTIF(INDEX($CR$55:$CX$90,INDEX($U$4:$U$11,1,1),$AC$2):INDEX($CR$55:$CX$90,INDEX($U$4:$U$11,1,1)+ROW()-55,$AC$2),FI$53))</f>
        <v>0</v>
      </c>
      <c r="FJ66">
        <f>IF(OR(ROW()-54&gt;INDEX($U$4:$U$11,$AC$2+1,1)-INDEX($U$4:$U$11,$AC$2,1),ROW()-54&gt;$AD$2),NA(),COUNTIF(INDEX($CR$55:$CX$90,INDEX($U$4:$U$11,1,1),$AC$2):INDEX($CR$55:$CX$90,INDEX($U$4:$U$11,1,1)+ROW()-55,$AC$2),FJ$53))</f>
        <v>0</v>
      </c>
    </row>
    <row r="67" spans="1:166" x14ac:dyDescent="0.45">
      <c r="A67" t="str">
        <f>データの貼付!A65</f>
        <v>FENG Tianwei</v>
      </c>
      <c r="B67">
        <f>データの貼付!B65</f>
        <v>1.7905613425925927E-2</v>
      </c>
      <c r="C67">
        <f>データの貼付!C65</f>
        <v>8.4953703703703718E-5</v>
      </c>
      <c r="D67">
        <f>データの貼付!D65</f>
        <v>4.3055555555555562E-2</v>
      </c>
      <c r="E67" t="str">
        <f>データの貼付!F65</f>
        <v>KIHARA Miyuu</v>
      </c>
      <c r="F67">
        <f>データの貼付!E65</f>
        <v>4.1666666666666664E-2</v>
      </c>
      <c r="G67" t="str">
        <f>データの貼付!G65</f>
        <v>#06</v>
      </c>
      <c r="H67" t="str">
        <f>データの貼付!H65</f>
        <v>FENG Tianwei</v>
      </c>
      <c r="I67" t="str">
        <f>データの貼付!I65</f>
        <v>Back</v>
      </c>
      <c r="J67" t="str">
        <f>データの貼付!J65</f>
        <v>B</v>
      </c>
      <c r="K67" t="str">
        <f>データの貼付!K65</f>
        <v>B</v>
      </c>
      <c r="L67" t="str">
        <f>データの貼付!L65</f>
        <v>B</v>
      </c>
      <c r="M67" t="str">
        <f>データの貼付!M65</f>
        <v>Push</v>
      </c>
      <c r="N67" t="str">
        <f>データの貼付!N65</f>
        <v>B</v>
      </c>
      <c r="R67">
        <f t="shared" si="59"/>
        <v>0</v>
      </c>
      <c r="S67">
        <f>SUM(R$4:R67)</f>
        <v>4</v>
      </c>
      <c r="T67" t="str">
        <f t="shared" si="60"/>
        <v/>
      </c>
      <c r="W67" t="str">
        <f t="shared" si="57"/>
        <v>KIHARA Miyuu_FENG Tianwei</v>
      </c>
      <c r="X67" t="str">
        <f t="shared" si="58"/>
        <v>KIHARA Miyuu_#06</v>
      </c>
      <c r="BL67" t="str">
        <f t="shared" si="162"/>
        <v>KIHARA Miyuu_(Side)_KIHARA Miyuu</v>
      </c>
      <c r="BM67" t="str">
        <f t="shared" si="160"/>
        <v>KIHARA Miyuu_(Side)_KIHARA Miyuu</v>
      </c>
      <c r="BN67" t="str">
        <f t="shared" si="160"/>
        <v>FENG Tianwei_Side_FENG Tianwei</v>
      </c>
      <c r="BO67" t="str">
        <f t="shared" si="160"/>
        <v>KIHARA Miyuu_(Side)_KIHARA Miyuu</v>
      </c>
      <c r="BP67" t="e">
        <f t="shared" si="160"/>
        <v>#VALUE!</v>
      </c>
      <c r="BQ67" t="e">
        <f t="shared" si="160"/>
        <v>#VALUE!</v>
      </c>
      <c r="BR67" t="e">
        <f t="shared" si="160"/>
        <v>#VALUE!</v>
      </c>
      <c r="CR67" t="str">
        <f t="shared" si="170"/>
        <v>FENG Tianwei_Push_KIHARA Miyuu</v>
      </c>
      <c r="CS67" t="str">
        <f t="shared" si="171"/>
        <v>FENG Tianwei_Push_KIHARA Miyuu</v>
      </c>
      <c r="CT67" t="str">
        <f t="shared" si="172"/>
        <v>KIHARA Miyuu_ドライブ_FENG Tianwei</v>
      </c>
      <c r="CU67" t="str">
        <f t="shared" si="173"/>
        <v>FENG Tianwei_Push_KIHARA Miyuu</v>
      </c>
      <c r="CV67" t="e">
        <f t="shared" si="174"/>
        <v>#VALUE!</v>
      </c>
      <c r="CW67" t="e">
        <f t="shared" si="175"/>
        <v>#VALUE!</v>
      </c>
      <c r="CX67" t="e">
        <f t="shared" si="176"/>
        <v>#VALUE!</v>
      </c>
      <c r="DH67">
        <f>IF(OR(ROW()-54&gt;INDEX($U$4:$U$11,$AC$2+1,1)-INDEX($U$4:$U$11,$AC$2,1),ROW()-54&gt;$AD$2),NA(),COUNTIF(INDEX($BL$55:$BR$100,INDEX($U$4:$U$11,1,1),$AC$2):INDEX($BL$55:$BR$100,INDEX($U$4:$U$11,1,1)+ROW()-55,$AC$2),DH$53))</f>
        <v>1</v>
      </c>
      <c r="DI67">
        <f>IF(OR(ROW()-54&gt;INDEX($U$4:$U$11,$AC$2+1,1)-INDEX($U$4:$U$11,$AC$2,1),ROW()-54&gt;$AD$2),NA(),COUNTIF(INDEX($BL$55:$BR$100,INDEX($U$4:$U$11,1,1),$AC$2):INDEX($BL$55:$BR$100,INDEX($U$4:$U$11,1,1)+ROW()-55,$AC$2),DI$53))</f>
        <v>4</v>
      </c>
      <c r="DJ67">
        <f>IF(OR(ROW()-54&gt;INDEX($U$4:$U$11,$AC$2+1,1)-INDEX($U$4:$U$11,$AC$2,1),ROW()-54&gt;$AD$2),NA(),COUNTIF(INDEX($BL$55:$BR$100,INDEX($U$4:$U$11,1,1),$AC$2):INDEX($BL$55:$BR$100,INDEX($U$4:$U$11,1,1)+ROW()-55,$AC$2),DJ$53))</f>
        <v>0</v>
      </c>
      <c r="DL67">
        <f>IF(OR(ROW()-54&gt;INDEX($U$4:$U$11,$AC$2+1,1)-INDEX($U$4:$U$11,$AC$2,1),ROW()-54&gt;$AD$2),NA(),COUNTIF(INDEX($BL$55:$BR$100,INDEX($U$4:$U$11,1,1),$AC$2):INDEX($BL$55:$BR$100,INDEX($U$4:$U$11,1,1)+ROW()-55,$AC$2),DL$53))</f>
        <v>0</v>
      </c>
      <c r="DM67">
        <f>IF(OR(ROW()-54&gt;INDEX($U$4:$U$11,$AC$2+1,1)-INDEX($U$4:$U$11,$AC$2,1),ROW()-54&gt;$AD$2),NA(),COUNTIF(INDEX($BL$55:$BR$100,INDEX($U$4:$U$11,1,1),$AC$2):INDEX($BL$5:$BR$50,INDEX($U$4:$U$11,1,1)+ROW()-55,$AC$2),DM$53))</f>
        <v>0</v>
      </c>
      <c r="DN67">
        <f>IF(OR(ROW()-54&gt;INDEX($U$4:$U$11,$AC$2+1,1)-INDEX($U$4:$U$11,$AC$2,1),ROW()-54&gt;$AD$2),NA(),COUNTIF(INDEX($BL$55:$BR$100,INDEX($U$4:$U$11,1,1),$AC$2):INDEX($BL$55:$BR$100,INDEX($U$4:$U$11,1,1)+ROW()-55,$AC$2),DN$53))</f>
        <v>3</v>
      </c>
      <c r="ET67">
        <f>IF(OR(ROW()-54&gt;INDEX($U$4:$U$11,$AC$2+1,1)-INDEX($U$4:$U$11,$AC$2,1),ROW()-54&gt;$AD$2),NA(),COUNTIF(INDEX($CR$55:$CX$90,INDEX($U$4:$U$11,1,1),$AC$2):INDEX($CR$55:$CX$90,INDEX($U$4:$U$11,1,1)+ROW()-55,$AC$2),ET$53))</f>
        <v>0</v>
      </c>
      <c r="EU67">
        <f>IF(OR(ROW()-54&gt;INDEX($U$4:$U$11,$AC$2+1,1)-INDEX($U$4:$U$11,$AC$2,1),ROW()-54&gt;$AD$2),NA(),COUNTIF(INDEX($CR$55:$CX$90,INDEX($U$4:$U$11,1,1),$AC$2):INDEX($CR$55:$CX$90,INDEX($U$4:$U$11,1,1)+ROW()-55,$AC$2),EU$53))</f>
        <v>0</v>
      </c>
      <c r="EV67">
        <f>IF(OR(ROW()-54&gt;INDEX($U$4:$U$11,$AC$2+1,1)-INDEX($U$4:$U$11,$AC$2,1),ROW()-54&gt;$AD$2),NA(),COUNTIF(INDEX($CR$55:$CX$90,INDEX($U$4:$U$11,1,1),$AC$2):INDEX($CR$55:$CX$90,INDEX($U$4:$U$11,1,1)+ROW()-55,$AC$2),EV$53))</f>
        <v>1</v>
      </c>
      <c r="EW67">
        <f>IF(OR(ROW()-54&gt;INDEX($U$4:$U$11,$AC$2+1,1)-INDEX($U$4:$U$11,$AC$2,1),ROW()-54&gt;$AD$2),NA(),COUNTIF(INDEX($CR$55:$CX$90,INDEX($U$4:$U$11,1,1),$AC$2):INDEX($CR$55:$CX$90,INDEX($U$4:$U$11,1,1)+ROW()-55,$AC$2),EW$53))</f>
        <v>1</v>
      </c>
      <c r="EX67">
        <f>IF(OR(ROW()-54&gt;INDEX($U$4:$U$11,$AC$2+1,1)-INDEX($U$4:$U$11,$AC$2,1),ROW()-54&gt;$AD$2),NA(),COUNTIF(INDEX($CR$55:$CX$90,INDEX($U$4:$U$11,1,1),$AC$2):INDEX($CR$55:$CX$90,INDEX($U$4:$U$11,1,1)+ROW()-55,$AC$2),EX$53))</f>
        <v>0</v>
      </c>
      <c r="EY67">
        <f>IF(OR(ROW()-54&gt;INDEX($U$4:$U$11,$AC$2+1,1)-INDEX($U$4:$U$11,$AC$2,1),ROW()-54&gt;$AD$2),NA(),COUNTIF(INDEX($CR$55:$CX$90,INDEX($U$4:$U$11,1,1),$AC$2):INDEX($CR$55:$CX$90,INDEX($U$4:$U$11,1,1)+ROW()-55,$AC$2),EY$53))</f>
        <v>1</v>
      </c>
      <c r="EZ67">
        <f>IF(OR(ROW()-54&gt;INDEX($U$4:$U$11,$AC$2+1,1)-INDEX($U$4:$U$11,$AC$2,1),ROW()-54&gt;$AD$2),NA(),COUNTIF(INDEX($CR$55:$CX$90,INDEX($U$4:$U$11,1,1),$AC$2):INDEX($CR$55:$CX$90,INDEX($U$4:$U$11,1,1)+ROW()-55,$AC$2),EZ$53))</f>
        <v>0</v>
      </c>
      <c r="FA67">
        <f>IF(OR(ROW()-54&gt;INDEX($U$4:$U$11,$AC$2+1,1)-INDEX($U$4:$U$11,$AC$2,1),ROW()-54&gt;$AD$2),NA(),COUNTIF(INDEX($CR$55:$CX$90,INDEX($U$4:$U$11,1,1),$AC$2):INDEX($CR$55:$CX$90,INDEX($U$4:$U$11,1,1)+ROW()-55,$AC$2),FA$53))</f>
        <v>0</v>
      </c>
      <c r="FC67">
        <f>IF(OR(ROW()-54&gt;INDEX($U$4:$U$11,$AC$2+1,1)-INDEX($U$4:$U$11,$AC$2,1),ROW()-54&gt;$AD$2),NA(),COUNTIF(INDEX($CR$55:$CX$90,INDEX($U$4:$U$11,1,1),$AC$2):INDEX($CR$55:$CX$90,INDEX($U$4:$U$11,1,1)+ROW()-55,$AC$2),FC$53))</f>
        <v>0</v>
      </c>
      <c r="FD67">
        <f>IF(OR(ROW()-54&gt;INDEX($U$4:$U$11,$AC$2+1,1)-INDEX($U$4:$U$11,$AC$2,1),ROW()-54&gt;$AD$2),NA(),COUNTIF(INDEX($CR$55:$CX$90,INDEX($U$4:$U$11,1,1),$AC$2):INDEX($CR$55:$CX$90,INDEX($U$4:$U$11,1,1)+ROW()-55,$AC$2),FD$53))</f>
        <v>0</v>
      </c>
      <c r="FE67">
        <f>IF(OR(ROW()-54&gt;INDEX($U$4:$U$11,$AC$2+1,1)-INDEX($U$4:$U$11,$AC$2,1),ROW()-54&gt;$AD$2),NA(),COUNTIF(INDEX($CR$55:$CX$90,INDEX($U$4:$U$11,1,1),$AC$2):INDEX($CR$55:$CX$90,INDEX($U$4:$U$11,1,1)+ROW()-55,$AC$2),FE$53))</f>
        <v>0</v>
      </c>
      <c r="FF67">
        <f>IF(OR(ROW()-54&gt;INDEX($U$4:$U$11,$AC$2+1,1)-INDEX($U$4:$U$11,$AC$2,1),ROW()-54&gt;$AD$2),NA(),COUNTIF(INDEX($CR$55:$CX$90,INDEX($U$4:$U$11,1,1),$AC$2):INDEX($CR$55:$CX$90,INDEX($U$4:$U$11,1,1)+ROW()-55,$AC$2),FF$53))</f>
        <v>1</v>
      </c>
      <c r="FG67">
        <f>IF(OR(ROW()-54&gt;INDEX($U$4:$U$11,$AC$2+1,1)-INDEX($U$4:$U$11,$AC$2,1),ROW()-54&gt;$AD$2),NA(),COUNTIF(INDEX($CR$55:$CX$90,INDEX($U$4:$U$11,1,1),$AC$2):INDEX($CR$55:$CX$90,INDEX($U$4:$U$11,1,1)+ROW()-55,$AC$2),FG$53))</f>
        <v>0</v>
      </c>
      <c r="FH67">
        <f>IF(OR(ROW()-54&gt;INDEX($U$4:$U$11,$AC$2+1,1)-INDEX($U$4:$U$11,$AC$2,1),ROW()-54&gt;$AD$2),NA(),COUNTIF(INDEX($CR$55:$CX$90,INDEX($U$4:$U$11,1,1),$AC$2):INDEX($CR$55:$CX$90,INDEX($U$4:$U$11,1,1)+ROW()-55,$AC$2),FH$53))</f>
        <v>1</v>
      </c>
      <c r="FI67">
        <f>IF(OR(ROW()-54&gt;INDEX($U$4:$U$11,$AC$2+1,1)-INDEX($U$4:$U$11,$AC$2,1),ROW()-54&gt;$AD$2),NA(),COUNTIF(INDEX($CR$55:$CX$90,INDEX($U$4:$U$11,1,1),$AC$2):INDEX($CR$55:$CX$90,INDEX($U$4:$U$11,1,1)+ROW()-55,$AC$2),FI$53))</f>
        <v>0</v>
      </c>
      <c r="FJ67">
        <f>IF(OR(ROW()-54&gt;INDEX($U$4:$U$11,$AC$2+1,1)-INDEX($U$4:$U$11,$AC$2,1),ROW()-54&gt;$AD$2),NA(),COUNTIF(INDEX($CR$55:$CX$90,INDEX($U$4:$U$11,1,1),$AC$2):INDEX($CR$55:$CX$90,INDEX($U$4:$U$11,1,1)+ROW()-55,$AC$2),FJ$53))</f>
        <v>0</v>
      </c>
    </row>
    <row r="68" spans="1:166" x14ac:dyDescent="0.45">
      <c r="A68" t="str">
        <f>データの貼付!A66</f>
        <v>KIHARA Miyuu</v>
      </c>
      <c r="B68">
        <f>データの貼付!B66</f>
        <v>1.8228854166666666E-2</v>
      </c>
      <c r="C68">
        <f>データの貼付!C66</f>
        <v>7.259259259259259E-5</v>
      </c>
      <c r="D68">
        <f>データの貼付!D66</f>
        <v>4.3055555555555562E-2</v>
      </c>
      <c r="E68" t="str">
        <f>データの貼付!F66</f>
        <v>FENG Tianwei</v>
      </c>
      <c r="F68">
        <f>データの貼付!E66</f>
        <v>4.1666666666666664E-2</v>
      </c>
      <c r="G68" t="str">
        <f>データの貼付!G66</f>
        <v>#04</v>
      </c>
      <c r="H68" t="str">
        <f>データの貼付!H66</f>
        <v>KIHARA Miyuu</v>
      </c>
      <c r="I68" t="str">
        <f>データの貼付!I66</f>
        <v>(Side)</v>
      </c>
      <c r="J68" t="str">
        <f>データの貼付!J66</f>
        <v>B</v>
      </c>
      <c r="K68" t="str">
        <f>データの貼付!K66</f>
        <v>FMS</v>
      </c>
      <c r="L68" t="str">
        <f>データの貼付!L66</f>
        <v>B</v>
      </c>
      <c r="M68" t="str">
        <f>データの貼付!M66</f>
        <v>Chiquita</v>
      </c>
      <c r="N68" t="str">
        <f>データの貼付!N66</f>
        <v>F</v>
      </c>
      <c r="R68">
        <f t="shared" si="59"/>
        <v>0</v>
      </c>
      <c r="S68">
        <f>SUM(R$4:R68)</f>
        <v>4</v>
      </c>
      <c r="T68" t="str">
        <f t="shared" si="60"/>
        <v/>
      </c>
      <c r="W68" t="str">
        <f t="shared" ref="W68:W131" si="177">E68&amp;"_"&amp;H68</f>
        <v>FENG Tianwei_KIHARA Miyuu</v>
      </c>
      <c r="X68" t="str">
        <f t="shared" ref="X68:X131" si="178">E68&amp;"_"&amp;G68</f>
        <v>FENG Tianwei_#04</v>
      </c>
      <c r="BL68" t="str">
        <f t="shared" si="162"/>
        <v>FENG Tianwei_(Side)_KIHARA Miyuu</v>
      </c>
      <c r="BM68" t="str">
        <f t="shared" si="160"/>
        <v>KIHARA Miyuu_(Side)_FENG Tianwei</v>
      </c>
      <c r="BN68" t="str">
        <f t="shared" si="160"/>
        <v>FENG Tianwei_Back_FENG Tianwei</v>
      </c>
      <c r="BO68" t="str">
        <f t="shared" si="160"/>
        <v>KIHARA Miyuu_(Side)_KIHARA Miyuu</v>
      </c>
      <c r="BP68" t="e">
        <f t="shared" si="160"/>
        <v>#VALUE!</v>
      </c>
      <c r="BQ68" t="e">
        <f t="shared" si="160"/>
        <v>#VALUE!</v>
      </c>
      <c r="BR68" t="e">
        <f t="shared" si="160"/>
        <v>#VALUE!</v>
      </c>
      <c r="CR68" t="str">
        <f t="shared" si="170"/>
        <v>KIHARA Miyuu_ドライブ_KIHARA Miyuu</v>
      </c>
      <c r="CS68" t="str">
        <f t="shared" si="171"/>
        <v>FENG Tianwei_Chiquita_FENG Tianwei</v>
      </c>
      <c r="CT68" t="str">
        <f t="shared" si="172"/>
        <v>KIHARA Miyuu_Push_FENG Tianwei</v>
      </c>
      <c r="CU68" t="str">
        <f t="shared" si="173"/>
        <v>FENG Tianwei_Chiquita_KIHARA Miyuu</v>
      </c>
      <c r="CV68" t="e">
        <f t="shared" si="174"/>
        <v>#VALUE!</v>
      </c>
      <c r="CW68" t="e">
        <f t="shared" si="175"/>
        <v>#VALUE!</v>
      </c>
      <c r="CX68" t="e">
        <f t="shared" si="176"/>
        <v>#VALUE!</v>
      </c>
      <c r="DH68">
        <f>IF(OR(ROW()-54&gt;INDEX($U$4:$U$11,$AC$2+1,1)-INDEX($U$4:$U$11,$AC$2,1),ROW()-54&gt;$AD$2),NA(),COUNTIF(INDEX($BL$55:$BR$100,INDEX($U$4:$U$11,1,1),$AC$2):INDEX($BL$55:$BR$100,INDEX($U$4:$U$11,1,1)+ROW()-55,$AC$2),DH$53))</f>
        <v>2</v>
      </c>
      <c r="DI68">
        <f>IF(OR(ROW()-54&gt;INDEX($U$4:$U$11,$AC$2+1,1)-INDEX($U$4:$U$11,$AC$2,1),ROW()-54&gt;$AD$2),NA(),COUNTIF(INDEX($BL$55:$BR$100,INDEX($U$4:$U$11,1,1),$AC$2):INDEX($BL$55:$BR$100,INDEX($U$4:$U$11,1,1)+ROW()-55,$AC$2),DI$53))</f>
        <v>4</v>
      </c>
      <c r="DJ68">
        <f>IF(OR(ROW()-54&gt;INDEX($U$4:$U$11,$AC$2+1,1)-INDEX($U$4:$U$11,$AC$2,1),ROW()-54&gt;$AD$2),NA(),COUNTIF(INDEX($BL$55:$BR$100,INDEX($U$4:$U$11,1,1),$AC$2):INDEX($BL$55:$BR$100,INDEX($U$4:$U$11,1,1)+ROW()-55,$AC$2),DJ$53))</f>
        <v>0</v>
      </c>
      <c r="DL68">
        <f>IF(OR(ROW()-54&gt;INDEX($U$4:$U$11,$AC$2+1,1)-INDEX($U$4:$U$11,$AC$2,1),ROW()-54&gt;$AD$2),NA(),COUNTIF(INDEX($BL$55:$BR$100,INDEX($U$4:$U$11,1,1),$AC$2):INDEX($BL$55:$BR$100,INDEX($U$4:$U$11,1,1)+ROW()-55,$AC$2),DL$53))</f>
        <v>0</v>
      </c>
      <c r="DM68">
        <f>IF(OR(ROW()-54&gt;INDEX($U$4:$U$11,$AC$2+1,1)-INDEX($U$4:$U$11,$AC$2,1),ROW()-54&gt;$AD$2),NA(),COUNTIF(INDEX($BL$55:$BR$100,INDEX($U$4:$U$11,1,1),$AC$2):INDEX($BL$5:$BR$50,INDEX($U$4:$U$11,1,1)+ROW()-55,$AC$2),DM$53))</f>
        <v>0</v>
      </c>
      <c r="DN68">
        <f>IF(OR(ROW()-54&gt;INDEX($U$4:$U$11,$AC$2+1,1)-INDEX($U$4:$U$11,$AC$2,1),ROW()-54&gt;$AD$2),NA(),COUNTIF(INDEX($BL$55:$BR$100,INDEX($U$4:$U$11,1,1),$AC$2):INDEX($BL$55:$BR$100,INDEX($U$4:$U$11,1,1)+ROW()-55,$AC$2),DN$53))</f>
        <v>3</v>
      </c>
      <c r="ET68">
        <f>IF(OR(ROW()-54&gt;INDEX($U$4:$U$11,$AC$2+1,1)-INDEX($U$4:$U$11,$AC$2,1),ROW()-54&gt;$AD$2),NA(),COUNTIF(INDEX($CR$55:$CX$90,INDEX($U$4:$U$11,1,1),$AC$2):INDEX($CR$55:$CX$90,INDEX($U$4:$U$11,1,1)+ROW()-55,$AC$2),ET$53))</f>
        <v>0</v>
      </c>
      <c r="EU68">
        <f>IF(OR(ROW()-54&gt;INDEX($U$4:$U$11,$AC$2+1,1)-INDEX($U$4:$U$11,$AC$2,1),ROW()-54&gt;$AD$2),NA(),COUNTIF(INDEX($CR$55:$CX$90,INDEX($U$4:$U$11,1,1),$AC$2):INDEX($CR$55:$CX$90,INDEX($U$4:$U$11,1,1)+ROW()-55,$AC$2),EU$53))</f>
        <v>0</v>
      </c>
      <c r="EV68">
        <f>IF(OR(ROW()-54&gt;INDEX($U$4:$U$11,$AC$2+1,1)-INDEX($U$4:$U$11,$AC$2,1),ROW()-54&gt;$AD$2),NA(),COUNTIF(INDEX($CR$55:$CX$90,INDEX($U$4:$U$11,1,1),$AC$2):INDEX($CR$55:$CX$90,INDEX($U$4:$U$11,1,1)+ROW()-55,$AC$2),EV$53))</f>
        <v>1</v>
      </c>
      <c r="EW68">
        <f>IF(OR(ROW()-54&gt;INDEX($U$4:$U$11,$AC$2+1,1)-INDEX($U$4:$U$11,$AC$2,1),ROW()-54&gt;$AD$2),NA(),COUNTIF(INDEX($CR$55:$CX$90,INDEX($U$4:$U$11,1,1),$AC$2):INDEX($CR$55:$CX$90,INDEX($U$4:$U$11,1,1)+ROW()-55,$AC$2),EW$53))</f>
        <v>1</v>
      </c>
      <c r="EX68">
        <f>IF(OR(ROW()-54&gt;INDEX($U$4:$U$11,$AC$2+1,1)-INDEX($U$4:$U$11,$AC$2,1),ROW()-54&gt;$AD$2),NA(),COUNTIF(INDEX($CR$55:$CX$90,INDEX($U$4:$U$11,1,1),$AC$2):INDEX($CR$55:$CX$90,INDEX($U$4:$U$11,1,1)+ROW()-55,$AC$2),EX$53))</f>
        <v>0</v>
      </c>
      <c r="EY68">
        <f>IF(OR(ROW()-54&gt;INDEX($U$4:$U$11,$AC$2+1,1)-INDEX($U$4:$U$11,$AC$2,1),ROW()-54&gt;$AD$2),NA(),COUNTIF(INDEX($CR$55:$CX$90,INDEX($U$4:$U$11,1,1),$AC$2):INDEX($CR$55:$CX$90,INDEX($U$4:$U$11,1,1)+ROW()-55,$AC$2),EY$53))</f>
        <v>1</v>
      </c>
      <c r="EZ68">
        <f>IF(OR(ROW()-54&gt;INDEX($U$4:$U$11,$AC$2+1,1)-INDEX($U$4:$U$11,$AC$2,1),ROW()-54&gt;$AD$2),NA(),COUNTIF(INDEX($CR$55:$CX$90,INDEX($U$4:$U$11,1,1),$AC$2):INDEX($CR$55:$CX$90,INDEX($U$4:$U$11,1,1)+ROW()-55,$AC$2),EZ$53))</f>
        <v>0</v>
      </c>
      <c r="FA68">
        <f>IF(OR(ROW()-54&gt;INDEX($U$4:$U$11,$AC$2+1,1)-INDEX($U$4:$U$11,$AC$2,1),ROW()-54&gt;$AD$2),NA(),COUNTIF(INDEX($CR$55:$CX$90,INDEX($U$4:$U$11,1,1),$AC$2):INDEX($CR$55:$CX$90,INDEX($U$4:$U$11,1,1)+ROW()-55,$AC$2),FA$53))</f>
        <v>0</v>
      </c>
      <c r="FC68">
        <f>IF(OR(ROW()-54&gt;INDEX($U$4:$U$11,$AC$2+1,1)-INDEX($U$4:$U$11,$AC$2,1),ROW()-54&gt;$AD$2),NA(),COUNTIF(INDEX($CR$55:$CX$90,INDEX($U$4:$U$11,1,1),$AC$2):INDEX($CR$55:$CX$90,INDEX($U$4:$U$11,1,1)+ROW()-55,$AC$2),FC$53))</f>
        <v>0</v>
      </c>
      <c r="FD68">
        <f>IF(OR(ROW()-54&gt;INDEX($U$4:$U$11,$AC$2+1,1)-INDEX($U$4:$U$11,$AC$2,1),ROW()-54&gt;$AD$2),NA(),COUNTIF(INDEX($CR$55:$CX$90,INDEX($U$4:$U$11,1,1),$AC$2):INDEX($CR$55:$CX$90,INDEX($U$4:$U$11,1,1)+ROW()-55,$AC$2),FD$53))</f>
        <v>0</v>
      </c>
      <c r="FE68">
        <f>IF(OR(ROW()-54&gt;INDEX($U$4:$U$11,$AC$2+1,1)-INDEX($U$4:$U$11,$AC$2,1),ROW()-54&gt;$AD$2),NA(),COUNTIF(INDEX($CR$55:$CX$90,INDEX($U$4:$U$11,1,1),$AC$2):INDEX($CR$55:$CX$90,INDEX($U$4:$U$11,1,1)+ROW()-55,$AC$2),FE$53))</f>
        <v>0</v>
      </c>
      <c r="FF68">
        <f>IF(OR(ROW()-54&gt;INDEX($U$4:$U$11,$AC$2+1,1)-INDEX($U$4:$U$11,$AC$2,1),ROW()-54&gt;$AD$2),NA(),COUNTIF(INDEX($CR$55:$CX$90,INDEX($U$4:$U$11,1,1),$AC$2):INDEX($CR$55:$CX$90,INDEX($U$4:$U$11,1,1)+ROW()-55,$AC$2),FF$53))</f>
        <v>1</v>
      </c>
      <c r="FG68">
        <f>IF(OR(ROW()-54&gt;INDEX($U$4:$U$11,$AC$2+1,1)-INDEX($U$4:$U$11,$AC$2,1),ROW()-54&gt;$AD$2),NA(),COUNTIF(INDEX($CR$55:$CX$90,INDEX($U$4:$U$11,1,1),$AC$2):INDEX($CR$55:$CX$90,INDEX($U$4:$U$11,1,1)+ROW()-55,$AC$2),FG$53))</f>
        <v>0</v>
      </c>
      <c r="FH68">
        <f>IF(OR(ROW()-54&gt;INDEX($U$4:$U$11,$AC$2+1,1)-INDEX($U$4:$U$11,$AC$2,1),ROW()-54&gt;$AD$2),NA(),COUNTIF(INDEX($CR$55:$CX$90,INDEX($U$4:$U$11,1,1),$AC$2):INDEX($CR$55:$CX$90,INDEX($U$4:$U$11,1,1)+ROW()-55,$AC$2),FH$53))</f>
        <v>1</v>
      </c>
      <c r="FI68">
        <f>IF(OR(ROW()-54&gt;INDEX($U$4:$U$11,$AC$2+1,1)-INDEX($U$4:$U$11,$AC$2,1),ROW()-54&gt;$AD$2),NA(),COUNTIF(INDEX($CR$55:$CX$90,INDEX($U$4:$U$11,1,1),$AC$2):INDEX($CR$55:$CX$90,INDEX($U$4:$U$11,1,1)+ROW()-55,$AC$2),FI$53))</f>
        <v>0</v>
      </c>
      <c r="FJ68">
        <f>IF(OR(ROW()-54&gt;INDEX($U$4:$U$11,$AC$2+1,1)-INDEX($U$4:$U$11,$AC$2,1),ROW()-54&gt;$AD$2),NA(),COUNTIF(INDEX($CR$55:$CX$90,INDEX($U$4:$U$11,1,1),$AC$2):INDEX($CR$55:$CX$90,INDEX($U$4:$U$11,1,1)+ROW()-55,$AC$2),FJ$53))</f>
        <v>0</v>
      </c>
    </row>
    <row r="69" spans="1:166" x14ac:dyDescent="0.45">
      <c r="A69" t="str">
        <f>データの貼付!A67</f>
        <v>KIHARA Miyuu</v>
      </c>
      <c r="B69">
        <f>データの貼付!B67</f>
        <v>1.8501886574074072E-2</v>
      </c>
      <c r="C69">
        <f>データの貼付!C67</f>
        <v>6.1006944444444443E-5</v>
      </c>
      <c r="D69">
        <f>データの貼付!D67</f>
        <v>4.3055555555555562E-2</v>
      </c>
      <c r="E69" t="str">
        <f>データの貼付!F67</f>
        <v>FENG Tianwei</v>
      </c>
      <c r="F69">
        <f>データの貼付!E67</f>
        <v>4.1666666666666664E-2</v>
      </c>
      <c r="G69" t="str">
        <f>データの貼付!G67</f>
        <v>#02</v>
      </c>
      <c r="H69" t="str">
        <f>データの貼付!H67</f>
        <v>KIHARA Miyuu</v>
      </c>
      <c r="I69" t="str">
        <f>データの貼付!I67</f>
        <v>(Side)</v>
      </c>
      <c r="J69" t="str">
        <f>データの貼付!J67</f>
        <v>B</v>
      </c>
      <c r="K69" t="str">
        <f>データの貼付!K67</f>
        <v>BM</v>
      </c>
      <c r="L69" t="str">
        <f>データの貼付!L67</f>
        <v>B</v>
      </c>
      <c r="M69" t="str">
        <f>データの貼付!M67</f>
        <v>ドライブ</v>
      </c>
      <c r="N69" t="str">
        <f>データの貼付!N67</f>
        <v>B</v>
      </c>
      <c r="R69">
        <f t="shared" ref="R69:R132" si="179">(D69&lt;&gt;D68)*1</f>
        <v>0</v>
      </c>
      <c r="S69">
        <f>SUM(R$4:R69)</f>
        <v>4</v>
      </c>
      <c r="T69" t="str">
        <f t="shared" ref="T69:T132" si="180">IF(S69&lt;&gt;S70,E69,"")</f>
        <v/>
      </c>
      <c r="W69" t="str">
        <f t="shared" si="177"/>
        <v>FENG Tianwei_KIHARA Miyuu</v>
      </c>
      <c r="X69" t="str">
        <f t="shared" si="178"/>
        <v>FENG Tianwei_#02</v>
      </c>
      <c r="BL69" t="str">
        <f t="shared" si="162"/>
        <v>FENG Tianwei_SL</v>
      </c>
      <c r="BM69" t="str">
        <f t="shared" si="160"/>
        <v>FENG Tianwei_Side_KIHARA Miyuu</v>
      </c>
      <c r="BN69" t="str">
        <f t="shared" si="160"/>
        <v>KIHARA Miyuu_(Side)_FENG Tianwei</v>
      </c>
      <c r="BO69" t="str">
        <f t="shared" si="160"/>
        <v>FENG Tianwei_Side_FENG Tianwei</v>
      </c>
      <c r="BP69" t="e">
        <f t="shared" si="160"/>
        <v>#VALUE!</v>
      </c>
      <c r="BQ69" t="e">
        <f t="shared" si="160"/>
        <v>#VALUE!</v>
      </c>
      <c r="BR69" t="e">
        <f t="shared" si="160"/>
        <v>#VALUE!</v>
      </c>
      <c r="CR69" t="str">
        <f t="shared" si="170"/>
        <v>KIHARA Miyuu_SL</v>
      </c>
      <c r="CS69" t="str">
        <f t="shared" si="171"/>
        <v>KIHARA Miyuu_ドライブ_KIHARA Miyuu</v>
      </c>
      <c r="CT69" t="str">
        <f t="shared" si="172"/>
        <v>FENG Tianwei_ドライブ_FENG Tianwei</v>
      </c>
      <c r="CU69" t="str">
        <f t="shared" si="173"/>
        <v>KIHARA Miyuu_ドライブ_FENG Tianwei</v>
      </c>
      <c r="CV69" t="e">
        <f t="shared" si="174"/>
        <v>#VALUE!</v>
      </c>
      <c r="CW69" t="e">
        <f t="shared" si="175"/>
        <v>#VALUE!</v>
      </c>
      <c r="CX69" t="e">
        <f t="shared" si="176"/>
        <v>#VALUE!</v>
      </c>
      <c r="DH69">
        <f>IF(OR(ROW()-54&gt;INDEX($U$4:$U$11,$AC$2+1,1)-INDEX($U$4:$U$11,$AC$2,1),ROW()-54&gt;$AD$2),NA(),COUNTIF(INDEX($BL$55:$BR$100,INDEX($U$4:$U$11,1,1),$AC$2):INDEX($BL$55:$BR$100,INDEX($U$4:$U$11,1,1)+ROW()-55,$AC$2),DH$53))</f>
        <v>2</v>
      </c>
      <c r="DI69">
        <f>IF(OR(ROW()-54&gt;INDEX($U$4:$U$11,$AC$2+1,1)-INDEX($U$4:$U$11,$AC$2,1),ROW()-54&gt;$AD$2),NA(),COUNTIF(INDEX($BL$55:$BR$100,INDEX($U$4:$U$11,1,1),$AC$2):INDEX($BL$55:$BR$100,INDEX($U$4:$U$11,1,1)+ROW()-55,$AC$2),DI$53))</f>
        <v>4</v>
      </c>
      <c r="DJ69">
        <f>IF(OR(ROW()-54&gt;INDEX($U$4:$U$11,$AC$2+1,1)-INDEX($U$4:$U$11,$AC$2,1),ROW()-54&gt;$AD$2),NA(),COUNTIF(INDEX($BL$55:$BR$100,INDEX($U$4:$U$11,1,1),$AC$2):INDEX($BL$55:$BR$100,INDEX($U$4:$U$11,1,1)+ROW()-55,$AC$2),DJ$53))</f>
        <v>0</v>
      </c>
      <c r="DL69">
        <f>IF(OR(ROW()-54&gt;INDEX($U$4:$U$11,$AC$2+1,1)-INDEX($U$4:$U$11,$AC$2,1),ROW()-54&gt;$AD$2),NA(),COUNTIF(INDEX($BL$55:$BR$100,INDEX($U$4:$U$11,1,1),$AC$2):INDEX($BL$55:$BR$100,INDEX($U$4:$U$11,1,1)+ROW()-55,$AC$2),DL$53))</f>
        <v>0</v>
      </c>
      <c r="DM69">
        <f>IF(OR(ROW()-54&gt;INDEX($U$4:$U$11,$AC$2+1,1)-INDEX($U$4:$U$11,$AC$2,1),ROW()-54&gt;$AD$2),NA(),COUNTIF(INDEX($BL$55:$BR$100,INDEX($U$4:$U$11,1,1),$AC$2):INDEX($BL$5:$BR$50,INDEX($U$4:$U$11,1,1)+ROW()-55,$AC$2),DM$53))</f>
        <v>0</v>
      </c>
      <c r="DN69">
        <f>IF(OR(ROW()-54&gt;INDEX($U$4:$U$11,$AC$2+1,1)-INDEX($U$4:$U$11,$AC$2,1),ROW()-54&gt;$AD$2),NA(),COUNTIF(INDEX($BL$55:$BR$100,INDEX($U$4:$U$11,1,1),$AC$2):INDEX($BL$55:$BR$100,INDEX($U$4:$U$11,1,1)+ROW()-55,$AC$2),DN$53))</f>
        <v>3</v>
      </c>
      <c r="ET69">
        <f>IF(OR(ROW()-54&gt;INDEX($U$4:$U$11,$AC$2+1,1)-INDEX($U$4:$U$11,$AC$2,1),ROW()-54&gt;$AD$2),NA(),COUNTIF(INDEX($CR$55:$CX$90,INDEX($U$4:$U$11,1,1),$AC$2):INDEX($CR$55:$CX$90,INDEX($U$4:$U$11,1,1)+ROW()-55,$AC$2),ET$53))</f>
        <v>0</v>
      </c>
      <c r="EU69">
        <f>IF(OR(ROW()-54&gt;INDEX($U$4:$U$11,$AC$2+1,1)-INDEX($U$4:$U$11,$AC$2,1),ROW()-54&gt;$AD$2),NA(),COUNTIF(INDEX($CR$55:$CX$90,INDEX($U$4:$U$11,1,1),$AC$2):INDEX($CR$55:$CX$90,INDEX($U$4:$U$11,1,1)+ROW()-55,$AC$2),EU$53))</f>
        <v>0</v>
      </c>
      <c r="EV69">
        <f>IF(OR(ROW()-54&gt;INDEX($U$4:$U$11,$AC$2+1,1)-INDEX($U$4:$U$11,$AC$2,1),ROW()-54&gt;$AD$2),NA(),COUNTIF(INDEX($CR$55:$CX$90,INDEX($U$4:$U$11,1,1),$AC$2):INDEX($CR$55:$CX$90,INDEX($U$4:$U$11,1,1)+ROW()-55,$AC$2),EV$53))</f>
        <v>1</v>
      </c>
      <c r="EW69">
        <f>IF(OR(ROW()-54&gt;INDEX($U$4:$U$11,$AC$2+1,1)-INDEX($U$4:$U$11,$AC$2,1),ROW()-54&gt;$AD$2),NA(),COUNTIF(INDEX($CR$55:$CX$90,INDEX($U$4:$U$11,1,1),$AC$2):INDEX($CR$55:$CX$90,INDEX($U$4:$U$11,1,1)+ROW()-55,$AC$2),EW$53))</f>
        <v>1</v>
      </c>
      <c r="EX69">
        <f>IF(OR(ROW()-54&gt;INDEX($U$4:$U$11,$AC$2+1,1)-INDEX($U$4:$U$11,$AC$2,1),ROW()-54&gt;$AD$2),NA(),COUNTIF(INDEX($CR$55:$CX$90,INDEX($U$4:$U$11,1,1),$AC$2):INDEX($CR$55:$CX$90,INDEX($U$4:$U$11,1,1)+ROW()-55,$AC$2),EX$53))</f>
        <v>0</v>
      </c>
      <c r="EY69">
        <f>IF(OR(ROW()-54&gt;INDEX($U$4:$U$11,$AC$2+1,1)-INDEX($U$4:$U$11,$AC$2,1),ROW()-54&gt;$AD$2),NA(),COUNTIF(INDEX($CR$55:$CX$90,INDEX($U$4:$U$11,1,1),$AC$2):INDEX($CR$55:$CX$90,INDEX($U$4:$U$11,1,1)+ROW()-55,$AC$2),EY$53))</f>
        <v>2</v>
      </c>
      <c r="EZ69">
        <f>IF(OR(ROW()-54&gt;INDEX($U$4:$U$11,$AC$2+1,1)-INDEX($U$4:$U$11,$AC$2,1),ROW()-54&gt;$AD$2),NA(),COUNTIF(INDEX($CR$55:$CX$90,INDEX($U$4:$U$11,1,1),$AC$2):INDEX($CR$55:$CX$90,INDEX($U$4:$U$11,1,1)+ROW()-55,$AC$2),EZ$53))</f>
        <v>0</v>
      </c>
      <c r="FA69">
        <f>IF(OR(ROW()-54&gt;INDEX($U$4:$U$11,$AC$2+1,1)-INDEX($U$4:$U$11,$AC$2,1),ROW()-54&gt;$AD$2),NA(),COUNTIF(INDEX($CR$55:$CX$90,INDEX($U$4:$U$11,1,1),$AC$2):INDEX($CR$55:$CX$90,INDEX($U$4:$U$11,1,1)+ROW()-55,$AC$2),FA$53))</f>
        <v>0</v>
      </c>
      <c r="FC69">
        <f>IF(OR(ROW()-54&gt;INDEX($U$4:$U$11,$AC$2+1,1)-INDEX($U$4:$U$11,$AC$2,1),ROW()-54&gt;$AD$2),NA(),COUNTIF(INDEX($CR$55:$CX$90,INDEX($U$4:$U$11,1,1),$AC$2):INDEX($CR$55:$CX$90,INDEX($U$4:$U$11,1,1)+ROW()-55,$AC$2),FC$53))</f>
        <v>0</v>
      </c>
      <c r="FD69">
        <f>IF(OR(ROW()-54&gt;INDEX($U$4:$U$11,$AC$2+1,1)-INDEX($U$4:$U$11,$AC$2,1),ROW()-54&gt;$AD$2),NA(),COUNTIF(INDEX($CR$55:$CX$90,INDEX($U$4:$U$11,1,1),$AC$2):INDEX($CR$55:$CX$90,INDEX($U$4:$U$11,1,1)+ROW()-55,$AC$2),FD$53))</f>
        <v>0</v>
      </c>
      <c r="FE69">
        <f>IF(OR(ROW()-54&gt;INDEX($U$4:$U$11,$AC$2+1,1)-INDEX($U$4:$U$11,$AC$2,1),ROW()-54&gt;$AD$2),NA(),COUNTIF(INDEX($CR$55:$CX$90,INDEX($U$4:$U$11,1,1),$AC$2):INDEX($CR$55:$CX$90,INDEX($U$4:$U$11,1,1)+ROW()-55,$AC$2),FE$53))</f>
        <v>0</v>
      </c>
      <c r="FF69">
        <f>IF(OR(ROW()-54&gt;INDEX($U$4:$U$11,$AC$2+1,1)-INDEX($U$4:$U$11,$AC$2,1),ROW()-54&gt;$AD$2),NA(),COUNTIF(INDEX($CR$55:$CX$90,INDEX($U$4:$U$11,1,1),$AC$2):INDEX($CR$55:$CX$90,INDEX($U$4:$U$11,1,1)+ROW()-55,$AC$2),FF$53))</f>
        <v>1</v>
      </c>
      <c r="FG69">
        <f>IF(OR(ROW()-54&gt;INDEX($U$4:$U$11,$AC$2+1,1)-INDEX($U$4:$U$11,$AC$2,1),ROW()-54&gt;$AD$2),NA(),COUNTIF(INDEX($CR$55:$CX$90,INDEX($U$4:$U$11,1,1),$AC$2):INDEX($CR$55:$CX$90,INDEX($U$4:$U$11,1,1)+ROW()-55,$AC$2),FG$53))</f>
        <v>0</v>
      </c>
      <c r="FH69">
        <f>IF(OR(ROW()-54&gt;INDEX($U$4:$U$11,$AC$2+1,1)-INDEX($U$4:$U$11,$AC$2,1),ROW()-54&gt;$AD$2),NA(),COUNTIF(INDEX($CR$55:$CX$90,INDEX($U$4:$U$11,1,1),$AC$2):INDEX($CR$55:$CX$90,INDEX($U$4:$U$11,1,1)+ROW()-55,$AC$2),FH$53))</f>
        <v>1</v>
      </c>
      <c r="FI69">
        <f>IF(OR(ROW()-54&gt;INDEX($U$4:$U$11,$AC$2+1,1)-INDEX($U$4:$U$11,$AC$2,1),ROW()-54&gt;$AD$2),NA(),COUNTIF(INDEX($CR$55:$CX$90,INDEX($U$4:$U$11,1,1),$AC$2):INDEX($CR$55:$CX$90,INDEX($U$4:$U$11,1,1)+ROW()-55,$AC$2),FI$53))</f>
        <v>0</v>
      </c>
      <c r="FJ69">
        <f>IF(OR(ROW()-54&gt;INDEX($U$4:$U$11,$AC$2+1,1)-INDEX($U$4:$U$11,$AC$2,1),ROW()-54&gt;$AD$2),NA(),COUNTIF(INDEX($CR$55:$CX$90,INDEX($U$4:$U$11,1,1),$AC$2):INDEX($CR$55:$CX$90,INDEX($U$4:$U$11,1,1)+ROW()-55,$AC$2),FJ$53))</f>
        <v>0</v>
      </c>
    </row>
    <row r="70" spans="1:166" x14ac:dyDescent="0.45">
      <c r="A70" t="str">
        <f>データの貼付!A68</f>
        <v>FENG Tianwei</v>
      </c>
      <c r="B70">
        <f>データの貼付!B68</f>
        <v>1.8732442129629628E-2</v>
      </c>
      <c r="C70">
        <f>データの貼付!C68</f>
        <v>6.1006944444444443E-5</v>
      </c>
      <c r="D70">
        <f>データの貼付!D68</f>
        <v>4.3055555555555562E-2</v>
      </c>
      <c r="E70" t="str">
        <f>データの貼付!F68</f>
        <v>FENG Tianwei</v>
      </c>
      <c r="F70">
        <f>データの貼付!E68</f>
        <v>4.1666666666666664E-2</v>
      </c>
      <c r="G70" t="str">
        <f>データの貼付!G68</f>
        <v>#03</v>
      </c>
      <c r="H70" t="str">
        <f>データの貼付!H68</f>
        <v>FENG Tianwei</v>
      </c>
      <c r="I70" t="str">
        <f>データの貼付!I68</f>
        <v>Side</v>
      </c>
      <c r="J70" t="str">
        <f>データの貼付!J68</f>
        <v>B</v>
      </c>
      <c r="K70" t="str">
        <f>データの貼付!K68</f>
        <v>B</v>
      </c>
      <c r="L70" t="str">
        <f>データの貼付!L68</f>
        <v>B</v>
      </c>
      <c r="M70" t="str">
        <f>データの貼付!M68</f>
        <v>ドライブ</v>
      </c>
      <c r="N70" t="str">
        <f>データの貼付!N68</f>
        <v>BM</v>
      </c>
      <c r="R70">
        <f t="shared" si="179"/>
        <v>0</v>
      </c>
      <c r="S70">
        <f>SUM(R$4:R70)</f>
        <v>4</v>
      </c>
      <c r="T70" t="str">
        <f t="shared" si="180"/>
        <v>FENG Tianwei</v>
      </c>
      <c r="W70" t="str">
        <f t="shared" si="177"/>
        <v>FENG Tianwei_FENG Tianwei</v>
      </c>
      <c r="X70" t="str">
        <f t="shared" si="178"/>
        <v>FENG Tianwei_#03</v>
      </c>
      <c r="BL70" t="str">
        <f t="shared" si="162"/>
        <v>FENG Tianwei_(Side)_KIHARA Miyuu</v>
      </c>
      <c r="BM70" t="e">
        <f t="shared" si="160"/>
        <v>#VALUE!</v>
      </c>
      <c r="BN70" t="str">
        <f t="shared" si="160"/>
        <v>KIHARA Miyuu_(Side)_FENG Tianwei</v>
      </c>
      <c r="BO70" t="str">
        <f t="shared" si="160"/>
        <v>FENG Tianwei_Back_KIHARA Miyuu</v>
      </c>
      <c r="BP70" t="e">
        <f t="shared" si="160"/>
        <v>#VALUE!</v>
      </c>
      <c r="BQ70" t="e">
        <f t="shared" si="160"/>
        <v>#VALUE!</v>
      </c>
      <c r="BR70" t="e">
        <f t="shared" si="160"/>
        <v>#VALUE!</v>
      </c>
      <c r="CR70" t="str">
        <f t="shared" si="170"/>
        <v>KIHARA Miyuu_ドライブ_KIHARA Miyuu</v>
      </c>
      <c r="CS70" t="e">
        <f t="shared" si="171"/>
        <v>#VALUE!</v>
      </c>
      <c r="CT70" t="str">
        <f t="shared" si="172"/>
        <v>FENG Tianwei_ドライブ_FENG Tianwei</v>
      </c>
      <c r="CU70" t="str">
        <f t="shared" si="173"/>
        <v>KIHARA Miyuu_Push_KIHARA Miyuu</v>
      </c>
      <c r="CV70" t="e">
        <f t="shared" si="174"/>
        <v>#VALUE!</v>
      </c>
      <c r="CW70" t="e">
        <f t="shared" si="175"/>
        <v>#VALUE!</v>
      </c>
      <c r="CX70" t="e">
        <f t="shared" si="176"/>
        <v>#VALUE!</v>
      </c>
      <c r="DH70">
        <f>IF(OR(ROW()-54&gt;INDEX($U$4:$U$11,$AC$2+1,1)-INDEX($U$4:$U$11,$AC$2,1),ROW()-54&gt;$AD$2),NA(),COUNTIF(INDEX($BL$55:$BR$100,INDEX($U$4:$U$11,1,1),$AC$2):INDEX($BL$55:$BR$100,INDEX($U$4:$U$11,1,1)+ROW()-55,$AC$2),DH$53))</f>
        <v>2</v>
      </c>
      <c r="DI70">
        <f>IF(OR(ROW()-54&gt;INDEX($U$4:$U$11,$AC$2+1,1)-INDEX($U$4:$U$11,$AC$2,1),ROW()-54&gt;$AD$2),NA(),COUNTIF(INDEX($BL$55:$BR$100,INDEX($U$4:$U$11,1,1),$AC$2):INDEX($BL$55:$BR$100,INDEX($U$4:$U$11,1,1)+ROW()-55,$AC$2),DI$53))</f>
        <v>4</v>
      </c>
      <c r="DJ70">
        <f>IF(OR(ROW()-54&gt;INDEX($U$4:$U$11,$AC$2+1,1)-INDEX($U$4:$U$11,$AC$2,1),ROW()-54&gt;$AD$2),NA(),COUNTIF(INDEX($BL$55:$BR$100,INDEX($U$4:$U$11,1,1),$AC$2):INDEX($BL$55:$BR$100,INDEX($U$4:$U$11,1,1)+ROW()-55,$AC$2),DJ$53))</f>
        <v>0</v>
      </c>
      <c r="DL70">
        <f>IF(OR(ROW()-54&gt;INDEX($U$4:$U$11,$AC$2+1,1)-INDEX($U$4:$U$11,$AC$2,1),ROW()-54&gt;$AD$2),NA(),COUNTIF(INDEX($BL$55:$BR$100,INDEX($U$4:$U$11,1,1),$AC$2):INDEX($BL$55:$BR$100,INDEX($U$4:$U$11,1,1)+ROW()-55,$AC$2),DL$53))</f>
        <v>0</v>
      </c>
      <c r="DM70">
        <f>IF(OR(ROW()-54&gt;INDEX($U$4:$U$11,$AC$2+1,1)-INDEX($U$4:$U$11,$AC$2,1),ROW()-54&gt;$AD$2),NA(),COUNTIF(INDEX($BL$55:$BR$100,INDEX($U$4:$U$11,1,1),$AC$2):INDEX($BL$5:$BR$50,INDEX($U$4:$U$11,1,1)+ROW()-55,$AC$2),DM$53))</f>
        <v>0</v>
      </c>
      <c r="DN70">
        <f>IF(OR(ROW()-54&gt;INDEX($U$4:$U$11,$AC$2+1,1)-INDEX($U$4:$U$11,$AC$2,1),ROW()-54&gt;$AD$2),NA(),COUNTIF(INDEX($BL$55:$BR$100,INDEX($U$4:$U$11,1,1),$AC$2):INDEX($BL$55:$BR$100,INDEX($U$4:$U$11,1,1)+ROW()-55,$AC$2),DN$53))</f>
        <v>3</v>
      </c>
      <c r="ET70">
        <f>IF(OR(ROW()-54&gt;INDEX($U$4:$U$11,$AC$2+1,1)-INDEX($U$4:$U$11,$AC$2,1),ROW()-54&gt;$AD$2),NA(),COUNTIF(INDEX($CR$55:$CX$90,INDEX($U$4:$U$11,1,1),$AC$2):INDEX($CR$55:$CX$90,INDEX($U$4:$U$11,1,1)+ROW()-55,$AC$2),ET$53))</f>
        <v>0</v>
      </c>
      <c r="EU70">
        <f>IF(OR(ROW()-54&gt;INDEX($U$4:$U$11,$AC$2+1,1)-INDEX($U$4:$U$11,$AC$2,1),ROW()-54&gt;$AD$2),NA(),COUNTIF(INDEX($CR$55:$CX$90,INDEX($U$4:$U$11,1,1),$AC$2):INDEX($CR$55:$CX$90,INDEX($U$4:$U$11,1,1)+ROW()-55,$AC$2),EU$53))</f>
        <v>0</v>
      </c>
      <c r="EV70">
        <f>IF(OR(ROW()-54&gt;INDEX($U$4:$U$11,$AC$2+1,1)-INDEX($U$4:$U$11,$AC$2,1),ROW()-54&gt;$AD$2),NA(),COUNTIF(INDEX($CR$55:$CX$90,INDEX($U$4:$U$11,1,1),$AC$2):INDEX($CR$55:$CX$90,INDEX($U$4:$U$11,1,1)+ROW()-55,$AC$2),EV$53))</f>
        <v>1</v>
      </c>
      <c r="EW70">
        <f>IF(OR(ROW()-54&gt;INDEX($U$4:$U$11,$AC$2+1,1)-INDEX($U$4:$U$11,$AC$2,1),ROW()-54&gt;$AD$2),NA(),COUNTIF(INDEX($CR$55:$CX$90,INDEX($U$4:$U$11,1,1),$AC$2):INDEX($CR$55:$CX$90,INDEX($U$4:$U$11,1,1)+ROW()-55,$AC$2),EW$53))</f>
        <v>1</v>
      </c>
      <c r="EX70">
        <f>IF(OR(ROW()-54&gt;INDEX($U$4:$U$11,$AC$2+1,1)-INDEX($U$4:$U$11,$AC$2,1),ROW()-54&gt;$AD$2),NA(),COUNTIF(INDEX($CR$55:$CX$90,INDEX($U$4:$U$11,1,1),$AC$2):INDEX($CR$55:$CX$90,INDEX($U$4:$U$11,1,1)+ROW()-55,$AC$2),EX$53))</f>
        <v>0</v>
      </c>
      <c r="EY70">
        <f>IF(OR(ROW()-54&gt;INDEX($U$4:$U$11,$AC$2+1,1)-INDEX($U$4:$U$11,$AC$2,1),ROW()-54&gt;$AD$2),NA(),COUNTIF(INDEX($CR$55:$CX$90,INDEX($U$4:$U$11,1,1),$AC$2):INDEX($CR$55:$CX$90,INDEX($U$4:$U$11,1,1)+ROW()-55,$AC$2),EY$53))</f>
        <v>3</v>
      </c>
      <c r="EZ70">
        <f>IF(OR(ROW()-54&gt;INDEX($U$4:$U$11,$AC$2+1,1)-INDEX($U$4:$U$11,$AC$2,1),ROW()-54&gt;$AD$2),NA(),COUNTIF(INDEX($CR$55:$CX$90,INDEX($U$4:$U$11,1,1),$AC$2):INDEX($CR$55:$CX$90,INDEX($U$4:$U$11,1,1)+ROW()-55,$AC$2),EZ$53))</f>
        <v>0</v>
      </c>
      <c r="FA70">
        <f>IF(OR(ROW()-54&gt;INDEX($U$4:$U$11,$AC$2+1,1)-INDEX($U$4:$U$11,$AC$2,1),ROW()-54&gt;$AD$2),NA(),COUNTIF(INDEX($CR$55:$CX$90,INDEX($U$4:$U$11,1,1),$AC$2):INDEX($CR$55:$CX$90,INDEX($U$4:$U$11,1,1)+ROW()-55,$AC$2),FA$53))</f>
        <v>0</v>
      </c>
      <c r="FC70">
        <f>IF(OR(ROW()-54&gt;INDEX($U$4:$U$11,$AC$2+1,1)-INDEX($U$4:$U$11,$AC$2,1),ROW()-54&gt;$AD$2),NA(),COUNTIF(INDEX($CR$55:$CX$90,INDEX($U$4:$U$11,1,1),$AC$2):INDEX($CR$55:$CX$90,INDEX($U$4:$U$11,1,1)+ROW()-55,$AC$2),FC$53))</f>
        <v>0</v>
      </c>
      <c r="FD70">
        <f>IF(OR(ROW()-54&gt;INDEX($U$4:$U$11,$AC$2+1,1)-INDEX($U$4:$U$11,$AC$2,1),ROW()-54&gt;$AD$2),NA(),COUNTIF(INDEX($CR$55:$CX$90,INDEX($U$4:$U$11,1,1),$AC$2):INDEX($CR$55:$CX$90,INDEX($U$4:$U$11,1,1)+ROW()-55,$AC$2),FD$53))</f>
        <v>0</v>
      </c>
      <c r="FE70">
        <f>IF(OR(ROW()-54&gt;INDEX($U$4:$U$11,$AC$2+1,1)-INDEX($U$4:$U$11,$AC$2,1),ROW()-54&gt;$AD$2),NA(),COUNTIF(INDEX($CR$55:$CX$90,INDEX($U$4:$U$11,1,1),$AC$2):INDEX($CR$55:$CX$90,INDEX($U$4:$U$11,1,1)+ROW()-55,$AC$2),FE$53))</f>
        <v>0</v>
      </c>
      <c r="FF70">
        <f>IF(OR(ROW()-54&gt;INDEX($U$4:$U$11,$AC$2+1,1)-INDEX($U$4:$U$11,$AC$2,1),ROW()-54&gt;$AD$2),NA(),COUNTIF(INDEX($CR$55:$CX$90,INDEX($U$4:$U$11,1,1),$AC$2):INDEX($CR$55:$CX$90,INDEX($U$4:$U$11,1,1)+ROW()-55,$AC$2),FF$53))</f>
        <v>1</v>
      </c>
      <c r="FG70">
        <f>IF(OR(ROW()-54&gt;INDEX($U$4:$U$11,$AC$2+1,1)-INDEX($U$4:$U$11,$AC$2,1),ROW()-54&gt;$AD$2),NA(),COUNTIF(INDEX($CR$55:$CX$90,INDEX($U$4:$U$11,1,1),$AC$2):INDEX($CR$55:$CX$90,INDEX($U$4:$U$11,1,1)+ROW()-55,$AC$2),FG$53))</f>
        <v>0</v>
      </c>
      <c r="FH70">
        <f>IF(OR(ROW()-54&gt;INDEX($U$4:$U$11,$AC$2+1,1)-INDEX($U$4:$U$11,$AC$2,1),ROW()-54&gt;$AD$2),NA(),COUNTIF(INDEX($CR$55:$CX$90,INDEX($U$4:$U$11,1,1),$AC$2):INDEX($CR$55:$CX$90,INDEX($U$4:$U$11,1,1)+ROW()-55,$AC$2),FH$53))</f>
        <v>1</v>
      </c>
      <c r="FI70">
        <f>IF(OR(ROW()-54&gt;INDEX($U$4:$U$11,$AC$2+1,1)-INDEX($U$4:$U$11,$AC$2,1),ROW()-54&gt;$AD$2),NA(),COUNTIF(INDEX($CR$55:$CX$90,INDEX($U$4:$U$11,1,1),$AC$2):INDEX($CR$55:$CX$90,INDEX($U$4:$U$11,1,1)+ROW()-55,$AC$2),FI$53))</f>
        <v>0</v>
      </c>
      <c r="FJ70">
        <f>IF(OR(ROW()-54&gt;INDEX($U$4:$U$11,$AC$2+1,1)-INDEX($U$4:$U$11,$AC$2,1),ROW()-54&gt;$AD$2),NA(),COUNTIF(INDEX($CR$55:$CX$90,INDEX($U$4:$U$11,1,1),$AC$2):INDEX($CR$55:$CX$90,INDEX($U$4:$U$11,1,1)+ROW()-55,$AC$2),FJ$53))</f>
        <v>0</v>
      </c>
    </row>
    <row r="71" spans="1:166" x14ac:dyDescent="0.45">
      <c r="A71" t="str">
        <f>データの貼付!A69</f>
        <v>FENG Tianwei</v>
      </c>
      <c r="B71">
        <f>データの貼付!B69</f>
        <v>1.9987557870370369E-2</v>
      </c>
      <c r="C71">
        <f>データの貼付!C69</f>
        <v>7.1053240740740736E-5</v>
      </c>
      <c r="D71">
        <f>データの貼付!D69</f>
        <v>8.4722222222222213E-2</v>
      </c>
      <c r="E71" t="str">
        <f>データの貼付!F69</f>
        <v>KIHARA Miyuu</v>
      </c>
      <c r="F71">
        <f>データの貼付!E69</f>
        <v>4.1666666666666664E-2</v>
      </c>
      <c r="G71" t="str">
        <f>データの貼付!G69</f>
        <v>#04</v>
      </c>
      <c r="H71" t="str">
        <f>データの貼付!H69</f>
        <v>FENG Tianwei</v>
      </c>
      <c r="I71" t="str">
        <f>データの貼付!I69</f>
        <v>Side</v>
      </c>
      <c r="J71" t="str">
        <f>データの貼付!J69</f>
        <v>B</v>
      </c>
      <c r="K71" t="str">
        <f>データの貼付!K69</f>
        <v>B</v>
      </c>
      <c r="L71" t="str">
        <f>データの貼付!L69</f>
        <v>B</v>
      </c>
      <c r="M71" t="str">
        <f>データの貼付!M69</f>
        <v>ドライブ</v>
      </c>
      <c r="N71" t="str">
        <f>データの貼付!N69</f>
        <v>FM</v>
      </c>
      <c r="R71">
        <f t="shared" si="179"/>
        <v>1</v>
      </c>
      <c r="S71">
        <f>SUM(R$4:R71)</f>
        <v>5</v>
      </c>
      <c r="T71" t="str">
        <f t="shared" si="180"/>
        <v/>
      </c>
      <c r="W71" t="str">
        <f t="shared" si="177"/>
        <v>KIHARA Miyuu_FENG Tianwei</v>
      </c>
      <c r="X71" t="str">
        <f t="shared" si="178"/>
        <v>KIHARA Miyuu_#04</v>
      </c>
      <c r="BL71" t="str">
        <f t="shared" si="162"/>
        <v>KIHARA Miyuu_(Side)_KIHARA Miyuu</v>
      </c>
      <c r="BM71" t="e">
        <f t="shared" ref="BM71:BM90" si="181">BE21&amp;"_"&amp;IF(INDEX($E$4:$E$200,AO21)=0,"SL",INDEX($I$4:$I$200,AO21)&amp;"_"&amp;INDEX($E$4:$E$200,AO21))</f>
        <v>#VALUE!</v>
      </c>
      <c r="BN71" t="e">
        <f t="shared" ref="BN71:BN90" si="182">BF21&amp;"_"&amp;IF(INDEX($E$4:$E$200,AP21)=0,"SL",INDEX($I$4:$I$200,AP21)&amp;"_"&amp;INDEX($E$4:$E$200,AP21))</f>
        <v>#VALUE!</v>
      </c>
      <c r="BO71" t="str">
        <f t="shared" ref="BO71:BO90" si="183">BG21&amp;"_"&amp;IF(INDEX($E$4:$E$200,AQ21)=0,"SL",INDEX($I$4:$I$200,AQ21)&amp;"_"&amp;INDEX($E$4:$E$200,AQ21))</f>
        <v>KIHARA Miyuu_(Side)_FENG Tianwei</v>
      </c>
      <c r="BP71" t="e">
        <f t="shared" ref="BP71:BP90" si="184">BH21&amp;"_"&amp;IF(INDEX($E$4:$E$200,AR21)=0,"SL",INDEX($I$4:$I$200,AR21)&amp;"_"&amp;INDEX($E$4:$E$200,AR21))</f>
        <v>#VALUE!</v>
      </c>
      <c r="BQ71" t="e">
        <f t="shared" ref="BQ71:BQ90" si="185">BI21&amp;"_"&amp;IF(INDEX($E$4:$E$200,AS21)=0,"SL",INDEX($I$4:$I$200,AS21)&amp;"_"&amp;INDEX($E$4:$E$200,AS21))</f>
        <v>#VALUE!</v>
      </c>
      <c r="BR71" t="e">
        <f t="shared" ref="BR71:BR90" si="186">BJ21&amp;"_"&amp;IF(INDEX($E$4:$E$200,AT21)=0,"SL",INDEX($I$4:$I$200,AT21)&amp;"_"&amp;INDEX($E$4:$E$200,AT21))</f>
        <v>#VALUE!</v>
      </c>
      <c r="CR71" t="str">
        <f t="shared" si="170"/>
        <v>FENG Tianwei_ドライブ_KIHARA Miyuu</v>
      </c>
      <c r="CS71" t="e">
        <f t="shared" si="171"/>
        <v>#VALUE!</v>
      </c>
      <c r="CT71" t="e">
        <f t="shared" si="172"/>
        <v>#VALUE!</v>
      </c>
      <c r="CU71" t="str">
        <f t="shared" si="173"/>
        <v>FENG Tianwei_Chiquita_FENG Tianwei</v>
      </c>
      <c r="CV71" t="e">
        <f t="shared" si="174"/>
        <v>#VALUE!</v>
      </c>
      <c r="CW71" t="e">
        <f t="shared" si="175"/>
        <v>#VALUE!</v>
      </c>
      <c r="CX71" t="e">
        <f t="shared" si="176"/>
        <v>#VALUE!</v>
      </c>
      <c r="DH71" t="e">
        <f>IF(OR(ROW()-54&gt;INDEX($U$4:$U$11,$AC$2+1,1)-INDEX($U$4:$U$11,$AC$2,1),ROW()-54&gt;$AD$2),NA(),COUNTIF(INDEX($BL$55:$BR$100,INDEX($U$4:$U$11,1,1),$AC$2):INDEX($BL$55:$BR$100,INDEX($U$4:$U$11,1,1)+ROW()-55,$AC$2),DH$53))</f>
        <v>#N/A</v>
      </c>
      <c r="DI71" t="e">
        <f>IF(OR(ROW()-54&gt;INDEX($U$4:$U$11,$AC$2+1,1)-INDEX($U$4:$U$11,$AC$2,1),ROW()-54&gt;$AD$2),NA(),COUNTIF(INDEX($BL$55:$BR$100,INDEX($U$4:$U$11,1,1),$AC$2):INDEX($BL$55:$BR$100,INDEX($U$4:$U$11,1,1)+ROW()-55,$AC$2),DI$53))</f>
        <v>#N/A</v>
      </c>
      <c r="DJ71" t="e">
        <f>IF(OR(ROW()-54&gt;INDEX($U$4:$U$11,$AC$2+1,1)-INDEX($U$4:$U$11,$AC$2,1),ROW()-54&gt;$AD$2),NA(),COUNTIF(INDEX($BL$55:$BR$100,INDEX($U$4:$U$11,1,1),$AC$2):INDEX($BL$55:$BR$100,INDEX($U$4:$U$11,1,1)+ROW()-55,$AC$2),DJ$53))</f>
        <v>#N/A</v>
      </c>
      <c r="DL71" t="e">
        <f>IF(OR(ROW()-54&gt;INDEX($U$4:$U$11,$AC$2+1,1)-INDEX($U$4:$U$11,$AC$2,1),ROW()-54&gt;$AD$2),NA(),COUNTIF(INDEX($BL$55:$BR$100,INDEX($U$4:$U$11,1,1),$AC$2):INDEX($BL$55:$BR$100,INDEX($U$4:$U$11,1,1)+ROW()-55,$AC$2),DL$53))</f>
        <v>#N/A</v>
      </c>
      <c r="DM71" t="e">
        <f>IF(OR(ROW()-54&gt;INDEX($U$4:$U$11,$AC$2+1,1)-INDEX($U$4:$U$11,$AC$2,1),ROW()-54&gt;$AD$2),NA(),COUNTIF(INDEX($BL$55:$BR$100,INDEX($U$4:$U$11,1,1),$AC$2):INDEX($BL$5:$BR$50,INDEX($U$4:$U$11,1,1)+ROW()-55,$AC$2),DM$53))</f>
        <v>#N/A</v>
      </c>
      <c r="DN71" t="e">
        <f>IF(OR(ROW()-54&gt;INDEX($U$4:$U$11,$AC$2+1,1)-INDEX($U$4:$U$11,$AC$2,1),ROW()-54&gt;$AD$2),NA(),COUNTIF(INDEX($BL$55:$BR$100,INDEX($U$4:$U$11,1,1),$AC$2):INDEX($BL$55:$BR$100,INDEX($U$4:$U$11,1,1)+ROW()-55,$AC$2),DN$53))</f>
        <v>#N/A</v>
      </c>
      <c r="ET71" t="e">
        <f>IF(OR(ROW()-54&gt;INDEX($U$4:$U$11,$AC$2+1,1)-INDEX($U$4:$U$11,$AC$2,1),ROW()-54&gt;$AD$2),NA(),COUNTIF(INDEX($CR$55:$CX$90,INDEX($U$4:$U$11,1,1),$AC$2):INDEX($CR$55:$CX$90,INDEX($U$4:$U$11,1,1)+ROW()-55,$AC$2),ET$53))</f>
        <v>#N/A</v>
      </c>
      <c r="EU71" t="e">
        <f>IF(OR(ROW()-54&gt;INDEX($U$4:$U$11,$AC$2+1,1)-INDEX($U$4:$U$11,$AC$2,1),ROW()-54&gt;$AD$2),NA(),COUNTIF(INDEX($CR$55:$CX$90,INDEX($U$4:$U$11,1,1),$AC$2):INDEX($CR$55:$CX$90,INDEX($U$4:$U$11,1,1)+ROW()-55,$AC$2),EU$53))</f>
        <v>#N/A</v>
      </c>
      <c r="EV71" t="e">
        <f>IF(OR(ROW()-54&gt;INDEX($U$4:$U$11,$AC$2+1,1)-INDEX($U$4:$U$11,$AC$2,1),ROW()-54&gt;$AD$2),NA(),COUNTIF(INDEX($CR$55:$CX$90,INDEX($U$4:$U$11,1,1),$AC$2):INDEX($CR$55:$CX$90,INDEX($U$4:$U$11,1,1)+ROW()-55,$AC$2),EV$53))</f>
        <v>#N/A</v>
      </c>
      <c r="EW71" t="e">
        <f>IF(OR(ROW()-54&gt;INDEX($U$4:$U$11,$AC$2+1,1)-INDEX($U$4:$U$11,$AC$2,1),ROW()-54&gt;$AD$2),NA(),COUNTIF(INDEX($CR$55:$CX$90,INDEX($U$4:$U$11,1,1),$AC$2):INDEX($CR$55:$CX$90,INDEX($U$4:$U$11,1,1)+ROW()-55,$AC$2),EW$53))</f>
        <v>#N/A</v>
      </c>
      <c r="EX71" t="e">
        <f>IF(OR(ROW()-54&gt;INDEX($U$4:$U$11,$AC$2+1,1)-INDEX($U$4:$U$11,$AC$2,1),ROW()-54&gt;$AD$2),NA(),COUNTIF(INDEX($CR$55:$CX$90,INDEX($U$4:$U$11,1,1),$AC$2):INDEX($CR$55:$CX$90,INDEX($U$4:$U$11,1,1)+ROW()-55,$AC$2),EX$53))</f>
        <v>#N/A</v>
      </c>
      <c r="EY71" t="e">
        <f>IF(OR(ROW()-54&gt;INDEX($U$4:$U$11,$AC$2+1,1)-INDEX($U$4:$U$11,$AC$2,1),ROW()-54&gt;$AD$2),NA(),COUNTIF(INDEX($CR$55:$CX$90,INDEX($U$4:$U$11,1,1),$AC$2):INDEX($CR$55:$CX$90,INDEX($U$4:$U$11,1,1)+ROW()-55,$AC$2),EY$53))</f>
        <v>#N/A</v>
      </c>
      <c r="EZ71" t="e">
        <f>IF(OR(ROW()-54&gt;INDEX($U$4:$U$11,$AC$2+1,1)-INDEX($U$4:$U$11,$AC$2,1),ROW()-54&gt;$AD$2),NA(),COUNTIF(INDEX($CR$55:$CX$90,INDEX($U$4:$U$11,1,1),$AC$2):INDEX($CR$55:$CX$90,INDEX($U$4:$U$11,1,1)+ROW()-55,$AC$2),EZ$53))</f>
        <v>#N/A</v>
      </c>
      <c r="FA71" t="e">
        <f>IF(OR(ROW()-54&gt;INDEX($U$4:$U$11,$AC$2+1,1)-INDEX($U$4:$U$11,$AC$2,1),ROW()-54&gt;$AD$2),NA(),COUNTIF(INDEX($CR$55:$CX$90,INDEX($U$4:$U$11,1,1),$AC$2):INDEX($CR$55:$CX$90,INDEX($U$4:$U$11,1,1)+ROW()-55,$AC$2),FA$53))</f>
        <v>#N/A</v>
      </c>
      <c r="FC71" t="e">
        <f>IF(OR(ROW()-54&gt;INDEX($U$4:$U$11,$AC$2+1,1)-INDEX($U$4:$U$11,$AC$2,1),ROW()-54&gt;$AD$2),NA(),COUNTIF(INDEX($CR$55:$CX$90,INDEX($U$4:$U$11,1,1),$AC$2):INDEX($CR$55:$CX$90,INDEX($U$4:$U$11,1,1)+ROW()-55,$AC$2),FC$53))</f>
        <v>#N/A</v>
      </c>
      <c r="FD71" t="e">
        <f>IF(OR(ROW()-54&gt;INDEX($U$4:$U$11,$AC$2+1,1)-INDEX($U$4:$U$11,$AC$2,1),ROW()-54&gt;$AD$2),NA(),COUNTIF(INDEX($CR$55:$CX$90,INDEX($U$4:$U$11,1,1),$AC$2):INDEX($CR$55:$CX$90,INDEX($U$4:$U$11,1,1)+ROW()-55,$AC$2),FD$53))</f>
        <v>#N/A</v>
      </c>
      <c r="FE71" t="e">
        <f>IF(OR(ROW()-54&gt;INDEX($U$4:$U$11,$AC$2+1,1)-INDEX($U$4:$U$11,$AC$2,1),ROW()-54&gt;$AD$2),NA(),COUNTIF(INDEX($CR$55:$CX$90,INDEX($U$4:$U$11,1,1),$AC$2):INDEX($CR$55:$CX$90,INDEX($U$4:$U$11,1,1)+ROW()-55,$AC$2),FE$53))</f>
        <v>#N/A</v>
      </c>
      <c r="FF71" t="e">
        <f>IF(OR(ROW()-54&gt;INDEX($U$4:$U$11,$AC$2+1,1)-INDEX($U$4:$U$11,$AC$2,1),ROW()-54&gt;$AD$2),NA(),COUNTIF(INDEX($CR$55:$CX$90,INDEX($U$4:$U$11,1,1),$AC$2):INDEX($CR$55:$CX$90,INDEX($U$4:$U$11,1,1)+ROW()-55,$AC$2),FF$53))</f>
        <v>#N/A</v>
      </c>
      <c r="FG71" t="e">
        <f>IF(OR(ROW()-54&gt;INDEX($U$4:$U$11,$AC$2+1,1)-INDEX($U$4:$U$11,$AC$2,1),ROW()-54&gt;$AD$2),NA(),COUNTIF(INDEX($CR$55:$CX$90,INDEX($U$4:$U$11,1,1),$AC$2):INDEX($CR$55:$CX$90,INDEX($U$4:$U$11,1,1)+ROW()-55,$AC$2),FG$53))</f>
        <v>#N/A</v>
      </c>
      <c r="FH71" t="e">
        <f>IF(OR(ROW()-54&gt;INDEX($U$4:$U$11,$AC$2+1,1)-INDEX($U$4:$U$11,$AC$2,1),ROW()-54&gt;$AD$2),NA(),COUNTIF(INDEX($CR$55:$CX$90,INDEX($U$4:$U$11,1,1),$AC$2):INDEX($CR$55:$CX$90,INDEX($U$4:$U$11,1,1)+ROW()-55,$AC$2),FH$53))</f>
        <v>#N/A</v>
      </c>
      <c r="FI71" t="e">
        <f>IF(OR(ROW()-54&gt;INDEX($U$4:$U$11,$AC$2+1,1)-INDEX($U$4:$U$11,$AC$2,1),ROW()-54&gt;$AD$2),NA(),COUNTIF(INDEX($CR$55:$CX$90,INDEX($U$4:$U$11,1,1),$AC$2):INDEX($CR$55:$CX$90,INDEX($U$4:$U$11,1,1)+ROW()-55,$AC$2),FI$53))</f>
        <v>#N/A</v>
      </c>
      <c r="FJ71" t="e">
        <f>IF(OR(ROW()-54&gt;INDEX($U$4:$U$11,$AC$2+1,1)-INDEX($U$4:$U$11,$AC$2,1),ROW()-54&gt;$AD$2),NA(),COUNTIF(INDEX($CR$55:$CX$90,INDEX($U$4:$U$11,1,1),$AC$2):INDEX($CR$55:$CX$90,INDEX($U$4:$U$11,1,1)+ROW()-55,$AC$2),FJ$53))</f>
        <v>#N/A</v>
      </c>
    </row>
    <row r="72" spans="1:166" x14ac:dyDescent="0.45">
      <c r="A72" t="str">
        <f>データの貼付!A70</f>
        <v>FENG Tianwei</v>
      </c>
      <c r="B72">
        <f>データの貼付!B70</f>
        <v>2.0303067129629631E-2</v>
      </c>
      <c r="C72">
        <f>データの貼付!C70</f>
        <v>7.5682870370370365E-5</v>
      </c>
      <c r="D72">
        <f>データの貼付!D70</f>
        <v>8.4722222222222213E-2</v>
      </c>
      <c r="E72" t="str">
        <f>データの貼付!F70</f>
        <v>KIHARA Miyuu</v>
      </c>
      <c r="F72">
        <f>データの貼付!E70</f>
        <v>4.1666666666666664E-2</v>
      </c>
      <c r="G72" t="str">
        <f>データの貼付!G70</f>
        <v>#04</v>
      </c>
      <c r="H72" t="str">
        <f>データの貼付!H70</f>
        <v>FENG Tianwei</v>
      </c>
      <c r="I72" t="str">
        <f>データの貼付!I70</f>
        <v>Back</v>
      </c>
      <c r="J72" t="str">
        <f>データの貼付!J70</f>
        <v>B</v>
      </c>
      <c r="K72" t="str">
        <f>データの貼付!K70</f>
        <v>FMS</v>
      </c>
      <c r="L72" t="str">
        <f>データの貼付!L70</f>
        <v>B</v>
      </c>
      <c r="M72" t="str">
        <f>データの貼付!M70</f>
        <v>Flick</v>
      </c>
      <c r="N72" t="str">
        <f>データの貼付!N70</f>
        <v>F</v>
      </c>
      <c r="R72">
        <f t="shared" si="179"/>
        <v>0</v>
      </c>
      <c r="S72">
        <f>SUM(R$4:R72)</f>
        <v>5</v>
      </c>
      <c r="T72" t="str">
        <f t="shared" si="180"/>
        <v/>
      </c>
      <c r="W72" t="str">
        <f t="shared" si="177"/>
        <v>KIHARA Miyuu_FENG Tianwei</v>
      </c>
      <c r="X72" t="str">
        <f t="shared" si="178"/>
        <v>KIHARA Miyuu_#04</v>
      </c>
      <c r="BL72" t="e">
        <f t="shared" si="162"/>
        <v>#VALUE!</v>
      </c>
      <c r="BM72" t="e">
        <f t="shared" si="181"/>
        <v>#VALUE!</v>
      </c>
      <c r="BN72" t="e">
        <f t="shared" si="182"/>
        <v>#VALUE!</v>
      </c>
      <c r="BO72" t="str">
        <f t="shared" si="183"/>
        <v>KIHARA Miyuu_(Side)_FENG Tianwei</v>
      </c>
      <c r="BP72" t="e">
        <f t="shared" si="184"/>
        <v>#VALUE!</v>
      </c>
      <c r="BQ72" t="e">
        <f t="shared" si="185"/>
        <v>#VALUE!</v>
      </c>
      <c r="BR72" t="e">
        <f t="shared" si="186"/>
        <v>#VALUE!</v>
      </c>
      <c r="CR72" t="e">
        <f t="shared" si="170"/>
        <v>#VALUE!</v>
      </c>
      <c r="CS72" t="e">
        <f t="shared" si="171"/>
        <v>#VALUE!</v>
      </c>
      <c r="CT72" t="e">
        <f t="shared" si="172"/>
        <v>#VALUE!</v>
      </c>
      <c r="CU72" t="str">
        <f t="shared" si="173"/>
        <v>FENG Tianwei_ドライブ_FENG Tianwei</v>
      </c>
      <c r="CV72" t="e">
        <f t="shared" si="174"/>
        <v>#VALUE!</v>
      </c>
      <c r="CW72" t="e">
        <f t="shared" si="175"/>
        <v>#VALUE!</v>
      </c>
      <c r="CX72" t="e">
        <f t="shared" si="176"/>
        <v>#VALUE!</v>
      </c>
      <c r="DH72" t="e">
        <f>IF(OR(ROW()-54&gt;INDEX($U$4:$U$11,$AC$2+1,1)-INDEX($U$4:$U$11,$AC$2,1),ROW()-54&gt;$AD$2),NA(),COUNTIF(INDEX($BL$55:$BR$100,INDEX($U$4:$U$11,1,1),$AC$2):INDEX($BL$55:$BR$100,INDEX($U$4:$U$11,1,1)+ROW()-55,$AC$2),DH$53))</f>
        <v>#N/A</v>
      </c>
      <c r="DI72" t="e">
        <f>IF(OR(ROW()-54&gt;INDEX($U$4:$U$11,$AC$2+1,1)-INDEX($U$4:$U$11,$AC$2,1),ROW()-54&gt;$AD$2),NA(),COUNTIF(INDEX($BL$55:$BR$100,INDEX($U$4:$U$11,1,1),$AC$2):INDEX($BL$55:$BR$100,INDEX($U$4:$U$11,1,1)+ROW()-55,$AC$2),DI$53))</f>
        <v>#N/A</v>
      </c>
      <c r="DJ72" t="e">
        <f>IF(OR(ROW()-54&gt;INDEX($U$4:$U$11,$AC$2+1,1)-INDEX($U$4:$U$11,$AC$2,1),ROW()-54&gt;$AD$2),NA(),COUNTIF(INDEX($BL$55:$BR$100,INDEX($U$4:$U$11,1,1),$AC$2):INDEX($BL$55:$BR$100,INDEX($U$4:$U$11,1,1)+ROW()-55,$AC$2),DJ$53))</f>
        <v>#N/A</v>
      </c>
      <c r="DL72" t="e">
        <f>IF(OR(ROW()-54&gt;INDEX($U$4:$U$11,$AC$2+1,1)-INDEX($U$4:$U$11,$AC$2,1),ROW()-54&gt;$AD$2),NA(),COUNTIF(INDEX($BL$55:$BR$100,INDEX($U$4:$U$11,1,1),$AC$2):INDEX($BL$55:$BR$100,INDEX($U$4:$U$11,1,1)+ROW()-55,$AC$2),DL$53))</f>
        <v>#N/A</v>
      </c>
      <c r="DM72" t="e">
        <f>IF(OR(ROW()-54&gt;INDEX($U$4:$U$11,$AC$2+1,1)-INDEX($U$4:$U$11,$AC$2,1),ROW()-54&gt;$AD$2),NA(),COUNTIF(INDEX($BL$55:$BR$100,INDEX($U$4:$U$11,1,1),$AC$2):INDEX($BL$5:$BR$50,INDEX($U$4:$U$11,1,1)+ROW()-55,$AC$2),DM$53))</f>
        <v>#N/A</v>
      </c>
      <c r="DN72" t="e">
        <f>IF(OR(ROW()-54&gt;INDEX($U$4:$U$11,$AC$2+1,1)-INDEX($U$4:$U$11,$AC$2,1),ROW()-54&gt;$AD$2),NA(),COUNTIF(INDEX($BL$55:$BR$100,INDEX($U$4:$U$11,1,1),$AC$2):INDEX($BL$55:$BR$100,INDEX($U$4:$U$11,1,1)+ROW()-55,$AC$2),DN$53))</f>
        <v>#N/A</v>
      </c>
      <c r="ET72" t="e">
        <f>IF(OR(ROW()-54&gt;INDEX($U$4:$U$11,$AC$2+1,1)-INDEX($U$4:$U$11,$AC$2,1),ROW()-54&gt;$AD$2),NA(),COUNTIF(INDEX($CR$55:$CX$90,INDEX($U$4:$U$11,1,1),$AC$2):INDEX($CR$55:$CX$90,INDEX($U$4:$U$11,1,1)+ROW()-55,$AC$2),ET$53))</f>
        <v>#N/A</v>
      </c>
      <c r="EU72" t="e">
        <f>IF(OR(ROW()-54&gt;INDEX($U$4:$U$11,$AC$2+1,1)-INDEX($U$4:$U$11,$AC$2,1),ROW()-54&gt;$AD$2),NA(),COUNTIF(INDEX($CR$55:$CX$90,INDEX($U$4:$U$11,1,1),$AC$2):INDEX($CR$55:$CX$90,INDEX($U$4:$U$11,1,1)+ROW()-55,$AC$2),EU$53))</f>
        <v>#N/A</v>
      </c>
      <c r="EV72" t="e">
        <f>IF(OR(ROW()-54&gt;INDEX($U$4:$U$11,$AC$2+1,1)-INDEX($U$4:$U$11,$AC$2,1),ROW()-54&gt;$AD$2),NA(),COUNTIF(INDEX($CR$55:$CX$90,INDEX($U$4:$U$11,1,1),$AC$2):INDEX($CR$55:$CX$90,INDEX($U$4:$U$11,1,1)+ROW()-55,$AC$2),EV$53))</f>
        <v>#N/A</v>
      </c>
      <c r="EW72" t="e">
        <f>IF(OR(ROW()-54&gt;INDEX($U$4:$U$11,$AC$2+1,1)-INDEX($U$4:$U$11,$AC$2,1),ROW()-54&gt;$AD$2),NA(),COUNTIF(INDEX($CR$55:$CX$90,INDEX($U$4:$U$11,1,1),$AC$2):INDEX($CR$55:$CX$90,INDEX($U$4:$U$11,1,1)+ROW()-55,$AC$2),EW$53))</f>
        <v>#N/A</v>
      </c>
      <c r="EX72" t="e">
        <f>IF(OR(ROW()-54&gt;INDEX($U$4:$U$11,$AC$2+1,1)-INDEX($U$4:$U$11,$AC$2,1),ROW()-54&gt;$AD$2),NA(),COUNTIF(INDEX($CR$55:$CX$90,INDEX($U$4:$U$11,1,1),$AC$2):INDEX($CR$55:$CX$90,INDEX($U$4:$U$11,1,1)+ROW()-55,$AC$2),EX$53))</f>
        <v>#N/A</v>
      </c>
      <c r="EY72" t="e">
        <f>IF(OR(ROW()-54&gt;INDEX($U$4:$U$11,$AC$2+1,1)-INDEX($U$4:$U$11,$AC$2,1),ROW()-54&gt;$AD$2),NA(),COUNTIF(INDEX($CR$55:$CX$90,INDEX($U$4:$U$11,1,1),$AC$2):INDEX($CR$55:$CX$90,INDEX($U$4:$U$11,1,1)+ROW()-55,$AC$2),EY$53))</f>
        <v>#N/A</v>
      </c>
      <c r="EZ72" t="e">
        <f>IF(OR(ROW()-54&gt;INDEX($U$4:$U$11,$AC$2+1,1)-INDEX($U$4:$U$11,$AC$2,1),ROW()-54&gt;$AD$2),NA(),COUNTIF(INDEX($CR$55:$CX$90,INDEX($U$4:$U$11,1,1),$AC$2):INDEX($CR$55:$CX$90,INDEX($U$4:$U$11,1,1)+ROW()-55,$AC$2),EZ$53))</f>
        <v>#N/A</v>
      </c>
      <c r="FA72" t="e">
        <f>IF(OR(ROW()-54&gt;INDEX($U$4:$U$11,$AC$2+1,1)-INDEX($U$4:$U$11,$AC$2,1),ROW()-54&gt;$AD$2),NA(),COUNTIF(INDEX($CR$55:$CX$90,INDEX($U$4:$U$11,1,1),$AC$2):INDEX($CR$55:$CX$90,INDEX($U$4:$U$11,1,1)+ROW()-55,$AC$2),FA$53))</f>
        <v>#N/A</v>
      </c>
      <c r="FC72" t="e">
        <f>IF(OR(ROW()-54&gt;INDEX($U$4:$U$11,$AC$2+1,1)-INDEX($U$4:$U$11,$AC$2,1),ROW()-54&gt;$AD$2),NA(),COUNTIF(INDEX($CR$55:$CX$90,INDEX($U$4:$U$11,1,1),$AC$2):INDEX($CR$55:$CX$90,INDEX($U$4:$U$11,1,1)+ROW()-55,$AC$2),FC$53))</f>
        <v>#N/A</v>
      </c>
      <c r="FD72" t="e">
        <f>IF(OR(ROW()-54&gt;INDEX($U$4:$U$11,$AC$2+1,1)-INDEX($U$4:$U$11,$AC$2,1),ROW()-54&gt;$AD$2),NA(),COUNTIF(INDEX($CR$55:$CX$90,INDEX($U$4:$U$11,1,1),$AC$2):INDEX($CR$55:$CX$90,INDEX($U$4:$U$11,1,1)+ROW()-55,$AC$2),FD$53))</f>
        <v>#N/A</v>
      </c>
      <c r="FE72" t="e">
        <f>IF(OR(ROW()-54&gt;INDEX($U$4:$U$11,$AC$2+1,1)-INDEX($U$4:$U$11,$AC$2,1),ROW()-54&gt;$AD$2),NA(),COUNTIF(INDEX($CR$55:$CX$90,INDEX($U$4:$U$11,1,1),$AC$2):INDEX($CR$55:$CX$90,INDEX($U$4:$U$11,1,1)+ROW()-55,$AC$2),FE$53))</f>
        <v>#N/A</v>
      </c>
      <c r="FF72" t="e">
        <f>IF(OR(ROW()-54&gt;INDEX($U$4:$U$11,$AC$2+1,1)-INDEX($U$4:$U$11,$AC$2,1),ROW()-54&gt;$AD$2),NA(),COUNTIF(INDEX($CR$55:$CX$90,INDEX($U$4:$U$11,1,1),$AC$2):INDEX($CR$55:$CX$90,INDEX($U$4:$U$11,1,1)+ROW()-55,$AC$2),FF$53))</f>
        <v>#N/A</v>
      </c>
      <c r="FG72" t="e">
        <f>IF(OR(ROW()-54&gt;INDEX($U$4:$U$11,$AC$2+1,1)-INDEX($U$4:$U$11,$AC$2,1),ROW()-54&gt;$AD$2),NA(),COUNTIF(INDEX($CR$55:$CX$90,INDEX($U$4:$U$11,1,1),$AC$2):INDEX($CR$55:$CX$90,INDEX($U$4:$U$11,1,1)+ROW()-55,$AC$2),FG$53))</f>
        <v>#N/A</v>
      </c>
      <c r="FH72" t="e">
        <f>IF(OR(ROW()-54&gt;INDEX($U$4:$U$11,$AC$2+1,1)-INDEX($U$4:$U$11,$AC$2,1),ROW()-54&gt;$AD$2),NA(),COUNTIF(INDEX($CR$55:$CX$90,INDEX($U$4:$U$11,1,1),$AC$2):INDEX($CR$55:$CX$90,INDEX($U$4:$U$11,1,1)+ROW()-55,$AC$2),FH$53))</f>
        <v>#N/A</v>
      </c>
      <c r="FI72" t="e">
        <f>IF(OR(ROW()-54&gt;INDEX($U$4:$U$11,$AC$2+1,1)-INDEX($U$4:$U$11,$AC$2,1),ROW()-54&gt;$AD$2),NA(),COUNTIF(INDEX($CR$55:$CX$90,INDEX($U$4:$U$11,1,1),$AC$2):INDEX($CR$55:$CX$90,INDEX($U$4:$U$11,1,1)+ROW()-55,$AC$2),FI$53))</f>
        <v>#N/A</v>
      </c>
      <c r="FJ72" t="e">
        <f>IF(OR(ROW()-54&gt;INDEX($U$4:$U$11,$AC$2+1,1)-INDEX($U$4:$U$11,$AC$2,1),ROW()-54&gt;$AD$2),NA(),COUNTIF(INDEX($CR$55:$CX$90,INDEX($U$4:$U$11,1,1),$AC$2):INDEX($CR$55:$CX$90,INDEX($U$4:$U$11,1,1)+ROW()-55,$AC$2),FJ$53))</f>
        <v>#N/A</v>
      </c>
    </row>
    <row r="73" spans="1:166" x14ac:dyDescent="0.45">
      <c r="A73" t="str">
        <f>データの貼付!A71</f>
        <v>KIHARA Miyuu</v>
      </c>
      <c r="B73">
        <f>データの貼付!B71</f>
        <v>2.0555254629629632E-2</v>
      </c>
      <c r="C73">
        <f>データの貼付!C71</f>
        <v>6.5648148148148147E-5</v>
      </c>
      <c r="D73">
        <f>データの貼付!D71</f>
        <v>8.4722222222222213E-2</v>
      </c>
      <c r="E73" t="str">
        <f>データの貼付!F71</f>
        <v>FENG Tianwei</v>
      </c>
      <c r="F73">
        <f>データの貼付!E71</f>
        <v>4.1666666666666664E-2</v>
      </c>
      <c r="G73" t="str">
        <f>データの貼付!G71</f>
        <v>#04</v>
      </c>
      <c r="H73" t="str">
        <f>データの貼付!H71</f>
        <v>KIHARA Miyuu</v>
      </c>
      <c r="I73" t="str">
        <f>データの貼付!I71</f>
        <v>(Side)</v>
      </c>
      <c r="J73" t="str">
        <f>データの貼付!J71</f>
        <v>B</v>
      </c>
      <c r="K73" t="str">
        <f>データの貼付!K71</f>
        <v>BMS</v>
      </c>
      <c r="L73">
        <f>データの貼付!L71</f>
        <v>0</v>
      </c>
      <c r="M73" t="str">
        <f>データの貼付!M71</f>
        <v>Chiquita</v>
      </c>
      <c r="N73" t="str">
        <f>データの貼付!N71</f>
        <v>BM</v>
      </c>
      <c r="R73">
        <f t="shared" si="179"/>
        <v>0</v>
      </c>
      <c r="S73">
        <f>SUM(R$4:R73)</f>
        <v>5</v>
      </c>
      <c r="T73" t="str">
        <f t="shared" si="180"/>
        <v/>
      </c>
      <c r="W73" t="str">
        <f t="shared" si="177"/>
        <v>FENG Tianwei_KIHARA Miyuu</v>
      </c>
      <c r="X73" t="str">
        <f t="shared" si="178"/>
        <v>FENG Tianwei_#04</v>
      </c>
      <c r="BL73" t="e">
        <f t="shared" si="162"/>
        <v>#VALUE!</v>
      </c>
      <c r="BM73" t="e">
        <f t="shared" si="181"/>
        <v>#VALUE!</v>
      </c>
      <c r="BN73" t="e">
        <f t="shared" si="182"/>
        <v>#VALUE!</v>
      </c>
      <c r="BO73" t="str">
        <f t="shared" si="183"/>
        <v>FENG Tianwei_Side_FENG Tianwei</v>
      </c>
      <c r="BP73" t="e">
        <f t="shared" si="184"/>
        <v>#VALUE!</v>
      </c>
      <c r="BQ73" t="e">
        <f t="shared" si="185"/>
        <v>#VALUE!</v>
      </c>
      <c r="BR73" t="e">
        <f t="shared" si="186"/>
        <v>#VALUE!</v>
      </c>
      <c r="CR73" t="e">
        <f t="shared" si="170"/>
        <v>#VALUE!</v>
      </c>
      <c r="CS73" t="e">
        <f t="shared" si="171"/>
        <v>#VALUE!</v>
      </c>
      <c r="CT73" t="e">
        <f t="shared" si="172"/>
        <v>#VALUE!</v>
      </c>
      <c r="CU73" t="str">
        <f t="shared" si="173"/>
        <v>KIHARA Miyuu_ドライブ_FENG Tianwei</v>
      </c>
      <c r="CV73" t="e">
        <f t="shared" si="174"/>
        <v>#VALUE!</v>
      </c>
      <c r="CW73" t="e">
        <f t="shared" si="175"/>
        <v>#VALUE!</v>
      </c>
      <c r="CX73" t="e">
        <f t="shared" si="176"/>
        <v>#VALUE!</v>
      </c>
      <c r="DH73" t="e">
        <f>IF(OR(ROW()-54&gt;INDEX($U$4:$U$11,$AC$2+1,1)-INDEX($U$4:$U$11,$AC$2,1),ROW()-54&gt;$AD$2),NA(),COUNTIF(INDEX($BL$55:$BR$100,INDEX($U$4:$U$11,1,1),$AC$2):INDEX($BL$55:$BR$100,INDEX($U$4:$U$11,1,1)+ROW()-55,$AC$2),DH$53))</f>
        <v>#N/A</v>
      </c>
      <c r="DI73" t="e">
        <f>IF(OR(ROW()-54&gt;INDEX($U$4:$U$11,$AC$2+1,1)-INDEX($U$4:$U$11,$AC$2,1),ROW()-54&gt;$AD$2),NA(),COUNTIF(INDEX($BL$55:$BR$100,INDEX($U$4:$U$11,1,1),$AC$2):INDEX($BL$55:$BR$100,INDEX($U$4:$U$11,1,1)+ROW()-55,$AC$2),DI$53))</f>
        <v>#N/A</v>
      </c>
      <c r="DJ73" t="e">
        <f>IF(OR(ROW()-54&gt;INDEX($U$4:$U$11,$AC$2+1,1)-INDEX($U$4:$U$11,$AC$2,1),ROW()-54&gt;$AD$2),NA(),COUNTIF(INDEX($BL$55:$BR$100,INDEX($U$4:$U$11,1,1),$AC$2):INDEX($BL$55:$BR$100,INDEX($U$4:$U$11,1,1)+ROW()-55,$AC$2),DJ$53))</f>
        <v>#N/A</v>
      </c>
      <c r="DL73" t="e">
        <f>IF(OR(ROW()-54&gt;INDEX($U$4:$U$11,$AC$2+1,1)-INDEX($U$4:$U$11,$AC$2,1),ROW()-54&gt;$AD$2),NA(),COUNTIF(INDEX($BL$55:$BR$100,INDEX($U$4:$U$11,1,1),$AC$2):INDEX($BL$55:$BR$100,INDEX($U$4:$U$11,1,1)+ROW()-55,$AC$2),DL$53))</f>
        <v>#N/A</v>
      </c>
      <c r="DM73" t="e">
        <f>IF(OR(ROW()-54&gt;INDEX($U$4:$U$11,$AC$2+1,1)-INDEX($U$4:$U$11,$AC$2,1),ROW()-54&gt;$AD$2),NA(),COUNTIF(INDEX($BL$55:$BR$100,INDEX($U$4:$U$11,1,1),$AC$2):INDEX($BL$5:$BR$50,INDEX($U$4:$U$11,1,1)+ROW()-55,$AC$2),DM$53))</f>
        <v>#N/A</v>
      </c>
      <c r="DN73" t="e">
        <f>IF(OR(ROW()-54&gt;INDEX($U$4:$U$11,$AC$2+1,1)-INDEX($U$4:$U$11,$AC$2,1),ROW()-54&gt;$AD$2),NA(),COUNTIF(INDEX($BL$55:$BR$100,INDEX($U$4:$U$11,1,1),$AC$2):INDEX($BL$55:$BR$100,INDEX($U$4:$U$11,1,1)+ROW()-55,$AC$2),DN$53))</f>
        <v>#N/A</v>
      </c>
      <c r="ET73" t="e">
        <f>IF(OR(ROW()-54&gt;INDEX($U$4:$U$11,$AC$2+1,1)-INDEX($U$4:$U$11,$AC$2,1),ROW()-54&gt;$AD$2),NA(),COUNTIF(INDEX($CR$55:$CX$90,INDEX($U$4:$U$11,1,1),$AC$2):INDEX($CR$55:$CX$90,INDEX($U$4:$U$11,1,1)+ROW()-55,$AC$2),ET$53))</f>
        <v>#N/A</v>
      </c>
      <c r="EU73" t="e">
        <f>IF(OR(ROW()-54&gt;INDEX($U$4:$U$11,$AC$2+1,1)-INDEX($U$4:$U$11,$AC$2,1),ROW()-54&gt;$AD$2),NA(),COUNTIF(INDEX($CR$55:$CX$90,INDEX($U$4:$U$11,1,1),$AC$2):INDEX($CR$55:$CX$90,INDEX($U$4:$U$11,1,1)+ROW()-55,$AC$2),EU$53))</f>
        <v>#N/A</v>
      </c>
      <c r="EV73" t="e">
        <f>IF(OR(ROW()-54&gt;INDEX($U$4:$U$11,$AC$2+1,1)-INDEX($U$4:$U$11,$AC$2,1),ROW()-54&gt;$AD$2),NA(),COUNTIF(INDEX($CR$55:$CX$90,INDEX($U$4:$U$11,1,1),$AC$2):INDEX($CR$55:$CX$90,INDEX($U$4:$U$11,1,1)+ROW()-55,$AC$2),EV$53))</f>
        <v>#N/A</v>
      </c>
      <c r="EW73" t="e">
        <f>IF(OR(ROW()-54&gt;INDEX($U$4:$U$11,$AC$2+1,1)-INDEX($U$4:$U$11,$AC$2,1),ROW()-54&gt;$AD$2),NA(),COUNTIF(INDEX($CR$55:$CX$90,INDEX($U$4:$U$11,1,1),$AC$2):INDEX($CR$55:$CX$90,INDEX($U$4:$U$11,1,1)+ROW()-55,$AC$2),EW$53))</f>
        <v>#N/A</v>
      </c>
      <c r="EX73" t="e">
        <f>IF(OR(ROW()-54&gt;INDEX($U$4:$U$11,$AC$2+1,1)-INDEX($U$4:$U$11,$AC$2,1),ROW()-54&gt;$AD$2),NA(),COUNTIF(INDEX($CR$55:$CX$90,INDEX($U$4:$U$11,1,1),$AC$2):INDEX($CR$55:$CX$90,INDEX($U$4:$U$11,1,1)+ROW()-55,$AC$2),EX$53))</f>
        <v>#N/A</v>
      </c>
      <c r="EY73" t="e">
        <f>IF(OR(ROW()-54&gt;INDEX($U$4:$U$11,$AC$2+1,1)-INDEX($U$4:$U$11,$AC$2,1),ROW()-54&gt;$AD$2),NA(),COUNTIF(INDEX($CR$55:$CX$90,INDEX($U$4:$U$11,1,1),$AC$2):INDEX($CR$55:$CX$90,INDEX($U$4:$U$11,1,1)+ROW()-55,$AC$2),EY$53))</f>
        <v>#N/A</v>
      </c>
      <c r="EZ73" t="e">
        <f>IF(OR(ROW()-54&gt;INDEX($U$4:$U$11,$AC$2+1,1)-INDEX($U$4:$U$11,$AC$2,1),ROW()-54&gt;$AD$2),NA(),COUNTIF(INDEX($CR$55:$CX$90,INDEX($U$4:$U$11,1,1),$AC$2):INDEX($CR$55:$CX$90,INDEX($U$4:$U$11,1,1)+ROW()-55,$AC$2),EZ$53))</f>
        <v>#N/A</v>
      </c>
      <c r="FA73" t="e">
        <f>IF(OR(ROW()-54&gt;INDEX($U$4:$U$11,$AC$2+1,1)-INDEX($U$4:$U$11,$AC$2,1),ROW()-54&gt;$AD$2),NA(),COUNTIF(INDEX($CR$55:$CX$90,INDEX($U$4:$U$11,1,1),$AC$2):INDEX($CR$55:$CX$90,INDEX($U$4:$U$11,1,1)+ROW()-55,$AC$2),FA$53))</f>
        <v>#N/A</v>
      </c>
      <c r="FC73" t="e">
        <f>IF(OR(ROW()-54&gt;INDEX($U$4:$U$11,$AC$2+1,1)-INDEX($U$4:$U$11,$AC$2,1),ROW()-54&gt;$AD$2),NA(),COUNTIF(INDEX($CR$55:$CX$90,INDEX($U$4:$U$11,1,1),$AC$2):INDEX($CR$55:$CX$90,INDEX($U$4:$U$11,1,1)+ROW()-55,$AC$2),FC$53))</f>
        <v>#N/A</v>
      </c>
      <c r="FD73" t="e">
        <f>IF(OR(ROW()-54&gt;INDEX($U$4:$U$11,$AC$2+1,1)-INDEX($U$4:$U$11,$AC$2,1),ROW()-54&gt;$AD$2),NA(),COUNTIF(INDEX($CR$55:$CX$90,INDEX($U$4:$U$11,1,1),$AC$2):INDEX($CR$55:$CX$90,INDEX($U$4:$U$11,1,1)+ROW()-55,$AC$2),FD$53))</f>
        <v>#N/A</v>
      </c>
      <c r="FE73" t="e">
        <f>IF(OR(ROW()-54&gt;INDEX($U$4:$U$11,$AC$2+1,1)-INDEX($U$4:$U$11,$AC$2,1),ROW()-54&gt;$AD$2),NA(),COUNTIF(INDEX($CR$55:$CX$90,INDEX($U$4:$U$11,1,1),$AC$2):INDEX($CR$55:$CX$90,INDEX($U$4:$U$11,1,1)+ROW()-55,$AC$2),FE$53))</f>
        <v>#N/A</v>
      </c>
      <c r="FF73" t="e">
        <f>IF(OR(ROW()-54&gt;INDEX($U$4:$U$11,$AC$2+1,1)-INDEX($U$4:$U$11,$AC$2,1),ROW()-54&gt;$AD$2),NA(),COUNTIF(INDEX($CR$55:$CX$90,INDEX($U$4:$U$11,1,1),$AC$2):INDEX($CR$55:$CX$90,INDEX($U$4:$U$11,1,1)+ROW()-55,$AC$2),FF$53))</f>
        <v>#N/A</v>
      </c>
      <c r="FG73" t="e">
        <f>IF(OR(ROW()-54&gt;INDEX($U$4:$U$11,$AC$2+1,1)-INDEX($U$4:$U$11,$AC$2,1),ROW()-54&gt;$AD$2),NA(),COUNTIF(INDEX($CR$55:$CX$90,INDEX($U$4:$U$11,1,1),$AC$2):INDEX($CR$55:$CX$90,INDEX($U$4:$U$11,1,1)+ROW()-55,$AC$2),FG$53))</f>
        <v>#N/A</v>
      </c>
      <c r="FH73" t="e">
        <f>IF(OR(ROW()-54&gt;INDEX($U$4:$U$11,$AC$2+1,1)-INDEX($U$4:$U$11,$AC$2,1),ROW()-54&gt;$AD$2),NA(),COUNTIF(INDEX($CR$55:$CX$90,INDEX($U$4:$U$11,1,1),$AC$2):INDEX($CR$55:$CX$90,INDEX($U$4:$U$11,1,1)+ROW()-55,$AC$2),FH$53))</f>
        <v>#N/A</v>
      </c>
      <c r="FI73" t="e">
        <f>IF(OR(ROW()-54&gt;INDEX($U$4:$U$11,$AC$2+1,1)-INDEX($U$4:$U$11,$AC$2,1),ROW()-54&gt;$AD$2),NA(),COUNTIF(INDEX($CR$55:$CX$90,INDEX($U$4:$U$11,1,1),$AC$2):INDEX($CR$55:$CX$90,INDEX($U$4:$U$11,1,1)+ROW()-55,$AC$2),FI$53))</f>
        <v>#N/A</v>
      </c>
      <c r="FJ73" t="e">
        <f>IF(OR(ROW()-54&gt;INDEX($U$4:$U$11,$AC$2+1,1)-INDEX($U$4:$U$11,$AC$2,1),ROW()-54&gt;$AD$2),NA(),COUNTIF(INDEX($CR$55:$CX$90,INDEX($U$4:$U$11,1,1),$AC$2):INDEX($CR$55:$CX$90,INDEX($U$4:$U$11,1,1)+ROW()-55,$AC$2),FJ$53))</f>
        <v>#N/A</v>
      </c>
    </row>
    <row r="74" spans="1:166" x14ac:dyDescent="0.45">
      <c r="A74" t="str">
        <f>データの貼付!A72</f>
        <v>KIHARA Miyuu</v>
      </c>
      <c r="B74">
        <f>データの貼付!B72</f>
        <v>2.0791215277777778E-2</v>
      </c>
      <c r="C74">
        <f>データの貼付!C72</f>
        <v>5.9467592592592589E-5</v>
      </c>
      <c r="D74">
        <f>データの貼付!D72</f>
        <v>8.4722222222222213E-2</v>
      </c>
      <c r="E74" t="str">
        <f>データの貼付!F72</f>
        <v>FENG Tianwei</v>
      </c>
      <c r="F74">
        <f>データの貼付!E72</f>
        <v>4.1666666666666664E-2</v>
      </c>
      <c r="G74" t="str">
        <f>データの貼付!G72</f>
        <v>#02</v>
      </c>
      <c r="H74" t="str">
        <f>データの貼付!H72</f>
        <v>KIHARA Miyuu</v>
      </c>
      <c r="I74" t="str">
        <f>データの貼付!I72</f>
        <v>(Side)</v>
      </c>
      <c r="J74" t="str">
        <f>データの貼付!J72</f>
        <v>B</v>
      </c>
      <c r="K74" t="str">
        <f>データの貼付!K72</f>
        <v>B</v>
      </c>
      <c r="L74" t="str">
        <f>データの貼付!L72</f>
        <v>B</v>
      </c>
      <c r="M74" t="str">
        <f>データの貼付!M72</f>
        <v>ドライブ</v>
      </c>
      <c r="N74" t="str">
        <f>データの貼付!N72</f>
        <v>BM</v>
      </c>
      <c r="R74">
        <f t="shared" si="179"/>
        <v>0</v>
      </c>
      <c r="S74">
        <f>SUM(R$4:R74)</f>
        <v>5</v>
      </c>
      <c r="T74" t="str">
        <f t="shared" si="180"/>
        <v/>
      </c>
      <c r="W74" t="str">
        <f t="shared" si="177"/>
        <v>FENG Tianwei_KIHARA Miyuu</v>
      </c>
      <c r="X74" t="str">
        <f t="shared" si="178"/>
        <v>FENG Tianwei_#02</v>
      </c>
      <c r="BL74" t="e">
        <f t="shared" si="162"/>
        <v>#VALUE!</v>
      </c>
      <c r="BM74" t="e">
        <f t="shared" si="181"/>
        <v>#VALUE!</v>
      </c>
      <c r="BN74" t="e">
        <f t="shared" si="182"/>
        <v>#VALUE!</v>
      </c>
      <c r="BO74" t="e">
        <f t="shared" si="183"/>
        <v>#VALUE!</v>
      </c>
      <c r="BP74" t="e">
        <f t="shared" si="184"/>
        <v>#VALUE!</v>
      </c>
      <c r="BQ74" t="e">
        <f t="shared" si="185"/>
        <v>#VALUE!</v>
      </c>
      <c r="BR74" t="e">
        <f t="shared" si="186"/>
        <v>#VALUE!</v>
      </c>
      <c r="CR74" t="e">
        <f t="shared" si="170"/>
        <v>#VALUE!</v>
      </c>
      <c r="CS74" t="e">
        <f t="shared" si="171"/>
        <v>#VALUE!</v>
      </c>
      <c r="CT74" t="e">
        <f t="shared" si="172"/>
        <v>#VALUE!</v>
      </c>
      <c r="CU74" t="e">
        <f t="shared" si="173"/>
        <v>#VALUE!</v>
      </c>
      <c r="CV74" t="e">
        <f t="shared" si="174"/>
        <v>#VALUE!</v>
      </c>
      <c r="CW74" t="e">
        <f t="shared" si="175"/>
        <v>#VALUE!</v>
      </c>
      <c r="CX74" t="e">
        <f t="shared" si="176"/>
        <v>#VALUE!</v>
      </c>
      <c r="DH74" t="e">
        <f>IF(OR(ROW()-54&gt;INDEX($U$4:$U$11,$AC$2+1,1)-INDEX($U$4:$U$11,$AC$2,1),ROW()-54&gt;$AD$2),NA(),COUNTIF(INDEX($BL$55:$BR$100,INDEX($U$4:$U$11,1,1),$AC$2):INDEX($BL$55:$BR$100,INDEX($U$4:$U$11,1,1)+ROW()-55,$AC$2),DH$53))</f>
        <v>#N/A</v>
      </c>
      <c r="DI74" t="e">
        <f>IF(OR(ROW()-54&gt;INDEX($U$4:$U$11,$AC$2+1,1)-INDEX($U$4:$U$11,$AC$2,1),ROW()-54&gt;$AD$2),NA(),COUNTIF(INDEX($BL$55:$BR$100,INDEX($U$4:$U$11,1,1),$AC$2):INDEX($BL$55:$BR$100,INDEX($U$4:$U$11,1,1)+ROW()-55,$AC$2),DI$53))</f>
        <v>#N/A</v>
      </c>
      <c r="DJ74" t="e">
        <f>IF(OR(ROW()-54&gt;INDEX($U$4:$U$11,$AC$2+1,1)-INDEX($U$4:$U$11,$AC$2,1),ROW()-54&gt;$AD$2),NA(),COUNTIF(INDEX($BL$55:$BR$100,INDEX($U$4:$U$11,1,1),$AC$2):INDEX($BL$55:$BR$100,INDEX($U$4:$U$11,1,1)+ROW()-55,$AC$2),DJ$53))</f>
        <v>#N/A</v>
      </c>
      <c r="DL74" t="e">
        <f>IF(OR(ROW()-54&gt;INDEX($U$4:$U$11,$AC$2+1,1)-INDEX($U$4:$U$11,$AC$2,1),ROW()-54&gt;$AD$2),NA(),COUNTIF(INDEX($BL$55:$BR$100,INDEX($U$4:$U$11,1,1),$AC$2):INDEX($BL$55:$BR$100,INDEX($U$4:$U$11,1,1)+ROW()-55,$AC$2),DL$53))</f>
        <v>#N/A</v>
      </c>
      <c r="DM74" t="e">
        <f>IF(OR(ROW()-54&gt;INDEX($U$4:$U$11,$AC$2+1,1)-INDEX($U$4:$U$11,$AC$2,1),ROW()-54&gt;$AD$2),NA(),COUNTIF(INDEX($BL$55:$BR$100,INDEX($U$4:$U$11,1,1),$AC$2):INDEX($BL$5:$BR$50,INDEX($U$4:$U$11,1,1)+ROW()-55,$AC$2),DM$53))</f>
        <v>#N/A</v>
      </c>
      <c r="DN74" t="e">
        <f>IF(OR(ROW()-54&gt;INDEX($U$4:$U$11,$AC$2+1,1)-INDEX($U$4:$U$11,$AC$2,1),ROW()-54&gt;$AD$2),NA(),COUNTIF(INDEX($BL$55:$BR$100,INDEX($U$4:$U$11,1,1),$AC$2):INDEX($BL$55:$BR$100,INDEX($U$4:$U$11,1,1)+ROW()-55,$AC$2),DN$53))</f>
        <v>#N/A</v>
      </c>
      <c r="ET74" t="e">
        <f>IF(OR(ROW()-54&gt;INDEX($U$4:$U$11,$AC$2+1,1)-INDEX($U$4:$U$11,$AC$2,1),ROW()-54&gt;$AD$2),NA(),COUNTIF(INDEX($CR$55:$CX$90,INDEX($U$4:$U$11,1,1),$AC$2):INDEX($CR$55:$CX$90,INDEX($U$4:$U$11,1,1)+ROW()-55,$AC$2),ET$53))</f>
        <v>#N/A</v>
      </c>
      <c r="EU74" t="e">
        <f>IF(OR(ROW()-54&gt;INDEX($U$4:$U$11,$AC$2+1,1)-INDEX($U$4:$U$11,$AC$2,1),ROW()-54&gt;$AD$2),NA(),COUNTIF(INDEX($CR$55:$CX$90,INDEX($U$4:$U$11,1,1),$AC$2):INDEX($CR$55:$CX$90,INDEX($U$4:$U$11,1,1)+ROW()-55,$AC$2),EU$53))</f>
        <v>#N/A</v>
      </c>
      <c r="EV74" t="e">
        <f>IF(OR(ROW()-54&gt;INDEX($U$4:$U$11,$AC$2+1,1)-INDEX($U$4:$U$11,$AC$2,1),ROW()-54&gt;$AD$2),NA(),COUNTIF(INDEX($CR$55:$CX$90,INDEX($U$4:$U$11,1,1),$AC$2):INDEX($CR$55:$CX$90,INDEX($U$4:$U$11,1,1)+ROW()-55,$AC$2),EV$53))</f>
        <v>#N/A</v>
      </c>
      <c r="EW74" t="e">
        <f>IF(OR(ROW()-54&gt;INDEX($U$4:$U$11,$AC$2+1,1)-INDEX($U$4:$U$11,$AC$2,1),ROW()-54&gt;$AD$2),NA(),COUNTIF(INDEX($CR$55:$CX$90,INDEX($U$4:$U$11,1,1),$AC$2):INDEX($CR$55:$CX$90,INDEX($U$4:$U$11,1,1)+ROW()-55,$AC$2),EW$53))</f>
        <v>#N/A</v>
      </c>
      <c r="EX74" t="e">
        <f>IF(OR(ROW()-54&gt;INDEX($U$4:$U$11,$AC$2+1,1)-INDEX($U$4:$U$11,$AC$2,1),ROW()-54&gt;$AD$2),NA(),COUNTIF(INDEX($CR$55:$CX$90,INDEX($U$4:$U$11,1,1),$AC$2):INDEX($CR$55:$CX$90,INDEX($U$4:$U$11,1,1)+ROW()-55,$AC$2),EX$53))</f>
        <v>#N/A</v>
      </c>
      <c r="EY74" t="e">
        <f>IF(OR(ROW()-54&gt;INDEX($U$4:$U$11,$AC$2+1,1)-INDEX($U$4:$U$11,$AC$2,1),ROW()-54&gt;$AD$2),NA(),COUNTIF(INDEX($CR$55:$CX$90,INDEX($U$4:$U$11,1,1),$AC$2):INDEX($CR$55:$CX$90,INDEX($U$4:$U$11,1,1)+ROW()-55,$AC$2),EY$53))</f>
        <v>#N/A</v>
      </c>
      <c r="EZ74" t="e">
        <f>IF(OR(ROW()-54&gt;INDEX($U$4:$U$11,$AC$2+1,1)-INDEX($U$4:$U$11,$AC$2,1),ROW()-54&gt;$AD$2),NA(),COUNTIF(INDEX($CR$55:$CX$90,INDEX($U$4:$U$11,1,1),$AC$2):INDEX($CR$55:$CX$90,INDEX($U$4:$U$11,1,1)+ROW()-55,$AC$2),EZ$53))</f>
        <v>#N/A</v>
      </c>
      <c r="FA74" t="e">
        <f>IF(OR(ROW()-54&gt;INDEX($U$4:$U$11,$AC$2+1,1)-INDEX($U$4:$U$11,$AC$2,1),ROW()-54&gt;$AD$2),NA(),COUNTIF(INDEX($CR$55:$CX$90,INDEX($U$4:$U$11,1,1),$AC$2):INDEX($CR$55:$CX$90,INDEX($U$4:$U$11,1,1)+ROW()-55,$AC$2),FA$53))</f>
        <v>#N/A</v>
      </c>
      <c r="FC74" t="e">
        <f>IF(OR(ROW()-54&gt;INDEX($U$4:$U$11,$AC$2+1,1)-INDEX($U$4:$U$11,$AC$2,1),ROW()-54&gt;$AD$2),NA(),COUNTIF(INDEX($CR$55:$CX$90,INDEX($U$4:$U$11,1,1),$AC$2):INDEX($CR$55:$CX$90,INDEX($U$4:$U$11,1,1)+ROW()-55,$AC$2),FC$53))</f>
        <v>#N/A</v>
      </c>
      <c r="FD74" t="e">
        <f>IF(OR(ROW()-54&gt;INDEX($U$4:$U$11,$AC$2+1,1)-INDEX($U$4:$U$11,$AC$2,1),ROW()-54&gt;$AD$2),NA(),COUNTIF(INDEX($CR$55:$CX$90,INDEX($U$4:$U$11,1,1),$AC$2):INDEX($CR$55:$CX$90,INDEX($U$4:$U$11,1,1)+ROW()-55,$AC$2),FD$53))</f>
        <v>#N/A</v>
      </c>
      <c r="FE74" t="e">
        <f>IF(OR(ROW()-54&gt;INDEX($U$4:$U$11,$AC$2+1,1)-INDEX($U$4:$U$11,$AC$2,1),ROW()-54&gt;$AD$2),NA(),COUNTIF(INDEX($CR$55:$CX$90,INDEX($U$4:$U$11,1,1),$AC$2):INDEX($CR$55:$CX$90,INDEX($U$4:$U$11,1,1)+ROW()-55,$AC$2),FE$53))</f>
        <v>#N/A</v>
      </c>
      <c r="FF74" t="e">
        <f>IF(OR(ROW()-54&gt;INDEX($U$4:$U$11,$AC$2+1,1)-INDEX($U$4:$U$11,$AC$2,1),ROW()-54&gt;$AD$2),NA(),COUNTIF(INDEX($CR$55:$CX$90,INDEX($U$4:$U$11,1,1),$AC$2):INDEX($CR$55:$CX$90,INDEX($U$4:$U$11,1,1)+ROW()-55,$AC$2),FF$53))</f>
        <v>#N/A</v>
      </c>
      <c r="FG74" t="e">
        <f>IF(OR(ROW()-54&gt;INDEX($U$4:$U$11,$AC$2+1,1)-INDEX($U$4:$U$11,$AC$2,1),ROW()-54&gt;$AD$2),NA(),COUNTIF(INDEX($CR$55:$CX$90,INDEX($U$4:$U$11,1,1),$AC$2):INDEX($CR$55:$CX$90,INDEX($U$4:$U$11,1,1)+ROW()-55,$AC$2),FG$53))</f>
        <v>#N/A</v>
      </c>
      <c r="FH74" t="e">
        <f>IF(OR(ROW()-54&gt;INDEX($U$4:$U$11,$AC$2+1,1)-INDEX($U$4:$U$11,$AC$2,1),ROW()-54&gt;$AD$2),NA(),COUNTIF(INDEX($CR$55:$CX$90,INDEX($U$4:$U$11,1,1),$AC$2):INDEX($CR$55:$CX$90,INDEX($U$4:$U$11,1,1)+ROW()-55,$AC$2),FH$53))</f>
        <v>#N/A</v>
      </c>
      <c r="FI74" t="e">
        <f>IF(OR(ROW()-54&gt;INDEX($U$4:$U$11,$AC$2+1,1)-INDEX($U$4:$U$11,$AC$2,1),ROW()-54&gt;$AD$2),NA(),COUNTIF(INDEX($CR$55:$CX$90,INDEX($U$4:$U$11,1,1),$AC$2):INDEX($CR$55:$CX$90,INDEX($U$4:$U$11,1,1)+ROW()-55,$AC$2),FI$53))</f>
        <v>#N/A</v>
      </c>
      <c r="FJ74" t="e">
        <f>IF(OR(ROW()-54&gt;INDEX($U$4:$U$11,$AC$2+1,1)-INDEX($U$4:$U$11,$AC$2,1),ROW()-54&gt;$AD$2),NA(),COUNTIF(INDEX($CR$55:$CX$90,INDEX($U$4:$U$11,1,1),$AC$2):INDEX($CR$55:$CX$90,INDEX($U$4:$U$11,1,1)+ROW()-55,$AC$2),FJ$53))</f>
        <v>#N/A</v>
      </c>
    </row>
    <row r="75" spans="1:166" x14ac:dyDescent="0.45">
      <c r="A75" t="str">
        <f>データの貼付!A73</f>
        <v>FENG Tianwei</v>
      </c>
      <c r="B75">
        <f>データの貼付!B73</f>
        <v>2.1102476851851851E-2</v>
      </c>
      <c r="C75">
        <f>データの貼付!C73</f>
        <v>6.6423611111111108E-5</v>
      </c>
      <c r="D75">
        <f>データの貼付!D73</f>
        <v>8.4722222222222213E-2</v>
      </c>
      <c r="E75" t="str">
        <f>データの貼付!F73</f>
        <v>KIHARA Miyuu</v>
      </c>
      <c r="F75">
        <f>データの貼付!E73</f>
        <v>4.1666666666666664E-2</v>
      </c>
      <c r="G75" t="str">
        <f>データの貼付!G73</f>
        <v>#04</v>
      </c>
      <c r="H75" t="str">
        <f>データの貼付!H73</f>
        <v>FENG Tianwei</v>
      </c>
      <c r="I75" t="str">
        <f>データの貼付!I73</f>
        <v>Side</v>
      </c>
      <c r="J75" t="str">
        <f>データの貼付!J73</f>
        <v>B</v>
      </c>
      <c r="K75" t="str">
        <f>データの貼付!K73</f>
        <v>B</v>
      </c>
      <c r="L75" t="str">
        <f>データの貼付!L73</f>
        <v>B</v>
      </c>
      <c r="M75" t="str">
        <f>データの貼付!M73</f>
        <v>Stop</v>
      </c>
      <c r="N75" t="str">
        <f>データの貼付!N73</f>
        <v>FMS</v>
      </c>
      <c r="R75">
        <f t="shared" si="179"/>
        <v>0</v>
      </c>
      <c r="S75">
        <f>SUM(R$4:R75)</f>
        <v>5</v>
      </c>
      <c r="T75" t="str">
        <f t="shared" si="180"/>
        <v/>
      </c>
      <c r="W75" t="str">
        <f t="shared" si="177"/>
        <v>KIHARA Miyuu_FENG Tianwei</v>
      </c>
      <c r="X75" t="str">
        <f t="shared" si="178"/>
        <v>KIHARA Miyuu_#04</v>
      </c>
      <c r="BL75" t="e">
        <f t="shared" si="162"/>
        <v>#VALUE!</v>
      </c>
      <c r="BM75" t="e">
        <f t="shared" si="181"/>
        <v>#VALUE!</v>
      </c>
      <c r="BN75" t="e">
        <f t="shared" si="182"/>
        <v>#VALUE!</v>
      </c>
      <c r="BO75" t="e">
        <f t="shared" si="183"/>
        <v>#VALUE!</v>
      </c>
      <c r="BP75" t="e">
        <f t="shared" si="184"/>
        <v>#VALUE!</v>
      </c>
      <c r="BQ75" t="e">
        <f t="shared" si="185"/>
        <v>#VALUE!</v>
      </c>
      <c r="BR75" t="e">
        <f t="shared" si="186"/>
        <v>#VALUE!</v>
      </c>
      <c r="CR75" t="e">
        <f t="shared" si="170"/>
        <v>#VALUE!</v>
      </c>
      <c r="CS75" t="e">
        <f t="shared" si="171"/>
        <v>#VALUE!</v>
      </c>
      <c r="CT75" t="e">
        <f t="shared" si="172"/>
        <v>#VALUE!</v>
      </c>
      <c r="CU75" t="e">
        <f t="shared" si="173"/>
        <v>#VALUE!</v>
      </c>
      <c r="CV75" t="e">
        <f t="shared" si="174"/>
        <v>#VALUE!</v>
      </c>
      <c r="CW75" t="e">
        <f t="shared" si="175"/>
        <v>#VALUE!</v>
      </c>
      <c r="CX75" t="e">
        <f t="shared" si="176"/>
        <v>#VALUE!</v>
      </c>
      <c r="DH75" t="e">
        <f>IF(OR(ROW()-54&gt;INDEX($U$4:$U$11,$AC$2+1,1)-INDEX($U$4:$U$11,$AC$2,1),ROW()-54&gt;$AD$2),NA(),COUNTIF(INDEX($BL$55:$BR$100,INDEX($U$4:$U$11,1,1),$AC$2):INDEX($BL$55:$BR$100,INDEX($U$4:$U$11,1,1)+ROW()-55,$AC$2),DH$53))</f>
        <v>#N/A</v>
      </c>
      <c r="DI75" t="e">
        <f>IF(OR(ROW()-54&gt;INDEX($U$4:$U$11,$AC$2+1,1)-INDEX($U$4:$U$11,$AC$2,1),ROW()-54&gt;$AD$2),NA(),COUNTIF(INDEX($BL$55:$BR$100,INDEX($U$4:$U$11,1,1),$AC$2):INDEX($BL$55:$BR$100,INDEX($U$4:$U$11,1,1)+ROW()-55,$AC$2),DI$53))</f>
        <v>#N/A</v>
      </c>
      <c r="DJ75" t="e">
        <f>IF(OR(ROW()-54&gt;INDEX($U$4:$U$11,$AC$2+1,1)-INDEX($U$4:$U$11,$AC$2,1),ROW()-54&gt;$AD$2),NA(),COUNTIF(INDEX($BL$55:$BR$100,INDEX($U$4:$U$11,1,1),$AC$2):INDEX($BL$55:$BR$100,INDEX($U$4:$U$11,1,1)+ROW()-55,$AC$2),DJ$53))</f>
        <v>#N/A</v>
      </c>
      <c r="DL75" t="e">
        <f>IF(OR(ROW()-54&gt;INDEX($U$4:$U$11,$AC$2+1,1)-INDEX($U$4:$U$11,$AC$2,1),ROW()-54&gt;$AD$2),NA(),COUNTIF(INDEX($BL$55:$BR$100,INDEX($U$4:$U$11,1,1),$AC$2):INDEX($BL$55:$BR$100,INDEX($U$4:$U$11,1,1)+ROW()-55,$AC$2),DL$53))</f>
        <v>#N/A</v>
      </c>
      <c r="DM75" t="e">
        <f>IF(OR(ROW()-54&gt;INDEX($U$4:$U$11,$AC$2+1,1)-INDEX($U$4:$U$11,$AC$2,1),ROW()-54&gt;$AD$2),NA(),COUNTIF(INDEX($BL$55:$BR$100,INDEX($U$4:$U$11,1,1),$AC$2):INDEX($BL$5:$BR$50,INDEX($U$4:$U$11,1,1)+ROW()-55,$AC$2),DM$53))</f>
        <v>#N/A</v>
      </c>
      <c r="DN75" t="e">
        <f>IF(OR(ROW()-54&gt;INDEX($U$4:$U$11,$AC$2+1,1)-INDEX($U$4:$U$11,$AC$2,1),ROW()-54&gt;$AD$2),NA(),COUNTIF(INDEX($BL$55:$BR$100,INDEX($U$4:$U$11,1,1),$AC$2):INDEX($BL$55:$BR$100,INDEX($U$4:$U$11,1,1)+ROW()-55,$AC$2),DN$53))</f>
        <v>#N/A</v>
      </c>
      <c r="ET75" t="e">
        <f>IF(OR(ROW()-54&gt;INDEX($U$4:$U$11,$AC$2+1,1)-INDEX($U$4:$U$11,$AC$2,1),ROW()-54&gt;$AD$2),NA(),COUNTIF(INDEX($CR$55:$CX$90,INDEX($U$4:$U$11,1,1),$AC$2):INDEX($CR$55:$CX$90,INDEX($U$4:$U$11,1,1)+ROW()-55,$AC$2),ET$53))</f>
        <v>#N/A</v>
      </c>
      <c r="EU75" t="e">
        <f>IF(OR(ROW()-54&gt;INDEX($U$4:$U$11,$AC$2+1,1)-INDEX($U$4:$U$11,$AC$2,1),ROW()-54&gt;$AD$2),NA(),COUNTIF(INDEX($CR$55:$CX$90,INDEX($U$4:$U$11,1,1),$AC$2):INDEX($CR$55:$CX$90,INDEX($U$4:$U$11,1,1)+ROW()-55,$AC$2),EU$53))</f>
        <v>#N/A</v>
      </c>
      <c r="EV75" t="e">
        <f>IF(OR(ROW()-54&gt;INDEX($U$4:$U$11,$AC$2+1,1)-INDEX($U$4:$U$11,$AC$2,1),ROW()-54&gt;$AD$2),NA(),COUNTIF(INDEX($CR$55:$CX$90,INDEX($U$4:$U$11,1,1),$AC$2):INDEX($CR$55:$CX$90,INDEX($U$4:$U$11,1,1)+ROW()-55,$AC$2),EV$53))</f>
        <v>#N/A</v>
      </c>
      <c r="EW75" t="e">
        <f>IF(OR(ROW()-54&gt;INDEX($U$4:$U$11,$AC$2+1,1)-INDEX($U$4:$U$11,$AC$2,1),ROW()-54&gt;$AD$2),NA(),COUNTIF(INDEX($CR$55:$CX$90,INDEX($U$4:$U$11,1,1),$AC$2):INDEX($CR$55:$CX$90,INDEX($U$4:$U$11,1,1)+ROW()-55,$AC$2),EW$53))</f>
        <v>#N/A</v>
      </c>
      <c r="EX75" t="e">
        <f>IF(OR(ROW()-54&gt;INDEX($U$4:$U$11,$AC$2+1,1)-INDEX($U$4:$U$11,$AC$2,1),ROW()-54&gt;$AD$2),NA(),COUNTIF(INDEX($CR$55:$CX$90,INDEX($U$4:$U$11,1,1),$AC$2):INDEX($CR$55:$CX$90,INDEX($U$4:$U$11,1,1)+ROW()-55,$AC$2),EX$53))</f>
        <v>#N/A</v>
      </c>
      <c r="EY75" t="e">
        <f>IF(OR(ROW()-54&gt;INDEX($U$4:$U$11,$AC$2+1,1)-INDEX($U$4:$U$11,$AC$2,1),ROW()-54&gt;$AD$2),NA(),COUNTIF(INDEX($CR$55:$CX$90,INDEX($U$4:$U$11,1,1),$AC$2):INDEX($CR$55:$CX$90,INDEX($U$4:$U$11,1,1)+ROW()-55,$AC$2),EY$53))</f>
        <v>#N/A</v>
      </c>
      <c r="EZ75" t="e">
        <f>IF(OR(ROW()-54&gt;INDEX($U$4:$U$11,$AC$2+1,1)-INDEX($U$4:$U$11,$AC$2,1),ROW()-54&gt;$AD$2),NA(),COUNTIF(INDEX($CR$55:$CX$90,INDEX($U$4:$U$11,1,1),$AC$2):INDEX($CR$55:$CX$90,INDEX($U$4:$U$11,1,1)+ROW()-55,$AC$2),EZ$53))</f>
        <v>#N/A</v>
      </c>
      <c r="FA75" t="e">
        <f>IF(OR(ROW()-54&gt;INDEX($U$4:$U$11,$AC$2+1,1)-INDEX($U$4:$U$11,$AC$2,1),ROW()-54&gt;$AD$2),NA(),COUNTIF(INDEX($CR$55:$CX$90,INDEX($U$4:$U$11,1,1),$AC$2):INDEX($CR$55:$CX$90,INDEX($U$4:$U$11,1,1)+ROW()-55,$AC$2),FA$53))</f>
        <v>#N/A</v>
      </c>
      <c r="FC75" t="e">
        <f>IF(OR(ROW()-54&gt;INDEX($U$4:$U$11,$AC$2+1,1)-INDEX($U$4:$U$11,$AC$2,1),ROW()-54&gt;$AD$2),NA(),COUNTIF(INDEX($CR$55:$CX$90,INDEX($U$4:$U$11,1,1),$AC$2):INDEX($CR$55:$CX$90,INDEX($U$4:$U$11,1,1)+ROW()-55,$AC$2),FC$53))</f>
        <v>#N/A</v>
      </c>
      <c r="FD75" t="e">
        <f>IF(OR(ROW()-54&gt;INDEX($U$4:$U$11,$AC$2+1,1)-INDEX($U$4:$U$11,$AC$2,1),ROW()-54&gt;$AD$2),NA(),COUNTIF(INDEX($CR$55:$CX$90,INDEX($U$4:$U$11,1,1),$AC$2):INDEX($CR$55:$CX$90,INDEX($U$4:$U$11,1,1)+ROW()-55,$AC$2),FD$53))</f>
        <v>#N/A</v>
      </c>
      <c r="FE75" t="e">
        <f>IF(OR(ROW()-54&gt;INDEX($U$4:$U$11,$AC$2+1,1)-INDEX($U$4:$U$11,$AC$2,1),ROW()-54&gt;$AD$2),NA(),COUNTIF(INDEX($CR$55:$CX$90,INDEX($U$4:$U$11,1,1),$AC$2):INDEX($CR$55:$CX$90,INDEX($U$4:$U$11,1,1)+ROW()-55,$AC$2),FE$53))</f>
        <v>#N/A</v>
      </c>
      <c r="FF75" t="e">
        <f>IF(OR(ROW()-54&gt;INDEX($U$4:$U$11,$AC$2+1,1)-INDEX($U$4:$U$11,$AC$2,1),ROW()-54&gt;$AD$2),NA(),COUNTIF(INDEX($CR$55:$CX$90,INDEX($U$4:$U$11,1,1),$AC$2):INDEX($CR$55:$CX$90,INDEX($U$4:$U$11,1,1)+ROW()-55,$AC$2),FF$53))</f>
        <v>#N/A</v>
      </c>
      <c r="FG75" t="e">
        <f>IF(OR(ROW()-54&gt;INDEX($U$4:$U$11,$AC$2+1,1)-INDEX($U$4:$U$11,$AC$2,1),ROW()-54&gt;$AD$2),NA(),COUNTIF(INDEX($CR$55:$CX$90,INDEX($U$4:$U$11,1,1),$AC$2):INDEX($CR$55:$CX$90,INDEX($U$4:$U$11,1,1)+ROW()-55,$AC$2),FG$53))</f>
        <v>#N/A</v>
      </c>
      <c r="FH75" t="e">
        <f>IF(OR(ROW()-54&gt;INDEX($U$4:$U$11,$AC$2+1,1)-INDEX($U$4:$U$11,$AC$2,1),ROW()-54&gt;$AD$2),NA(),COUNTIF(INDEX($CR$55:$CX$90,INDEX($U$4:$U$11,1,1),$AC$2):INDEX($CR$55:$CX$90,INDEX($U$4:$U$11,1,1)+ROW()-55,$AC$2),FH$53))</f>
        <v>#N/A</v>
      </c>
      <c r="FI75" t="e">
        <f>IF(OR(ROW()-54&gt;INDEX($U$4:$U$11,$AC$2+1,1)-INDEX($U$4:$U$11,$AC$2,1),ROW()-54&gt;$AD$2),NA(),COUNTIF(INDEX($CR$55:$CX$90,INDEX($U$4:$U$11,1,1),$AC$2):INDEX($CR$55:$CX$90,INDEX($U$4:$U$11,1,1)+ROW()-55,$AC$2),FI$53))</f>
        <v>#N/A</v>
      </c>
      <c r="FJ75" t="e">
        <f>IF(OR(ROW()-54&gt;INDEX($U$4:$U$11,$AC$2+1,1)-INDEX($U$4:$U$11,$AC$2,1),ROW()-54&gt;$AD$2),NA(),COUNTIF(INDEX($CR$55:$CX$90,INDEX($U$4:$U$11,1,1),$AC$2):INDEX($CR$55:$CX$90,INDEX($U$4:$U$11,1,1)+ROW()-55,$AC$2),FJ$53))</f>
        <v>#N/A</v>
      </c>
    </row>
    <row r="76" spans="1:166" x14ac:dyDescent="0.45">
      <c r="A76" t="str">
        <f>データの貼付!A74</f>
        <v>FENG Tianwei</v>
      </c>
      <c r="B76">
        <f>データの貼付!B74</f>
        <v>2.1448113425925924E-2</v>
      </c>
      <c r="C76">
        <f>データの貼付!C74</f>
        <v>8.9594907407407416E-5</v>
      </c>
      <c r="D76">
        <f>データの貼付!D74</f>
        <v>8.4722222222222213E-2</v>
      </c>
      <c r="E76" t="str">
        <f>データの貼付!F74</f>
        <v>FENG Tianwei</v>
      </c>
      <c r="F76">
        <f>データの貼付!E74</f>
        <v>4.1666666666666664E-2</v>
      </c>
      <c r="G76" t="str">
        <f>データの貼付!G74</f>
        <v>#09-</v>
      </c>
      <c r="H76" t="str">
        <f>データの貼付!H74</f>
        <v>FENG Tianwei</v>
      </c>
      <c r="I76" t="str">
        <f>データの貼付!I74</f>
        <v>Side</v>
      </c>
      <c r="J76" t="str">
        <f>データの貼付!J74</f>
        <v>B</v>
      </c>
      <c r="K76" t="str">
        <f>データの貼付!K74</f>
        <v>BM</v>
      </c>
      <c r="L76" t="str">
        <f>データの貼付!L74</f>
        <v>B</v>
      </c>
      <c r="M76" t="str">
        <f>データの貼付!M74</f>
        <v>ドライブ</v>
      </c>
      <c r="N76" t="str">
        <f>データの貼付!N74</f>
        <v>BM</v>
      </c>
      <c r="R76">
        <f t="shared" si="179"/>
        <v>0</v>
      </c>
      <c r="S76">
        <f>SUM(R$4:R76)</f>
        <v>5</v>
      </c>
      <c r="T76" t="str">
        <f t="shared" si="180"/>
        <v/>
      </c>
      <c r="W76" t="str">
        <f t="shared" si="177"/>
        <v>FENG Tianwei_FENG Tianwei</v>
      </c>
      <c r="X76" t="str">
        <f t="shared" si="178"/>
        <v>FENG Tianwei_#09-</v>
      </c>
      <c r="BL76" t="e">
        <f t="shared" si="162"/>
        <v>#VALUE!</v>
      </c>
      <c r="BM76" t="e">
        <f t="shared" si="181"/>
        <v>#VALUE!</v>
      </c>
      <c r="BN76" t="e">
        <f t="shared" si="182"/>
        <v>#VALUE!</v>
      </c>
      <c r="BO76" t="e">
        <f t="shared" si="183"/>
        <v>#VALUE!</v>
      </c>
      <c r="BP76" t="e">
        <f t="shared" si="184"/>
        <v>#VALUE!</v>
      </c>
      <c r="BQ76" t="e">
        <f t="shared" si="185"/>
        <v>#VALUE!</v>
      </c>
      <c r="BR76" t="e">
        <f t="shared" si="186"/>
        <v>#VALUE!</v>
      </c>
      <c r="CR76" t="e">
        <f t="shared" si="170"/>
        <v>#VALUE!</v>
      </c>
      <c r="CS76" t="e">
        <f t="shared" si="171"/>
        <v>#VALUE!</v>
      </c>
      <c r="CT76" t="e">
        <f t="shared" si="172"/>
        <v>#VALUE!</v>
      </c>
      <c r="CU76" t="e">
        <f t="shared" si="173"/>
        <v>#VALUE!</v>
      </c>
      <c r="CV76" t="e">
        <f t="shared" si="174"/>
        <v>#VALUE!</v>
      </c>
      <c r="CW76" t="e">
        <f t="shared" si="175"/>
        <v>#VALUE!</v>
      </c>
      <c r="CX76" t="e">
        <f t="shared" si="176"/>
        <v>#VALUE!</v>
      </c>
      <c r="DH76" t="e">
        <f>IF(OR(ROW()-54&gt;INDEX($U$4:$U$11,$AC$2+1,1)-INDEX($U$4:$U$11,$AC$2,1),ROW()-54&gt;$AD$2),NA(),COUNTIF(INDEX($BL$55:$BR$100,INDEX($U$4:$U$11,1,1),$AC$2):INDEX($BL$55:$BR$100,INDEX($U$4:$U$11,1,1)+ROW()-55,$AC$2),DH$53))</f>
        <v>#N/A</v>
      </c>
      <c r="DI76" t="e">
        <f>IF(OR(ROW()-54&gt;INDEX($U$4:$U$11,$AC$2+1,1)-INDEX($U$4:$U$11,$AC$2,1),ROW()-54&gt;$AD$2),NA(),COUNTIF(INDEX($BL$55:$BR$100,INDEX($U$4:$U$11,1,1),$AC$2):INDEX($BL$55:$BR$100,INDEX($U$4:$U$11,1,1)+ROW()-55,$AC$2),DI$53))</f>
        <v>#N/A</v>
      </c>
      <c r="DJ76" t="e">
        <f>IF(OR(ROW()-54&gt;INDEX($U$4:$U$11,$AC$2+1,1)-INDEX($U$4:$U$11,$AC$2,1),ROW()-54&gt;$AD$2),NA(),COUNTIF(INDEX($BL$55:$BR$100,INDEX($U$4:$U$11,1,1),$AC$2):INDEX($BL$55:$BR$100,INDEX($U$4:$U$11,1,1)+ROW()-55,$AC$2),DJ$53))</f>
        <v>#N/A</v>
      </c>
      <c r="DL76" t="e">
        <f>IF(OR(ROW()-54&gt;INDEX($U$4:$U$11,$AC$2+1,1)-INDEX($U$4:$U$11,$AC$2,1),ROW()-54&gt;$AD$2),NA(),COUNTIF(INDEX($BL$55:$BR$100,INDEX($U$4:$U$11,1,1),$AC$2):INDEX($BL$55:$BR$100,INDEX($U$4:$U$11,1,1)+ROW()-55,$AC$2),DL$53))</f>
        <v>#N/A</v>
      </c>
      <c r="DM76" t="e">
        <f>IF(OR(ROW()-54&gt;INDEX($U$4:$U$11,$AC$2+1,1)-INDEX($U$4:$U$11,$AC$2,1),ROW()-54&gt;$AD$2),NA(),COUNTIF(INDEX($BL$55:$BR$100,INDEX($U$4:$U$11,1,1),$AC$2):INDEX($BL$5:$BR$50,INDEX($U$4:$U$11,1,1)+ROW()-55,$AC$2),DM$53))</f>
        <v>#N/A</v>
      </c>
      <c r="DN76" t="e">
        <f>IF(OR(ROW()-54&gt;INDEX($U$4:$U$11,$AC$2+1,1)-INDEX($U$4:$U$11,$AC$2,1),ROW()-54&gt;$AD$2),NA(),COUNTIF(INDEX($BL$55:$BR$100,INDEX($U$4:$U$11,1,1),$AC$2):INDEX($BL$55:$BR$100,INDEX($U$4:$U$11,1,1)+ROW()-55,$AC$2),DN$53))</f>
        <v>#N/A</v>
      </c>
      <c r="ET76" t="e">
        <f>IF(OR(ROW()-54&gt;INDEX($U$4:$U$11,$AC$2+1,1)-INDEX($U$4:$U$11,$AC$2,1),ROW()-54&gt;$AD$2),NA(),COUNTIF(INDEX($CR$55:$CX$90,INDEX($U$4:$U$11,1,1),$AC$2):INDEX($CR$55:$CX$90,INDEX($U$4:$U$11,1,1)+ROW()-55,$AC$2),ET$53))</f>
        <v>#N/A</v>
      </c>
      <c r="EU76" t="e">
        <f>IF(OR(ROW()-54&gt;INDEX($U$4:$U$11,$AC$2+1,1)-INDEX($U$4:$U$11,$AC$2,1),ROW()-54&gt;$AD$2),NA(),COUNTIF(INDEX($CR$55:$CX$90,INDEX($U$4:$U$11,1,1),$AC$2):INDEX($CR$55:$CX$90,INDEX($U$4:$U$11,1,1)+ROW()-55,$AC$2),EU$53))</f>
        <v>#N/A</v>
      </c>
      <c r="EV76" t="e">
        <f>IF(OR(ROW()-54&gt;INDEX($U$4:$U$11,$AC$2+1,1)-INDEX($U$4:$U$11,$AC$2,1),ROW()-54&gt;$AD$2),NA(),COUNTIF(INDEX($CR$55:$CX$90,INDEX($U$4:$U$11,1,1),$AC$2):INDEX($CR$55:$CX$90,INDEX($U$4:$U$11,1,1)+ROW()-55,$AC$2),EV$53))</f>
        <v>#N/A</v>
      </c>
      <c r="EW76" t="e">
        <f>IF(OR(ROW()-54&gt;INDEX($U$4:$U$11,$AC$2+1,1)-INDEX($U$4:$U$11,$AC$2,1),ROW()-54&gt;$AD$2),NA(),COUNTIF(INDEX($CR$55:$CX$90,INDEX($U$4:$U$11,1,1),$AC$2):INDEX($CR$55:$CX$90,INDEX($U$4:$U$11,1,1)+ROW()-55,$AC$2),EW$53))</f>
        <v>#N/A</v>
      </c>
      <c r="EX76" t="e">
        <f>IF(OR(ROW()-54&gt;INDEX($U$4:$U$11,$AC$2+1,1)-INDEX($U$4:$U$11,$AC$2,1),ROW()-54&gt;$AD$2),NA(),COUNTIF(INDEX($CR$55:$CX$90,INDEX($U$4:$U$11,1,1),$AC$2):INDEX($CR$55:$CX$90,INDEX($U$4:$U$11,1,1)+ROW()-55,$AC$2),EX$53))</f>
        <v>#N/A</v>
      </c>
      <c r="EY76" t="e">
        <f>IF(OR(ROW()-54&gt;INDEX($U$4:$U$11,$AC$2+1,1)-INDEX($U$4:$U$11,$AC$2,1),ROW()-54&gt;$AD$2),NA(),COUNTIF(INDEX($CR$55:$CX$90,INDEX($U$4:$U$11,1,1),$AC$2):INDEX($CR$55:$CX$90,INDEX($U$4:$U$11,1,1)+ROW()-55,$AC$2),EY$53))</f>
        <v>#N/A</v>
      </c>
      <c r="EZ76" t="e">
        <f>IF(OR(ROW()-54&gt;INDEX($U$4:$U$11,$AC$2+1,1)-INDEX($U$4:$U$11,$AC$2,1),ROW()-54&gt;$AD$2),NA(),COUNTIF(INDEX($CR$55:$CX$90,INDEX($U$4:$U$11,1,1),$AC$2):INDEX($CR$55:$CX$90,INDEX($U$4:$U$11,1,1)+ROW()-55,$AC$2),EZ$53))</f>
        <v>#N/A</v>
      </c>
      <c r="FA76" t="e">
        <f>IF(OR(ROW()-54&gt;INDEX($U$4:$U$11,$AC$2+1,1)-INDEX($U$4:$U$11,$AC$2,1),ROW()-54&gt;$AD$2),NA(),COUNTIF(INDEX($CR$55:$CX$90,INDEX($U$4:$U$11,1,1),$AC$2):INDEX($CR$55:$CX$90,INDEX($U$4:$U$11,1,1)+ROW()-55,$AC$2),FA$53))</f>
        <v>#N/A</v>
      </c>
      <c r="FC76" t="e">
        <f>IF(OR(ROW()-54&gt;INDEX($U$4:$U$11,$AC$2+1,1)-INDEX($U$4:$U$11,$AC$2,1),ROW()-54&gt;$AD$2),NA(),COUNTIF(INDEX($CR$55:$CX$90,INDEX($U$4:$U$11,1,1),$AC$2):INDEX($CR$55:$CX$90,INDEX($U$4:$U$11,1,1)+ROW()-55,$AC$2),FC$53))</f>
        <v>#N/A</v>
      </c>
      <c r="FD76" t="e">
        <f>IF(OR(ROW()-54&gt;INDEX($U$4:$U$11,$AC$2+1,1)-INDEX($U$4:$U$11,$AC$2,1),ROW()-54&gt;$AD$2),NA(),COUNTIF(INDEX($CR$55:$CX$90,INDEX($U$4:$U$11,1,1),$AC$2):INDEX($CR$55:$CX$90,INDEX($U$4:$U$11,1,1)+ROW()-55,$AC$2),FD$53))</f>
        <v>#N/A</v>
      </c>
      <c r="FE76" t="e">
        <f>IF(OR(ROW()-54&gt;INDEX($U$4:$U$11,$AC$2+1,1)-INDEX($U$4:$U$11,$AC$2,1),ROW()-54&gt;$AD$2),NA(),COUNTIF(INDEX($CR$55:$CX$90,INDEX($U$4:$U$11,1,1),$AC$2):INDEX($CR$55:$CX$90,INDEX($U$4:$U$11,1,1)+ROW()-55,$AC$2),FE$53))</f>
        <v>#N/A</v>
      </c>
      <c r="FF76" t="e">
        <f>IF(OR(ROW()-54&gt;INDEX($U$4:$U$11,$AC$2+1,1)-INDEX($U$4:$U$11,$AC$2,1),ROW()-54&gt;$AD$2),NA(),COUNTIF(INDEX($CR$55:$CX$90,INDEX($U$4:$U$11,1,1),$AC$2):INDEX($CR$55:$CX$90,INDEX($U$4:$U$11,1,1)+ROW()-55,$AC$2),FF$53))</f>
        <v>#N/A</v>
      </c>
      <c r="FG76" t="e">
        <f>IF(OR(ROW()-54&gt;INDEX($U$4:$U$11,$AC$2+1,1)-INDEX($U$4:$U$11,$AC$2,1),ROW()-54&gt;$AD$2),NA(),COUNTIF(INDEX($CR$55:$CX$90,INDEX($U$4:$U$11,1,1),$AC$2):INDEX($CR$55:$CX$90,INDEX($U$4:$U$11,1,1)+ROW()-55,$AC$2),FG$53))</f>
        <v>#N/A</v>
      </c>
      <c r="FH76" t="e">
        <f>IF(OR(ROW()-54&gt;INDEX($U$4:$U$11,$AC$2+1,1)-INDEX($U$4:$U$11,$AC$2,1),ROW()-54&gt;$AD$2),NA(),COUNTIF(INDEX($CR$55:$CX$90,INDEX($U$4:$U$11,1,1),$AC$2):INDEX($CR$55:$CX$90,INDEX($U$4:$U$11,1,1)+ROW()-55,$AC$2),FH$53))</f>
        <v>#N/A</v>
      </c>
      <c r="FI76" t="e">
        <f>IF(OR(ROW()-54&gt;INDEX($U$4:$U$11,$AC$2+1,1)-INDEX($U$4:$U$11,$AC$2,1),ROW()-54&gt;$AD$2),NA(),COUNTIF(INDEX($CR$55:$CX$90,INDEX($U$4:$U$11,1,1),$AC$2):INDEX($CR$55:$CX$90,INDEX($U$4:$U$11,1,1)+ROW()-55,$AC$2),FI$53))</f>
        <v>#N/A</v>
      </c>
      <c r="FJ76" t="e">
        <f>IF(OR(ROW()-54&gt;INDEX($U$4:$U$11,$AC$2+1,1)-INDEX($U$4:$U$11,$AC$2,1),ROW()-54&gt;$AD$2),NA(),COUNTIF(INDEX($CR$55:$CX$90,INDEX($U$4:$U$11,1,1),$AC$2):INDEX($CR$55:$CX$90,INDEX($U$4:$U$11,1,1)+ROW()-55,$AC$2),FJ$53))</f>
        <v>#N/A</v>
      </c>
    </row>
    <row r="77" spans="1:166" x14ac:dyDescent="0.45">
      <c r="A77" t="str">
        <f>データの貼付!A75</f>
        <v>KIHARA Miyuu</v>
      </c>
      <c r="B77">
        <f>データの貼付!B75</f>
        <v>2.2549143518518524E-2</v>
      </c>
      <c r="C77">
        <f>データの貼付!C75</f>
        <v>7.645833333333334E-5</v>
      </c>
      <c r="D77">
        <f>データの貼付!D75</f>
        <v>8.4722222222222213E-2</v>
      </c>
      <c r="E77" t="str">
        <f>データの貼付!F75</f>
        <v>FENG Tianwei</v>
      </c>
      <c r="F77">
        <f>データの貼付!E75</f>
        <v>4.2361111111111106E-2</v>
      </c>
      <c r="G77" t="str">
        <f>データの貼付!G75</f>
        <v>#04</v>
      </c>
      <c r="H77" t="str">
        <f>データの貼付!H75</f>
        <v>KIHARA Miyuu</v>
      </c>
      <c r="I77" t="str">
        <f>データの貼付!I75</f>
        <v>(Side)</v>
      </c>
      <c r="J77" t="str">
        <f>データの貼付!J75</f>
        <v>B</v>
      </c>
      <c r="K77" t="str">
        <f>データの貼付!K75</f>
        <v>FS</v>
      </c>
      <c r="L77" t="str">
        <f>データの貼付!L75</f>
        <v>F</v>
      </c>
      <c r="M77" t="str">
        <f>データの貼付!M75</f>
        <v>ドライブ</v>
      </c>
      <c r="N77" t="str">
        <f>データの貼付!N75</f>
        <v>BM</v>
      </c>
      <c r="R77">
        <f t="shared" si="179"/>
        <v>0</v>
      </c>
      <c r="S77">
        <f>SUM(R$4:R77)</f>
        <v>5</v>
      </c>
      <c r="T77" t="str">
        <f t="shared" si="180"/>
        <v/>
      </c>
      <c r="W77" t="str">
        <f t="shared" si="177"/>
        <v>FENG Tianwei_KIHARA Miyuu</v>
      </c>
      <c r="X77" t="str">
        <f t="shared" si="178"/>
        <v>FENG Tianwei_#04</v>
      </c>
      <c r="BL77" t="e">
        <f t="shared" si="162"/>
        <v>#VALUE!</v>
      </c>
      <c r="BM77" t="e">
        <f t="shared" si="181"/>
        <v>#VALUE!</v>
      </c>
      <c r="BN77" t="e">
        <f t="shared" si="182"/>
        <v>#VALUE!</v>
      </c>
      <c r="BO77" t="e">
        <f t="shared" si="183"/>
        <v>#VALUE!</v>
      </c>
      <c r="BP77" t="e">
        <f t="shared" si="184"/>
        <v>#VALUE!</v>
      </c>
      <c r="BQ77" t="e">
        <f t="shared" si="185"/>
        <v>#VALUE!</v>
      </c>
      <c r="BR77" t="e">
        <f t="shared" si="186"/>
        <v>#VALUE!</v>
      </c>
      <c r="CR77" t="e">
        <f t="shared" si="170"/>
        <v>#VALUE!</v>
      </c>
      <c r="CS77" t="e">
        <f t="shared" si="171"/>
        <v>#VALUE!</v>
      </c>
      <c r="CT77" t="e">
        <f t="shared" si="172"/>
        <v>#VALUE!</v>
      </c>
      <c r="CU77" t="e">
        <f t="shared" si="173"/>
        <v>#VALUE!</v>
      </c>
      <c r="CV77" t="e">
        <f t="shared" si="174"/>
        <v>#VALUE!</v>
      </c>
      <c r="CW77" t="e">
        <f t="shared" si="175"/>
        <v>#VALUE!</v>
      </c>
      <c r="CX77" t="e">
        <f t="shared" si="176"/>
        <v>#VALUE!</v>
      </c>
      <c r="DH77" t="e">
        <f>IF(OR(ROW()-54&gt;INDEX($U$4:$U$11,$AC$2+1,1)-INDEX($U$4:$U$11,$AC$2,1),ROW()-54&gt;$AD$2),NA(),COUNTIF(INDEX($BL$55:$BR$100,INDEX($U$4:$U$11,1,1),$AC$2):INDEX($BL$55:$BR$100,INDEX($U$4:$U$11,1,1)+ROW()-55,$AC$2),DH$53))</f>
        <v>#N/A</v>
      </c>
      <c r="DI77" t="e">
        <f>IF(OR(ROW()-54&gt;INDEX($U$4:$U$11,$AC$2+1,1)-INDEX($U$4:$U$11,$AC$2,1),ROW()-54&gt;$AD$2),NA(),COUNTIF(INDEX($BL$55:$BR$100,INDEX($U$4:$U$11,1,1),$AC$2):INDEX($BL$55:$BR$100,INDEX($U$4:$U$11,1,1)+ROW()-55,$AC$2),DI$53))</f>
        <v>#N/A</v>
      </c>
      <c r="DJ77" t="e">
        <f>IF(OR(ROW()-54&gt;INDEX($U$4:$U$11,$AC$2+1,1)-INDEX($U$4:$U$11,$AC$2,1),ROW()-54&gt;$AD$2),NA(),COUNTIF(INDEX($BL$55:$BR$100,INDEX($U$4:$U$11,1,1),$AC$2):INDEX($BL$55:$BR$100,INDEX($U$4:$U$11,1,1)+ROW()-55,$AC$2),DJ$53))</f>
        <v>#N/A</v>
      </c>
      <c r="DL77" t="e">
        <f>IF(OR(ROW()-54&gt;INDEX($U$4:$U$11,$AC$2+1,1)-INDEX($U$4:$U$11,$AC$2,1),ROW()-54&gt;$AD$2),NA(),COUNTIF(INDEX($BL$55:$BR$100,INDEX($U$4:$U$11,1,1),$AC$2):INDEX($BL$55:$BR$100,INDEX($U$4:$U$11,1,1)+ROW()-55,$AC$2),DL$53))</f>
        <v>#N/A</v>
      </c>
      <c r="DM77" t="e">
        <f>IF(OR(ROW()-54&gt;INDEX($U$4:$U$11,$AC$2+1,1)-INDEX($U$4:$U$11,$AC$2,1),ROW()-54&gt;$AD$2),NA(),COUNTIF(INDEX($BL$55:$BR$100,INDEX($U$4:$U$11,1,1),$AC$2):INDEX($BL$5:$BR$50,INDEX($U$4:$U$11,1,1)+ROW()-55,$AC$2),DM$53))</f>
        <v>#N/A</v>
      </c>
      <c r="DN77" t="e">
        <f>IF(OR(ROW()-54&gt;INDEX($U$4:$U$11,$AC$2+1,1)-INDEX($U$4:$U$11,$AC$2,1),ROW()-54&gt;$AD$2),NA(),COUNTIF(INDEX($BL$55:$BR$100,INDEX($U$4:$U$11,1,1),$AC$2):INDEX($BL$55:$BR$100,INDEX($U$4:$U$11,1,1)+ROW()-55,$AC$2),DN$53))</f>
        <v>#N/A</v>
      </c>
      <c r="ET77" t="e">
        <f>IF(OR(ROW()-54&gt;INDEX($U$4:$U$11,$AC$2+1,1)-INDEX($U$4:$U$11,$AC$2,1),ROW()-54&gt;$AD$2),NA(),COUNTIF(INDEX($CR$55:$CX$90,INDEX($U$4:$U$11,1,1),$AC$2):INDEX($CR$55:$CX$90,INDEX($U$4:$U$11,1,1)+ROW()-55,$AC$2),ET$53))</f>
        <v>#N/A</v>
      </c>
      <c r="EU77" t="e">
        <f>IF(OR(ROW()-54&gt;INDEX($U$4:$U$11,$AC$2+1,1)-INDEX($U$4:$U$11,$AC$2,1),ROW()-54&gt;$AD$2),NA(),COUNTIF(INDEX($CR$55:$CX$90,INDEX($U$4:$U$11,1,1),$AC$2):INDEX($CR$55:$CX$90,INDEX($U$4:$U$11,1,1)+ROW()-55,$AC$2),EU$53))</f>
        <v>#N/A</v>
      </c>
      <c r="EV77" t="e">
        <f>IF(OR(ROW()-54&gt;INDEX($U$4:$U$11,$AC$2+1,1)-INDEX($U$4:$U$11,$AC$2,1),ROW()-54&gt;$AD$2),NA(),COUNTIF(INDEX($CR$55:$CX$90,INDEX($U$4:$U$11,1,1),$AC$2):INDEX($CR$55:$CX$90,INDEX($U$4:$U$11,1,1)+ROW()-55,$AC$2),EV$53))</f>
        <v>#N/A</v>
      </c>
      <c r="EW77" t="e">
        <f>IF(OR(ROW()-54&gt;INDEX($U$4:$U$11,$AC$2+1,1)-INDEX($U$4:$U$11,$AC$2,1),ROW()-54&gt;$AD$2),NA(),COUNTIF(INDEX($CR$55:$CX$90,INDEX($U$4:$U$11,1,1),$AC$2):INDEX($CR$55:$CX$90,INDEX($U$4:$U$11,1,1)+ROW()-55,$AC$2),EW$53))</f>
        <v>#N/A</v>
      </c>
      <c r="EX77" t="e">
        <f>IF(OR(ROW()-54&gt;INDEX($U$4:$U$11,$AC$2+1,1)-INDEX($U$4:$U$11,$AC$2,1),ROW()-54&gt;$AD$2),NA(),COUNTIF(INDEX($CR$55:$CX$90,INDEX($U$4:$U$11,1,1),$AC$2):INDEX($CR$55:$CX$90,INDEX($U$4:$U$11,1,1)+ROW()-55,$AC$2),EX$53))</f>
        <v>#N/A</v>
      </c>
      <c r="EY77" t="e">
        <f>IF(OR(ROW()-54&gt;INDEX($U$4:$U$11,$AC$2+1,1)-INDEX($U$4:$U$11,$AC$2,1),ROW()-54&gt;$AD$2),NA(),COUNTIF(INDEX($CR$55:$CX$90,INDEX($U$4:$U$11,1,1),$AC$2):INDEX($CR$55:$CX$90,INDEX($U$4:$U$11,1,1)+ROW()-55,$AC$2),EY$53))</f>
        <v>#N/A</v>
      </c>
      <c r="EZ77" t="e">
        <f>IF(OR(ROW()-54&gt;INDEX($U$4:$U$11,$AC$2+1,1)-INDEX($U$4:$U$11,$AC$2,1),ROW()-54&gt;$AD$2),NA(),COUNTIF(INDEX($CR$55:$CX$90,INDEX($U$4:$U$11,1,1),$AC$2):INDEX($CR$55:$CX$90,INDEX($U$4:$U$11,1,1)+ROW()-55,$AC$2),EZ$53))</f>
        <v>#N/A</v>
      </c>
      <c r="FA77" t="e">
        <f>IF(OR(ROW()-54&gt;INDEX($U$4:$U$11,$AC$2+1,1)-INDEX($U$4:$U$11,$AC$2,1),ROW()-54&gt;$AD$2),NA(),COUNTIF(INDEX($CR$55:$CX$90,INDEX($U$4:$U$11,1,1),$AC$2):INDEX($CR$55:$CX$90,INDEX($U$4:$U$11,1,1)+ROW()-55,$AC$2),FA$53))</f>
        <v>#N/A</v>
      </c>
      <c r="FC77" t="e">
        <f>IF(OR(ROW()-54&gt;INDEX($U$4:$U$11,$AC$2+1,1)-INDEX($U$4:$U$11,$AC$2,1),ROW()-54&gt;$AD$2),NA(),COUNTIF(INDEX($CR$55:$CX$90,INDEX($U$4:$U$11,1,1),$AC$2):INDEX($CR$55:$CX$90,INDEX($U$4:$U$11,1,1)+ROW()-55,$AC$2),FC$53))</f>
        <v>#N/A</v>
      </c>
      <c r="FD77" t="e">
        <f>IF(OR(ROW()-54&gt;INDEX($U$4:$U$11,$AC$2+1,1)-INDEX($U$4:$U$11,$AC$2,1),ROW()-54&gt;$AD$2),NA(),COUNTIF(INDEX($CR$55:$CX$90,INDEX($U$4:$U$11,1,1),$AC$2):INDEX($CR$55:$CX$90,INDEX($U$4:$U$11,1,1)+ROW()-55,$AC$2),FD$53))</f>
        <v>#N/A</v>
      </c>
      <c r="FE77" t="e">
        <f>IF(OR(ROW()-54&gt;INDEX($U$4:$U$11,$AC$2+1,1)-INDEX($U$4:$U$11,$AC$2,1),ROW()-54&gt;$AD$2),NA(),COUNTIF(INDEX($CR$55:$CX$90,INDEX($U$4:$U$11,1,1),$AC$2):INDEX($CR$55:$CX$90,INDEX($U$4:$U$11,1,1)+ROW()-55,$AC$2),FE$53))</f>
        <v>#N/A</v>
      </c>
      <c r="FF77" t="e">
        <f>IF(OR(ROW()-54&gt;INDEX($U$4:$U$11,$AC$2+1,1)-INDEX($U$4:$U$11,$AC$2,1),ROW()-54&gt;$AD$2),NA(),COUNTIF(INDEX($CR$55:$CX$90,INDEX($U$4:$U$11,1,1),$AC$2):INDEX($CR$55:$CX$90,INDEX($U$4:$U$11,1,1)+ROW()-55,$AC$2),FF$53))</f>
        <v>#N/A</v>
      </c>
      <c r="FG77" t="e">
        <f>IF(OR(ROW()-54&gt;INDEX($U$4:$U$11,$AC$2+1,1)-INDEX($U$4:$U$11,$AC$2,1),ROW()-54&gt;$AD$2),NA(),COUNTIF(INDEX($CR$55:$CX$90,INDEX($U$4:$U$11,1,1),$AC$2):INDEX($CR$55:$CX$90,INDEX($U$4:$U$11,1,1)+ROW()-55,$AC$2),FG$53))</f>
        <v>#N/A</v>
      </c>
      <c r="FH77" t="e">
        <f>IF(OR(ROW()-54&gt;INDEX($U$4:$U$11,$AC$2+1,1)-INDEX($U$4:$U$11,$AC$2,1),ROW()-54&gt;$AD$2),NA(),COUNTIF(INDEX($CR$55:$CX$90,INDEX($U$4:$U$11,1,1),$AC$2):INDEX($CR$55:$CX$90,INDEX($U$4:$U$11,1,1)+ROW()-55,$AC$2),FH$53))</f>
        <v>#N/A</v>
      </c>
      <c r="FI77" t="e">
        <f>IF(OR(ROW()-54&gt;INDEX($U$4:$U$11,$AC$2+1,1)-INDEX($U$4:$U$11,$AC$2,1),ROW()-54&gt;$AD$2),NA(),COUNTIF(INDEX($CR$55:$CX$90,INDEX($U$4:$U$11,1,1),$AC$2):INDEX($CR$55:$CX$90,INDEX($U$4:$U$11,1,1)+ROW()-55,$AC$2),FI$53))</f>
        <v>#N/A</v>
      </c>
      <c r="FJ77" t="e">
        <f>IF(OR(ROW()-54&gt;INDEX($U$4:$U$11,$AC$2+1,1)-INDEX($U$4:$U$11,$AC$2,1),ROW()-54&gt;$AD$2),NA(),COUNTIF(INDEX($CR$55:$CX$90,INDEX($U$4:$U$11,1,1),$AC$2):INDEX($CR$55:$CX$90,INDEX($U$4:$U$11,1,1)+ROW()-55,$AC$2),FJ$53))</f>
        <v>#N/A</v>
      </c>
    </row>
    <row r="78" spans="1:166" x14ac:dyDescent="0.45">
      <c r="A78" t="str">
        <f>データの貼付!A76</f>
        <v>KIHARA Miyuu</v>
      </c>
      <c r="B78">
        <f>データの貼付!B76</f>
        <v>2.277429398148148E-2</v>
      </c>
      <c r="C78">
        <f>データの貼付!C76</f>
        <v>1.1662037037037039E-4</v>
      </c>
      <c r="D78">
        <f>データの貼付!D76</f>
        <v>8.4722222222222213E-2</v>
      </c>
      <c r="E78" t="str">
        <f>データの貼付!F76</f>
        <v>FENG Tianwei</v>
      </c>
      <c r="F78">
        <f>データの貼付!E76</f>
        <v>4.2361111111111106E-2</v>
      </c>
      <c r="G78" t="str">
        <f>データの貼付!G76</f>
        <v>#10-</v>
      </c>
      <c r="H78" t="str">
        <f>データの貼付!H76</f>
        <v>KIHARA Miyuu</v>
      </c>
      <c r="I78" t="str">
        <f>データの貼付!I76</f>
        <v>(Side)</v>
      </c>
      <c r="J78" t="str">
        <f>データの貼付!J76</f>
        <v>B</v>
      </c>
      <c r="K78" t="str">
        <f>データの貼付!K76</f>
        <v>FS</v>
      </c>
      <c r="L78" t="str">
        <f>データの貼付!L76</f>
        <v>B</v>
      </c>
      <c r="M78" t="str">
        <f>データの貼付!M76</f>
        <v>Chiquita</v>
      </c>
      <c r="N78" t="str">
        <f>データの貼付!N76</f>
        <v>B</v>
      </c>
      <c r="R78">
        <f t="shared" si="179"/>
        <v>0</v>
      </c>
      <c r="S78">
        <f>SUM(R$4:R78)</f>
        <v>5</v>
      </c>
      <c r="T78" t="str">
        <f t="shared" si="180"/>
        <v>FENG Tianwei</v>
      </c>
      <c r="W78" t="str">
        <f t="shared" si="177"/>
        <v>FENG Tianwei_KIHARA Miyuu</v>
      </c>
      <c r="X78" t="str">
        <f t="shared" si="178"/>
        <v>FENG Tianwei_#10-</v>
      </c>
      <c r="BL78" t="e">
        <f t="shared" si="162"/>
        <v>#VALUE!</v>
      </c>
      <c r="BM78" t="e">
        <f t="shared" si="181"/>
        <v>#VALUE!</v>
      </c>
      <c r="BN78" t="e">
        <f t="shared" si="182"/>
        <v>#VALUE!</v>
      </c>
      <c r="BO78" t="e">
        <f t="shared" si="183"/>
        <v>#VALUE!</v>
      </c>
      <c r="BP78" t="e">
        <f t="shared" si="184"/>
        <v>#VALUE!</v>
      </c>
      <c r="BQ78" t="e">
        <f t="shared" si="185"/>
        <v>#VALUE!</v>
      </c>
      <c r="BR78" t="e">
        <f t="shared" si="186"/>
        <v>#VALUE!</v>
      </c>
      <c r="CR78" t="e">
        <f t="shared" si="170"/>
        <v>#VALUE!</v>
      </c>
      <c r="CS78" t="e">
        <f t="shared" si="171"/>
        <v>#VALUE!</v>
      </c>
      <c r="CT78" t="e">
        <f t="shared" si="172"/>
        <v>#VALUE!</v>
      </c>
      <c r="CU78" t="e">
        <f t="shared" si="173"/>
        <v>#VALUE!</v>
      </c>
      <c r="CV78" t="e">
        <f t="shared" si="174"/>
        <v>#VALUE!</v>
      </c>
      <c r="CW78" t="e">
        <f t="shared" si="175"/>
        <v>#VALUE!</v>
      </c>
      <c r="CX78" t="e">
        <f t="shared" si="176"/>
        <v>#VALUE!</v>
      </c>
      <c r="DH78" t="e">
        <f>IF(OR(ROW()-54&gt;INDEX($U$4:$U$11,$AC$2+1,1)-INDEX($U$4:$U$11,$AC$2,1),ROW()-54&gt;$AD$2),NA(),COUNTIF(INDEX($BL$55:$BR$100,INDEX($U$4:$U$11,1,1),$AC$2):INDEX($BL$55:$BR$100,INDEX($U$4:$U$11,1,1)+ROW()-55,$AC$2),DH$53))</f>
        <v>#N/A</v>
      </c>
      <c r="DI78" t="e">
        <f>IF(OR(ROW()-54&gt;INDEX($U$4:$U$11,$AC$2+1,1)-INDEX($U$4:$U$11,$AC$2,1),ROW()-54&gt;$AD$2),NA(),COUNTIF(INDEX($BL$55:$BR$100,INDEX($U$4:$U$11,1,1),$AC$2):INDEX($BL$55:$BR$100,INDEX($U$4:$U$11,1,1)+ROW()-55,$AC$2),DI$53))</f>
        <v>#N/A</v>
      </c>
      <c r="DJ78" t="e">
        <f>IF(OR(ROW()-54&gt;INDEX($U$4:$U$11,$AC$2+1,1)-INDEX($U$4:$U$11,$AC$2,1),ROW()-54&gt;$AD$2),NA(),COUNTIF(INDEX($BL$55:$BR$100,INDEX($U$4:$U$11,1,1),$AC$2):INDEX($BL$55:$BR$100,INDEX($U$4:$U$11,1,1)+ROW()-55,$AC$2),DJ$53))</f>
        <v>#N/A</v>
      </c>
      <c r="DL78" t="e">
        <f>IF(OR(ROW()-54&gt;INDEX($U$4:$U$11,$AC$2+1,1)-INDEX($U$4:$U$11,$AC$2,1),ROW()-54&gt;$AD$2),NA(),COUNTIF(INDEX($BL$55:$BR$100,INDEX($U$4:$U$11,1,1),$AC$2):INDEX($BL$55:$BR$100,INDEX($U$4:$U$11,1,1)+ROW()-55,$AC$2),DL$53))</f>
        <v>#N/A</v>
      </c>
      <c r="DM78" t="e">
        <f>IF(OR(ROW()-54&gt;INDEX($U$4:$U$11,$AC$2+1,1)-INDEX($U$4:$U$11,$AC$2,1),ROW()-54&gt;$AD$2),NA(),COUNTIF(INDEX($BL$55:$BR$100,INDEX($U$4:$U$11,1,1),$AC$2):INDEX($BL$5:$BR$50,INDEX($U$4:$U$11,1,1)+ROW()-55,$AC$2),DM$53))</f>
        <v>#N/A</v>
      </c>
      <c r="DN78" t="e">
        <f>IF(OR(ROW()-54&gt;INDEX($U$4:$U$11,$AC$2+1,1)-INDEX($U$4:$U$11,$AC$2,1),ROW()-54&gt;$AD$2),NA(),COUNTIF(INDEX($BL$55:$BR$100,INDEX($U$4:$U$11,1,1),$AC$2):INDEX($BL$55:$BR$100,INDEX($U$4:$U$11,1,1)+ROW()-55,$AC$2),DN$53))</f>
        <v>#N/A</v>
      </c>
      <c r="ET78" t="e">
        <f>IF(OR(ROW()-54&gt;INDEX($U$4:$U$11,$AC$2+1,1)-INDEX($U$4:$U$11,$AC$2,1),ROW()-54&gt;$AD$2),NA(),COUNTIF(INDEX($CR$55:$CX$90,INDEX($U$4:$U$11,1,1),$AC$2):INDEX($CR$55:$CX$90,INDEX($U$4:$U$11,1,1)+ROW()-55,$AC$2),ET$53))</f>
        <v>#N/A</v>
      </c>
      <c r="EU78" t="e">
        <f>IF(OR(ROW()-54&gt;INDEX($U$4:$U$11,$AC$2+1,1)-INDEX($U$4:$U$11,$AC$2,1),ROW()-54&gt;$AD$2),NA(),COUNTIF(INDEX($CR$55:$CX$90,INDEX($U$4:$U$11,1,1),$AC$2):INDEX($CR$55:$CX$90,INDEX($U$4:$U$11,1,1)+ROW()-55,$AC$2),EU$53))</f>
        <v>#N/A</v>
      </c>
      <c r="EV78" t="e">
        <f>IF(OR(ROW()-54&gt;INDEX($U$4:$U$11,$AC$2+1,1)-INDEX($U$4:$U$11,$AC$2,1),ROW()-54&gt;$AD$2),NA(),COUNTIF(INDEX($CR$55:$CX$90,INDEX($U$4:$U$11,1,1),$AC$2):INDEX($CR$55:$CX$90,INDEX($U$4:$U$11,1,1)+ROW()-55,$AC$2),EV$53))</f>
        <v>#N/A</v>
      </c>
      <c r="EW78" t="e">
        <f>IF(OR(ROW()-54&gt;INDEX($U$4:$U$11,$AC$2+1,1)-INDEX($U$4:$U$11,$AC$2,1),ROW()-54&gt;$AD$2),NA(),COUNTIF(INDEX($CR$55:$CX$90,INDEX($U$4:$U$11,1,1),$AC$2):INDEX($CR$55:$CX$90,INDEX($U$4:$U$11,1,1)+ROW()-55,$AC$2),EW$53))</f>
        <v>#N/A</v>
      </c>
      <c r="EX78" t="e">
        <f>IF(OR(ROW()-54&gt;INDEX($U$4:$U$11,$AC$2+1,1)-INDEX($U$4:$U$11,$AC$2,1),ROW()-54&gt;$AD$2),NA(),COUNTIF(INDEX($CR$55:$CX$90,INDEX($U$4:$U$11,1,1),$AC$2):INDEX($CR$55:$CX$90,INDEX($U$4:$U$11,1,1)+ROW()-55,$AC$2),EX$53))</f>
        <v>#N/A</v>
      </c>
      <c r="EY78" t="e">
        <f>IF(OR(ROW()-54&gt;INDEX($U$4:$U$11,$AC$2+1,1)-INDEX($U$4:$U$11,$AC$2,1),ROW()-54&gt;$AD$2),NA(),COUNTIF(INDEX($CR$55:$CX$90,INDEX($U$4:$U$11,1,1),$AC$2):INDEX($CR$55:$CX$90,INDEX($U$4:$U$11,1,1)+ROW()-55,$AC$2),EY$53))</f>
        <v>#N/A</v>
      </c>
      <c r="EZ78" t="e">
        <f>IF(OR(ROW()-54&gt;INDEX($U$4:$U$11,$AC$2+1,1)-INDEX($U$4:$U$11,$AC$2,1),ROW()-54&gt;$AD$2),NA(),COUNTIF(INDEX($CR$55:$CX$90,INDEX($U$4:$U$11,1,1),$AC$2):INDEX($CR$55:$CX$90,INDEX($U$4:$U$11,1,1)+ROW()-55,$AC$2),EZ$53))</f>
        <v>#N/A</v>
      </c>
      <c r="FA78" t="e">
        <f>IF(OR(ROW()-54&gt;INDEX($U$4:$U$11,$AC$2+1,1)-INDEX($U$4:$U$11,$AC$2,1),ROW()-54&gt;$AD$2),NA(),COUNTIF(INDEX($CR$55:$CX$90,INDEX($U$4:$U$11,1,1),$AC$2):INDEX($CR$55:$CX$90,INDEX($U$4:$U$11,1,1)+ROW()-55,$AC$2),FA$53))</f>
        <v>#N/A</v>
      </c>
      <c r="FC78" t="e">
        <f>IF(OR(ROW()-54&gt;INDEX($U$4:$U$11,$AC$2+1,1)-INDEX($U$4:$U$11,$AC$2,1),ROW()-54&gt;$AD$2),NA(),COUNTIF(INDEX($CR$55:$CX$90,INDEX($U$4:$U$11,1,1),$AC$2):INDEX($CR$55:$CX$90,INDEX($U$4:$U$11,1,1)+ROW()-55,$AC$2),FC$53))</f>
        <v>#N/A</v>
      </c>
      <c r="FD78" t="e">
        <f>IF(OR(ROW()-54&gt;INDEX($U$4:$U$11,$AC$2+1,1)-INDEX($U$4:$U$11,$AC$2,1),ROW()-54&gt;$AD$2),NA(),COUNTIF(INDEX($CR$55:$CX$90,INDEX($U$4:$U$11,1,1),$AC$2):INDEX($CR$55:$CX$90,INDEX($U$4:$U$11,1,1)+ROW()-55,$AC$2),FD$53))</f>
        <v>#N/A</v>
      </c>
      <c r="FE78" t="e">
        <f>IF(OR(ROW()-54&gt;INDEX($U$4:$U$11,$AC$2+1,1)-INDEX($U$4:$U$11,$AC$2,1),ROW()-54&gt;$AD$2),NA(),COUNTIF(INDEX($CR$55:$CX$90,INDEX($U$4:$U$11,1,1),$AC$2):INDEX($CR$55:$CX$90,INDEX($U$4:$U$11,1,1)+ROW()-55,$AC$2),FE$53))</f>
        <v>#N/A</v>
      </c>
      <c r="FF78" t="e">
        <f>IF(OR(ROW()-54&gt;INDEX($U$4:$U$11,$AC$2+1,1)-INDEX($U$4:$U$11,$AC$2,1),ROW()-54&gt;$AD$2),NA(),COUNTIF(INDEX($CR$55:$CX$90,INDEX($U$4:$U$11,1,1),$AC$2):INDEX($CR$55:$CX$90,INDEX($U$4:$U$11,1,1)+ROW()-55,$AC$2),FF$53))</f>
        <v>#N/A</v>
      </c>
      <c r="FG78" t="e">
        <f>IF(OR(ROW()-54&gt;INDEX($U$4:$U$11,$AC$2+1,1)-INDEX($U$4:$U$11,$AC$2,1),ROW()-54&gt;$AD$2),NA(),COUNTIF(INDEX($CR$55:$CX$90,INDEX($U$4:$U$11,1,1),$AC$2):INDEX($CR$55:$CX$90,INDEX($U$4:$U$11,1,1)+ROW()-55,$AC$2),FG$53))</f>
        <v>#N/A</v>
      </c>
      <c r="FH78" t="e">
        <f>IF(OR(ROW()-54&gt;INDEX($U$4:$U$11,$AC$2+1,1)-INDEX($U$4:$U$11,$AC$2,1),ROW()-54&gt;$AD$2),NA(),COUNTIF(INDEX($CR$55:$CX$90,INDEX($U$4:$U$11,1,1),$AC$2):INDEX($CR$55:$CX$90,INDEX($U$4:$U$11,1,1)+ROW()-55,$AC$2),FH$53))</f>
        <v>#N/A</v>
      </c>
      <c r="FI78" t="e">
        <f>IF(OR(ROW()-54&gt;INDEX($U$4:$U$11,$AC$2+1,1)-INDEX($U$4:$U$11,$AC$2,1),ROW()-54&gt;$AD$2),NA(),COUNTIF(INDEX($CR$55:$CX$90,INDEX($U$4:$U$11,1,1),$AC$2):INDEX($CR$55:$CX$90,INDEX($U$4:$U$11,1,1)+ROW()-55,$AC$2),FI$53))</f>
        <v>#N/A</v>
      </c>
      <c r="FJ78" t="e">
        <f>IF(OR(ROW()-54&gt;INDEX($U$4:$U$11,$AC$2+1,1)-INDEX($U$4:$U$11,$AC$2,1),ROW()-54&gt;$AD$2),NA(),COUNTIF(INDEX($CR$55:$CX$90,INDEX($U$4:$U$11,1,1),$AC$2):INDEX($CR$55:$CX$90,INDEX($U$4:$U$11,1,1)+ROW()-55,$AC$2),FJ$53))</f>
        <v>#N/A</v>
      </c>
    </row>
    <row r="79" spans="1:166" x14ac:dyDescent="0.45">
      <c r="A79">
        <f>データの貼付!A77</f>
        <v>0</v>
      </c>
      <c r="B79">
        <f>データの貼付!B77</f>
        <v>0</v>
      </c>
      <c r="C79">
        <f>データの貼付!C77</f>
        <v>0</v>
      </c>
      <c r="D79">
        <f>データの貼付!D77</f>
        <v>0</v>
      </c>
      <c r="E79">
        <f>データの貼付!F77</f>
        <v>0</v>
      </c>
      <c r="F79">
        <f>データの貼付!E77</f>
        <v>0</v>
      </c>
      <c r="G79">
        <f>データの貼付!G77</f>
        <v>0</v>
      </c>
      <c r="H79">
        <f>データの貼付!H77</f>
        <v>0</v>
      </c>
      <c r="I79">
        <f>データの貼付!I77</f>
        <v>0</v>
      </c>
      <c r="J79">
        <f>データの貼付!J77</f>
        <v>0</v>
      </c>
      <c r="K79">
        <f>データの貼付!K77</f>
        <v>0</v>
      </c>
      <c r="L79">
        <f>データの貼付!L77</f>
        <v>0</v>
      </c>
      <c r="M79">
        <f>データの貼付!M77</f>
        <v>0</v>
      </c>
      <c r="N79">
        <f>データの貼付!N77</f>
        <v>0</v>
      </c>
      <c r="R79">
        <f t="shared" si="179"/>
        <v>1</v>
      </c>
      <c r="S79">
        <f>SUM(R$4:R79)</f>
        <v>6</v>
      </c>
      <c r="T79" t="str">
        <f t="shared" si="180"/>
        <v/>
      </c>
      <c r="W79" t="str">
        <f t="shared" si="177"/>
        <v>0_0</v>
      </c>
      <c r="X79" t="str">
        <f t="shared" si="178"/>
        <v>0_0</v>
      </c>
      <c r="BL79" t="e">
        <f t="shared" si="162"/>
        <v>#VALUE!</v>
      </c>
      <c r="BM79" t="e">
        <f t="shared" si="181"/>
        <v>#VALUE!</v>
      </c>
      <c r="BN79" t="e">
        <f t="shared" si="182"/>
        <v>#VALUE!</v>
      </c>
      <c r="BO79" t="e">
        <f t="shared" si="183"/>
        <v>#VALUE!</v>
      </c>
      <c r="BP79" t="e">
        <f t="shared" si="184"/>
        <v>#VALUE!</v>
      </c>
      <c r="BQ79" t="e">
        <f t="shared" si="185"/>
        <v>#VALUE!</v>
      </c>
      <c r="BR79" t="e">
        <f t="shared" si="186"/>
        <v>#VALUE!</v>
      </c>
      <c r="CR79" t="e">
        <f t="shared" si="170"/>
        <v>#VALUE!</v>
      </c>
      <c r="CS79" t="e">
        <f t="shared" si="171"/>
        <v>#VALUE!</v>
      </c>
      <c r="CT79" t="e">
        <f t="shared" si="172"/>
        <v>#VALUE!</v>
      </c>
      <c r="CU79" t="e">
        <f t="shared" si="173"/>
        <v>#VALUE!</v>
      </c>
      <c r="CV79" t="e">
        <f t="shared" si="174"/>
        <v>#VALUE!</v>
      </c>
      <c r="CW79" t="e">
        <f t="shared" si="175"/>
        <v>#VALUE!</v>
      </c>
      <c r="CX79" t="e">
        <f t="shared" si="176"/>
        <v>#VALUE!</v>
      </c>
      <c r="DH79" t="e">
        <f>IF(OR(ROW()-54&gt;INDEX($U$4:$U$11,$AC$2+1,1)-INDEX($U$4:$U$11,$AC$2,1),ROW()-54&gt;$AD$2),NA(),COUNTIF(INDEX($BL$55:$BR$100,INDEX($U$4:$U$11,1,1),$AC$2):INDEX($BL$55:$BR$100,INDEX($U$4:$U$11,1,1)+ROW()-55,$AC$2),DH$53))</f>
        <v>#N/A</v>
      </c>
      <c r="DI79" t="e">
        <f>IF(OR(ROW()-54&gt;INDEX($U$4:$U$11,$AC$2+1,1)-INDEX($U$4:$U$11,$AC$2,1),ROW()-54&gt;$AD$2),NA(),COUNTIF(INDEX($BL$55:$BR$100,INDEX($U$4:$U$11,1,1),$AC$2):INDEX($BL$55:$BR$100,INDEX($U$4:$U$11,1,1)+ROW()-55,$AC$2),DI$53))</f>
        <v>#N/A</v>
      </c>
      <c r="DJ79" t="e">
        <f>IF(OR(ROW()-54&gt;INDEX($U$4:$U$11,$AC$2+1,1)-INDEX($U$4:$U$11,$AC$2,1),ROW()-54&gt;$AD$2),NA(),COUNTIF(INDEX($BL$55:$BR$100,INDEX($U$4:$U$11,1,1),$AC$2):INDEX($BL$55:$BR$100,INDEX($U$4:$U$11,1,1)+ROW()-55,$AC$2),DJ$53))</f>
        <v>#N/A</v>
      </c>
      <c r="DL79" t="e">
        <f>IF(OR(ROW()-54&gt;INDEX($U$4:$U$11,$AC$2+1,1)-INDEX($U$4:$U$11,$AC$2,1),ROW()-54&gt;$AD$2),NA(),COUNTIF(INDEX($BL$55:$BR$100,INDEX($U$4:$U$11,1,1),$AC$2):INDEX($BL$55:$BR$100,INDEX($U$4:$U$11,1,1)+ROW()-55,$AC$2),DL$53))</f>
        <v>#N/A</v>
      </c>
      <c r="DM79" t="e">
        <f>IF(OR(ROW()-54&gt;INDEX($U$4:$U$11,$AC$2+1,1)-INDEX($U$4:$U$11,$AC$2,1),ROW()-54&gt;$AD$2),NA(),COUNTIF(INDEX($BL$55:$BR$100,INDEX($U$4:$U$11,1,1),$AC$2):INDEX($BL$5:$BR$50,INDEX($U$4:$U$11,1,1)+ROW()-55,$AC$2),DM$53))</f>
        <v>#N/A</v>
      </c>
      <c r="DN79" t="e">
        <f>IF(OR(ROW()-54&gt;INDEX($U$4:$U$11,$AC$2+1,1)-INDEX($U$4:$U$11,$AC$2,1),ROW()-54&gt;$AD$2),NA(),COUNTIF(INDEX($BL$55:$BR$100,INDEX($U$4:$U$11,1,1),$AC$2):INDEX($BL$55:$BR$100,INDEX($U$4:$U$11,1,1)+ROW()-55,$AC$2),DN$53))</f>
        <v>#N/A</v>
      </c>
      <c r="ET79" t="e">
        <f>IF(OR(ROW()-54&gt;INDEX($U$4:$U$11,$AC$2+1,1)-INDEX($U$4:$U$11,$AC$2,1),ROW()-54&gt;$AD$2),NA(),COUNTIF(INDEX($CR$55:$CX$90,INDEX($U$4:$U$11,1,1),$AC$2):INDEX($CR$55:$CX$90,INDEX($U$4:$U$11,1,1)+ROW()-55,$AC$2),ET$53))</f>
        <v>#N/A</v>
      </c>
      <c r="EU79" t="e">
        <f>IF(OR(ROW()-54&gt;INDEX($U$4:$U$11,$AC$2+1,1)-INDEX($U$4:$U$11,$AC$2,1),ROW()-54&gt;$AD$2),NA(),COUNTIF(INDEX($CR$55:$CX$90,INDEX($U$4:$U$11,1,1),$AC$2):INDEX($CR$55:$CX$90,INDEX($U$4:$U$11,1,1)+ROW()-55,$AC$2),EU$53))</f>
        <v>#N/A</v>
      </c>
      <c r="EV79" t="e">
        <f>IF(OR(ROW()-54&gt;INDEX($U$4:$U$11,$AC$2+1,1)-INDEX($U$4:$U$11,$AC$2,1),ROW()-54&gt;$AD$2),NA(),COUNTIF(INDEX($CR$55:$CX$90,INDEX($U$4:$U$11,1,1),$AC$2):INDEX($CR$55:$CX$90,INDEX($U$4:$U$11,1,1)+ROW()-55,$AC$2),EV$53))</f>
        <v>#N/A</v>
      </c>
      <c r="EW79" t="e">
        <f>IF(OR(ROW()-54&gt;INDEX($U$4:$U$11,$AC$2+1,1)-INDEX($U$4:$U$11,$AC$2,1),ROW()-54&gt;$AD$2),NA(),COUNTIF(INDEX($CR$55:$CX$90,INDEX($U$4:$U$11,1,1),$AC$2):INDEX($CR$55:$CX$90,INDEX($U$4:$U$11,1,1)+ROW()-55,$AC$2),EW$53))</f>
        <v>#N/A</v>
      </c>
      <c r="EX79" t="e">
        <f>IF(OR(ROW()-54&gt;INDEX($U$4:$U$11,$AC$2+1,1)-INDEX($U$4:$U$11,$AC$2,1),ROW()-54&gt;$AD$2),NA(),COUNTIF(INDEX($CR$55:$CX$90,INDEX($U$4:$U$11,1,1),$AC$2):INDEX($CR$55:$CX$90,INDEX($U$4:$U$11,1,1)+ROW()-55,$AC$2),EX$53))</f>
        <v>#N/A</v>
      </c>
      <c r="EY79" t="e">
        <f>IF(OR(ROW()-54&gt;INDEX($U$4:$U$11,$AC$2+1,1)-INDEX($U$4:$U$11,$AC$2,1),ROW()-54&gt;$AD$2),NA(),COUNTIF(INDEX($CR$55:$CX$90,INDEX($U$4:$U$11,1,1),$AC$2):INDEX($CR$55:$CX$90,INDEX($U$4:$U$11,1,1)+ROW()-55,$AC$2),EY$53))</f>
        <v>#N/A</v>
      </c>
      <c r="EZ79" t="e">
        <f>IF(OR(ROW()-54&gt;INDEX($U$4:$U$11,$AC$2+1,1)-INDEX($U$4:$U$11,$AC$2,1),ROW()-54&gt;$AD$2),NA(),COUNTIF(INDEX($CR$55:$CX$90,INDEX($U$4:$U$11,1,1),$AC$2):INDEX($CR$55:$CX$90,INDEX($U$4:$U$11,1,1)+ROW()-55,$AC$2),EZ$53))</f>
        <v>#N/A</v>
      </c>
      <c r="FA79" t="e">
        <f>IF(OR(ROW()-54&gt;INDEX($U$4:$U$11,$AC$2+1,1)-INDEX($U$4:$U$11,$AC$2,1),ROW()-54&gt;$AD$2),NA(),COUNTIF(INDEX($CR$55:$CX$90,INDEX($U$4:$U$11,1,1),$AC$2):INDEX($CR$55:$CX$90,INDEX($U$4:$U$11,1,1)+ROW()-55,$AC$2),FA$53))</f>
        <v>#N/A</v>
      </c>
      <c r="FC79" t="e">
        <f>IF(OR(ROW()-54&gt;INDEX($U$4:$U$11,$AC$2+1,1)-INDEX($U$4:$U$11,$AC$2,1),ROW()-54&gt;$AD$2),NA(),COUNTIF(INDEX($CR$55:$CX$90,INDEX($U$4:$U$11,1,1),$AC$2):INDEX($CR$55:$CX$90,INDEX($U$4:$U$11,1,1)+ROW()-55,$AC$2),FC$53))</f>
        <v>#N/A</v>
      </c>
      <c r="FD79" t="e">
        <f>IF(OR(ROW()-54&gt;INDEX($U$4:$U$11,$AC$2+1,1)-INDEX($U$4:$U$11,$AC$2,1),ROW()-54&gt;$AD$2),NA(),COUNTIF(INDEX($CR$55:$CX$90,INDEX($U$4:$U$11,1,1),$AC$2):INDEX($CR$55:$CX$90,INDEX($U$4:$U$11,1,1)+ROW()-55,$AC$2),FD$53))</f>
        <v>#N/A</v>
      </c>
      <c r="FE79" t="e">
        <f>IF(OR(ROW()-54&gt;INDEX($U$4:$U$11,$AC$2+1,1)-INDEX($U$4:$U$11,$AC$2,1),ROW()-54&gt;$AD$2),NA(),COUNTIF(INDEX($CR$55:$CX$90,INDEX($U$4:$U$11,1,1),$AC$2):INDEX($CR$55:$CX$90,INDEX($U$4:$U$11,1,1)+ROW()-55,$AC$2),FE$53))</f>
        <v>#N/A</v>
      </c>
      <c r="FF79" t="e">
        <f>IF(OR(ROW()-54&gt;INDEX($U$4:$U$11,$AC$2+1,1)-INDEX($U$4:$U$11,$AC$2,1),ROW()-54&gt;$AD$2),NA(),COUNTIF(INDEX($CR$55:$CX$90,INDEX($U$4:$U$11,1,1),$AC$2):INDEX($CR$55:$CX$90,INDEX($U$4:$U$11,1,1)+ROW()-55,$AC$2),FF$53))</f>
        <v>#N/A</v>
      </c>
      <c r="FG79" t="e">
        <f>IF(OR(ROW()-54&gt;INDEX($U$4:$U$11,$AC$2+1,1)-INDEX($U$4:$U$11,$AC$2,1),ROW()-54&gt;$AD$2),NA(),COUNTIF(INDEX($CR$55:$CX$90,INDEX($U$4:$U$11,1,1),$AC$2):INDEX($CR$55:$CX$90,INDEX($U$4:$U$11,1,1)+ROW()-55,$AC$2),FG$53))</f>
        <v>#N/A</v>
      </c>
      <c r="FH79" t="e">
        <f>IF(OR(ROW()-54&gt;INDEX($U$4:$U$11,$AC$2+1,1)-INDEX($U$4:$U$11,$AC$2,1),ROW()-54&gt;$AD$2),NA(),COUNTIF(INDEX($CR$55:$CX$90,INDEX($U$4:$U$11,1,1),$AC$2):INDEX($CR$55:$CX$90,INDEX($U$4:$U$11,1,1)+ROW()-55,$AC$2),FH$53))</f>
        <v>#N/A</v>
      </c>
      <c r="FI79" t="e">
        <f>IF(OR(ROW()-54&gt;INDEX($U$4:$U$11,$AC$2+1,1)-INDEX($U$4:$U$11,$AC$2,1),ROW()-54&gt;$AD$2),NA(),COUNTIF(INDEX($CR$55:$CX$90,INDEX($U$4:$U$11,1,1),$AC$2):INDEX($CR$55:$CX$90,INDEX($U$4:$U$11,1,1)+ROW()-55,$AC$2),FI$53))</f>
        <v>#N/A</v>
      </c>
      <c r="FJ79" t="e">
        <f>IF(OR(ROW()-54&gt;INDEX($U$4:$U$11,$AC$2+1,1)-INDEX($U$4:$U$11,$AC$2,1),ROW()-54&gt;$AD$2),NA(),COUNTIF(INDEX($CR$55:$CX$90,INDEX($U$4:$U$11,1,1),$AC$2):INDEX($CR$55:$CX$90,INDEX($U$4:$U$11,1,1)+ROW()-55,$AC$2),FJ$53))</f>
        <v>#N/A</v>
      </c>
    </row>
    <row r="80" spans="1:166" x14ac:dyDescent="0.45">
      <c r="A80">
        <f>データの貼付!A78</f>
        <v>0</v>
      </c>
      <c r="B80">
        <f>データの貼付!B78</f>
        <v>0</v>
      </c>
      <c r="C80">
        <f>データの貼付!C78</f>
        <v>0</v>
      </c>
      <c r="D80">
        <f>データの貼付!D78</f>
        <v>0</v>
      </c>
      <c r="E80">
        <f>データの貼付!F78</f>
        <v>0</v>
      </c>
      <c r="F80">
        <f>データの貼付!E78</f>
        <v>0</v>
      </c>
      <c r="G80">
        <f>データの貼付!G78</f>
        <v>0</v>
      </c>
      <c r="H80">
        <f>データの貼付!H78</f>
        <v>0</v>
      </c>
      <c r="I80">
        <f>データの貼付!I78</f>
        <v>0</v>
      </c>
      <c r="J80">
        <f>データの貼付!J78</f>
        <v>0</v>
      </c>
      <c r="K80">
        <f>データの貼付!K78</f>
        <v>0</v>
      </c>
      <c r="L80">
        <f>データの貼付!L78</f>
        <v>0</v>
      </c>
      <c r="M80">
        <f>データの貼付!M78</f>
        <v>0</v>
      </c>
      <c r="N80">
        <f>データの貼付!N78</f>
        <v>0</v>
      </c>
      <c r="R80">
        <f t="shared" si="179"/>
        <v>0</v>
      </c>
      <c r="S80">
        <f>SUM(R$4:R80)</f>
        <v>6</v>
      </c>
      <c r="T80" t="str">
        <f t="shared" si="180"/>
        <v/>
      </c>
      <c r="W80" t="str">
        <f t="shared" si="177"/>
        <v>0_0</v>
      </c>
      <c r="X80" t="str">
        <f t="shared" si="178"/>
        <v>0_0</v>
      </c>
      <c r="BL80" t="e">
        <f t="shared" si="162"/>
        <v>#VALUE!</v>
      </c>
      <c r="BM80" t="e">
        <f t="shared" si="181"/>
        <v>#VALUE!</v>
      </c>
      <c r="BN80" t="e">
        <f t="shared" si="182"/>
        <v>#VALUE!</v>
      </c>
      <c r="BO80" t="e">
        <f t="shared" si="183"/>
        <v>#VALUE!</v>
      </c>
      <c r="BP80" t="e">
        <f t="shared" si="184"/>
        <v>#VALUE!</v>
      </c>
      <c r="BQ80" t="e">
        <f t="shared" si="185"/>
        <v>#VALUE!</v>
      </c>
      <c r="BR80" t="e">
        <f t="shared" si="186"/>
        <v>#VALUE!</v>
      </c>
      <c r="CR80" t="e">
        <f t="shared" si="170"/>
        <v>#VALUE!</v>
      </c>
      <c r="CS80" t="e">
        <f t="shared" si="171"/>
        <v>#VALUE!</v>
      </c>
      <c r="CT80" t="e">
        <f t="shared" si="172"/>
        <v>#VALUE!</v>
      </c>
      <c r="CU80" t="e">
        <f t="shared" si="173"/>
        <v>#VALUE!</v>
      </c>
      <c r="CV80" t="e">
        <f t="shared" si="174"/>
        <v>#VALUE!</v>
      </c>
      <c r="CW80" t="e">
        <f t="shared" si="175"/>
        <v>#VALUE!</v>
      </c>
      <c r="CX80" t="e">
        <f t="shared" si="176"/>
        <v>#VALUE!</v>
      </c>
      <c r="DH80" t="e">
        <f>IF(OR(ROW()-54&gt;INDEX($U$4:$U$11,$AC$2+1,1)-INDEX($U$4:$U$11,$AC$2,1),ROW()-54&gt;$AD$2),NA(),COUNTIF(INDEX($BL$55:$BR$100,INDEX($U$4:$U$11,1,1),$AC$2):INDEX($BL$55:$BR$100,INDEX($U$4:$U$11,1,1)+ROW()-55,$AC$2),DH$53))</f>
        <v>#N/A</v>
      </c>
      <c r="DI80" t="e">
        <f>IF(OR(ROW()-54&gt;INDEX($U$4:$U$11,$AC$2+1,1)-INDEX($U$4:$U$11,$AC$2,1),ROW()-54&gt;$AD$2),NA(),COUNTIF(INDEX($BL$55:$BR$100,INDEX($U$4:$U$11,1,1),$AC$2):INDEX($BL$55:$BR$100,INDEX($U$4:$U$11,1,1)+ROW()-55,$AC$2),DI$53))</f>
        <v>#N/A</v>
      </c>
      <c r="DJ80" t="e">
        <f>IF(OR(ROW()-54&gt;INDEX($U$4:$U$11,$AC$2+1,1)-INDEX($U$4:$U$11,$AC$2,1),ROW()-54&gt;$AD$2),NA(),COUNTIF(INDEX($BL$55:$BR$100,INDEX($U$4:$U$11,1,1),$AC$2):INDEX($BL$55:$BR$100,INDEX($U$4:$U$11,1,1)+ROW()-55,$AC$2),DJ$53))</f>
        <v>#N/A</v>
      </c>
      <c r="DL80" t="e">
        <f>IF(OR(ROW()-54&gt;INDEX($U$4:$U$11,$AC$2+1,1)-INDEX($U$4:$U$11,$AC$2,1),ROW()-54&gt;$AD$2),NA(),COUNTIF(INDEX($BL$55:$BR$100,INDEX($U$4:$U$11,1,1),$AC$2):INDEX($BL$55:$BR$100,INDEX($U$4:$U$11,1,1)+ROW()-55,$AC$2),DL$53))</f>
        <v>#N/A</v>
      </c>
      <c r="DM80" t="e">
        <f>IF(OR(ROW()-54&gt;INDEX($U$4:$U$11,$AC$2+1,1)-INDEX($U$4:$U$11,$AC$2,1),ROW()-54&gt;$AD$2),NA(),COUNTIF(INDEX($BL$55:$BR$100,INDEX($U$4:$U$11,1,1),$AC$2):INDEX($BL$5:$BR$50,INDEX($U$4:$U$11,1,1)+ROW()-55,$AC$2),DM$53))</f>
        <v>#N/A</v>
      </c>
      <c r="DN80" t="e">
        <f>IF(OR(ROW()-54&gt;INDEX($U$4:$U$11,$AC$2+1,1)-INDEX($U$4:$U$11,$AC$2,1),ROW()-54&gt;$AD$2),NA(),COUNTIF(INDEX($BL$55:$BR$100,INDEX($U$4:$U$11,1,1),$AC$2):INDEX($BL$55:$BR$100,INDEX($U$4:$U$11,1,1)+ROW()-55,$AC$2),DN$53))</f>
        <v>#N/A</v>
      </c>
      <c r="ET80" t="e">
        <f>IF(OR(ROW()-54&gt;INDEX($U$4:$U$11,$AC$2+1,1)-INDEX($U$4:$U$11,$AC$2,1),ROW()-54&gt;$AD$2),NA(),COUNTIF(INDEX($CR$55:$CX$90,INDEX($U$4:$U$11,1,1),$AC$2):INDEX($CR$55:$CX$90,INDEX($U$4:$U$11,1,1)+ROW()-55,$AC$2),ET$53))</f>
        <v>#N/A</v>
      </c>
      <c r="EU80" t="e">
        <f>IF(OR(ROW()-54&gt;INDEX($U$4:$U$11,$AC$2+1,1)-INDEX($U$4:$U$11,$AC$2,1),ROW()-54&gt;$AD$2),NA(),COUNTIF(INDEX($CR$55:$CX$90,INDEX($U$4:$U$11,1,1),$AC$2):INDEX($CR$55:$CX$90,INDEX($U$4:$U$11,1,1)+ROW()-55,$AC$2),EU$53))</f>
        <v>#N/A</v>
      </c>
      <c r="EV80" t="e">
        <f>IF(OR(ROW()-54&gt;INDEX($U$4:$U$11,$AC$2+1,1)-INDEX($U$4:$U$11,$AC$2,1),ROW()-54&gt;$AD$2),NA(),COUNTIF(INDEX($CR$55:$CX$90,INDEX($U$4:$U$11,1,1),$AC$2):INDEX($CR$55:$CX$90,INDEX($U$4:$U$11,1,1)+ROW()-55,$AC$2),EV$53))</f>
        <v>#N/A</v>
      </c>
      <c r="EW80" t="e">
        <f>IF(OR(ROW()-54&gt;INDEX($U$4:$U$11,$AC$2+1,1)-INDEX($U$4:$U$11,$AC$2,1),ROW()-54&gt;$AD$2),NA(),COUNTIF(INDEX($CR$55:$CX$90,INDEX($U$4:$U$11,1,1),$AC$2):INDEX($CR$55:$CX$90,INDEX($U$4:$U$11,1,1)+ROW()-55,$AC$2),EW$53))</f>
        <v>#N/A</v>
      </c>
      <c r="EX80" t="e">
        <f>IF(OR(ROW()-54&gt;INDEX($U$4:$U$11,$AC$2+1,1)-INDEX($U$4:$U$11,$AC$2,1),ROW()-54&gt;$AD$2),NA(),COUNTIF(INDEX($CR$55:$CX$90,INDEX($U$4:$U$11,1,1),$AC$2):INDEX($CR$55:$CX$90,INDEX($U$4:$U$11,1,1)+ROW()-55,$AC$2),EX$53))</f>
        <v>#N/A</v>
      </c>
      <c r="EY80" t="e">
        <f>IF(OR(ROW()-54&gt;INDEX($U$4:$U$11,$AC$2+1,1)-INDEX($U$4:$U$11,$AC$2,1),ROW()-54&gt;$AD$2),NA(),COUNTIF(INDEX($CR$55:$CX$90,INDEX($U$4:$U$11,1,1),$AC$2):INDEX($CR$55:$CX$90,INDEX($U$4:$U$11,1,1)+ROW()-55,$AC$2),EY$53))</f>
        <v>#N/A</v>
      </c>
      <c r="EZ80" t="e">
        <f>IF(OR(ROW()-54&gt;INDEX($U$4:$U$11,$AC$2+1,1)-INDEX($U$4:$U$11,$AC$2,1),ROW()-54&gt;$AD$2),NA(),COUNTIF(INDEX($CR$55:$CX$90,INDEX($U$4:$U$11,1,1),$AC$2):INDEX($CR$55:$CX$90,INDEX($U$4:$U$11,1,1)+ROW()-55,$AC$2),EZ$53))</f>
        <v>#N/A</v>
      </c>
      <c r="FA80" t="e">
        <f>IF(OR(ROW()-54&gt;INDEX($U$4:$U$11,$AC$2+1,1)-INDEX($U$4:$U$11,$AC$2,1),ROW()-54&gt;$AD$2),NA(),COUNTIF(INDEX($CR$55:$CX$90,INDEX($U$4:$U$11,1,1),$AC$2):INDEX($CR$55:$CX$90,INDEX($U$4:$U$11,1,1)+ROW()-55,$AC$2),FA$53))</f>
        <v>#N/A</v>
      </c>
      <c r="FC80" t="e">
        <f>IF(OR(ROW()-54&gt;INDEX($U$4:$U$11,$AC$2+1,1)-INDEX($U$4:$U$11,$AC$2,1),ROW()-54&gt;$AD$2),NA(),COUNTIF(INDEX($CR$55:$CX$90,INDEX($U$4:$U$11,1,1),$AC$2):INDEX($CR$55:$CX$90,INDEX($U$4:$U$11,1,1)+ROW()-55,$AC$2),FC$53))</f>
        <v>#N/A</v>
      </c>
      <c r="FD80" t="e">
        <f>IF(OR(ROW()-54&gt;INDEX($U$4:$U$11,$AC$2+1,1)-INDEX($U$4:$U$11,$AC$2,1),ROW()-54&gt;$AD$2),NA(),COUNTIF(INDEX($CR$55:$CX$90,INDEX($U$4:$U$11,1,1),$AC$2):INDEX($CR$55:$CX$90,INDEX($U$4:$U$11,1,1)+ROW()-55,$AC$2),FD$53))</f>
        <v>#N/A</v>
      </c>
      <c r="FE80" t="e">
        <f>IF(OR(ROW()-54&gt;INDEX($U$4:$U$11,$AC$2+1,1)-INDEX($U$4:$U$11,$AC$2,1),ROW()-54&gt;$AD$2),NA(),COUNTIF(INDEX($CR$55:$CX$90,INDEX($U$4:$U$11,1,1),$AC$2):INDEX($CR$55:$CX$90,INDEX($U$4:$U$11,1,1)+ROW()-55,$AC$2),FE$53))</f>
        <v>#N/A</v>
      </c>
      <c r="FF80" t="e">
        <f>IF(OR(ROW()-54&gt;INDEX($U$4:$U$11,$AC$2+1,1)-INDEX($U$4:$U$11,$AC$2,1),ROW()-54&gt;$AD$2),NA(),COUNTIF(INDEX($CR$55:$CX$90,INDEX($U$4:$U$11,1,1),$AC$2):INDEX($CR$55:$CX$90,INDEX($U$4:$U$11,1,1)+ROW()-55,$AC$2),FF$53))</f>
        <v>#N/A</v>
      </c>
      <c r="FG80" t="e">
        <f>IF(OR(ROW()-54&gt;INDEX($U$4:$U$11,$AC$2+1,1)-INDEX($U$4:$U$11,$AC$2,1),ROW()-54&gt;$AD$2),NA(),COUNTIF(INDEX($CR$55:$CX$90,INDEX($U$4:$U$11,1,1),$AC$2):INDEX($CR$55:$CX$90,INDEX($U$4:$U$11,1,1)+ROW()-55,$AC$2),FG$53))</f>
        <v>#N/A</v>
      </c>
      <c r="FH80" t="e">
        <f>IF(OR(ROW()-54&gt;INDEX($U$4:$U$11,$AC$2+1,1)-INDEX($U$4:$U$11,$AC$2,1),ROW()-54&gt;$AD$2),NA(),COUNTIF(INDEX($CR$55:$CX$90,INDEX($U$4:$U$11,1,1),$AC$2):INDEX($CR$55:$CX$90,INDEX($U$4:$U$11,1,1)+ROW()-55,$AC$2),FH$53))</f>
        <v>#N/A</v>
      </c>
      <c r="FI80" t="e">
        <f>IF(OR(ROW()-54&gt;INDEX($U$4:$U$11,$AC$2+1,1)-INDEX($U$4:$U$11,$AC$2,1),ROW()-54&gt;$AD$2),NA(),COUNTIF(INDEX($CR$55:$CX$90,INDEX($U$4:$U$11,1,1),$AC$2):INDEX($CR$55:$CX$90,INDEX($U$4:$U$11,1,1)+ROW()-55,$AC$2),FI$53))</f>
        <v>#N/A</v>
      </c>
      <c r="FJ80" t="e">
        <f>IF(OR(ROW()-54&gt;INDEX($U$4:$U$11,$AC$2+1,1)-INDEX($U$4:$U$11,$AC$2,1),ROW()-54&gt;$AD$2),NA(),COUNTIF(INDEX($CR$55:$CX$90,INDEX($U$4:$U$11,1,1),$AC$2):INDEX($CR$55:$CX$90,INDEX($U$4:$U$11,1,1)+ROW()-55,$AC$2),FJ$53))</f>
        <v>#N/A</v>
      </c>
    </row>
    <row r="81" spans="1:166" x14ac:dyDescent="0.45">
      <c r="A81">
        <f>データの貼付!A79</f>
        <v>0</v>
      </c>
      <c r="B81">
        <f>データの貼付!B79</f>
        <v>0</v>
      </c>
      <c r="C81">
        <f>データの貼付!C79</f>
        <v>0</v>
      </c>
      <c r="D81">
        <f>データの貼付!D79</f>
        <v>0</v>
      </c>
      <c r="E81">
        <f>データの貼付!F79</f>
        <v>0</v>
      </c>
      <c r="F81">
        <f>データの貼付!E79</f>
        <v>0</v>
      </c>
      <c r="G81">
        <f>データの貼付!G79</f>
        <v>0</v>
      </c>
      <c r="H81">
        <f>データの貼付!H79</f>
        <v>0</v>
      </c>
      <c r="I81">
        <f>データの貼付!I79</f>
        <v>0</v>
      </c>
      <c r="J81">
        <f>データの貼付!J79</f>
        <v>0</v>
      </c>
      <c r="K81">
        <f>データの貼付!K79</f>
        <v>0</v>
      </c>
      <c r="L81">
        <f>データの貼付!L79</f>
        <v>0</v>
      </c>
      <c r="M81">
        <f>データの貼付!M79</f>
        <v>0</v>
      </c>
      <c r="N81">
        <f>データの貼付!N79</f>
        <v>0</v>
      </c>
      <c r="R81">
        <f t="shared" si="179"/>
        <v>0</v>
      </c>
      <c r="S81">
        <f>SUM(R$4:R81)</f>
        <v>6</v>
      </c>
      <c r="T81" t="str">
        <f t="shared" si="180"/>
        <v/>
      </c>
      <c r="W81" t="str">
        <f t="shared" si="177"/>
        <v>0_0</v>
      </c>
      <c r="X81" t="str">
        <f t="shared" si="178"/>
        <v>0_0</v>
      </c>
      <c r="BL81" t="e">
        <f t="shared" si="162"/>
        <v>#VALUE!</v>
      </c>
      <c r="BM81" t="e">
        <f t="shared" si="181"/>
        <v>#VALUE!</v>
      </c>
      <c r="BN81" t="e">
        <f t="shared" si="182"/>
        <v>#VALUE!</v>
      </c>
      <c r="BO81" t="e">
        <f t="shared" si="183"/>
        <v>#VALUE!</v>
      </c>
      <c r="BP81" t="e">
        <f t="shared" si="184"/>
        <v>#VALUE!</v>
      </c>
      <c r="BQ81" t="e">
        <f t="shared" si="185"/>
        <v>#VALUE!</v>
      </c>
      <c r="BR81" t="e">
        <f t="shared" si="186"/>
        <v>#VALUE!</v>
      </c>
      <c r="CR81" t="e">
        <f t="shared" si="170"/>
        <v>#VALUE!</v>
      </c>
      <c r="CS81" t="e">
        <f t="shared" si="171"/>
        <v>#VALUE!</v>
      </c>
      <c r="CT81" t="e">
        <f t="shared" si="172"/>
        <v>#VALUE!</v>
      </c>
      <c r="CU81" t="e">
        <f t="shared" si="173"/>
        <v>#VALUE!</v>
      </c>
      <c r="CV81" t="e">
        <f t="shared" si="174"/>
        <v>#VALUE!</v>
      </c>
      <c r="CW81" t="e">
        <f t="shared" si="175"/>
        <v>#VALUE!</v>
      </c>
      <c r="CX81" t="e">
        <f t="shared" si="176"/>
        <v>#VALUE!</v>
      </c>
      <c r="DH81" t="e">
        <f>IF(OR(ROW()-54&gt;INDEX($U$4:$U$11,$AC$2+1,1)-INDEX($U$4:$U$11,$AC$2,1),ROW()-54&gt;$AD$2),NA(),COUNTIF(INDEX($BL$55:$BR$100,INDEX($U$4:$U$11,1,1),$AC$2):INDEX($BL$55:$BR$100,INDEX($U$4:$U$11,1,1)+ROW()-55,$AC$2),DH$53))</f>
        <v>#N/A</v>
      </c>
      <c r="DI81" t="e">
        <f>IF(OR(ROW()-54&gt;INDEX($U$4:$U$11,$AC$2+1,1)-INDEX($U$4:$U$11,$AC$2,1),ROW()-54&gt;$AD$2),NA(),COUNTIF(INDEX($BL$55:$BR$100,INDEX($U$4:$U$11,1,1),$AC$2):INDEX($BL$55:$BR$100,INDEX($U$4:$U$11,1,1)+ROW()-55,$AC$2),DI$53))</f>
        <v>#N/A</v>
      </c>
      <c r="DJ81" t="e">
        <f>IF(OR(ROW()-54&gt;INDEX($U$4:$U$11,$AC$2+1,1)-INDEX($U$4:$U$11,$AC$2,1),ROW()-54&gt;$AD$2),NA(),COUNTIF(INDEX($BL$55:$BR$100,INDEX($U$4:$U$11,1,1),$AC$2):INDEX($BL$55:$BR$100,INDEX($U$4:$U$11,1,1)+ROW()-55,$AC$2),DJ$53))</f>
        <v>#N/A</v>
      </c>
      <c r="DL81" t="e">
        <f>IF(OR(ROW()-54&gt;INDEX($U$4:$U$11,$AC$2+1,1)-INDEX($U$4:$U$11,$AC$2,1),ROW()-54&gt;$AD$2),NA(),COUNTIF(INDEX($BL$55:$BR$100,INDEX($U$4:$U$11,1,1),$AC$2):INDEX($BL$55:$BR$100,INDEX($U$4:$U$11,1,1)+ROW()-55,$AC$2),DL$53))</f>
        <v>#N/A</v>
      </c>
      <c r="DM81" t="e">
        <f>IF(OR(ROW()-54&gt;INDEX($U$4:$U$11,$AC$2+1,1)-INDEX($U$4:$U$11,$AC$2,1),ROW()-54&gt;$AD$2),NA(),COUNTIF(INDEX($BL$55:$BR$100,INDEX($U$4:$U$11,1,1),$AC$2):INDEX($BL$5:$BR$50,INDEX($U$4:$U$11,1,1)+ROW()-55,$AC$2),DM$53))</f>
        <v>#N/A</v>
      </c>
      <c r="DN81" t="e">
        <f>IF(OR(ROW()-54&gt;INDEX($U$4:$U$11,$AC$2+1,1)-INDEX($U$4:$U$11,$AC$2,1),ROW()-54&gt;$AD$2),NA(),COUNTIF(INDEX($BL$55:$BR$100,INDEX($U$4:$U$11,1,1),$AC$2):INDEX($BL$55:$BR$100,INDEX($U$4:$U$11,1,1)+ROW()-55,$AC$2),DN$53))</f>
        <v>#N/A</v>
      </c>
      <c r="ET81" t="e">
        <f>IF(OR(ROW()-54&gt;INDEX($U$4:$U$11,$AC$2+1,1)-INDEX($U$4:$U$11,$AC$2,1),ROW()-54&gt;$AD$2),NA(),COUNTIF(INDEX($CR$55:$CX$90,INDEX($U$4:$U$11,1,1),$AC$2):INDEX($CR$55:$CX$90,INDEX($U$4:$U$11,1,1)+ROW()-55,$AC$2),ET$53))</f>
        <v>#N/A</v>
      </c>
      <c r="EU81" t="e">
        <f>IF(OR(ROW()-54&gt;INDEX($U$4:$U$11,$AC$2+1,1)-INDEX($U$4:$U$11,$AC$2,1),ROW()-54&gt;$AD$2),NA(),COUNTIF(INDEX($CR$55:$CX$90,INDEX($U$4:$U$11,1,1),$AC$2):INDEX($CR$55:$CX$90,INDEX($U$4:$U$11,1,1)+ROW()-55,$AC$2),EU$53))</f>
        <v>#N/A</v>
      </c>
      <c r="EV81" t="e">
        <f>IF(OR(ROW()-54&gt;INDEX($U$4:$U$11,$AC$2+1,1)-INDEX($U$4:$U$11,$AC$2,1),ROW()-54&gt;$AD$2),NA(),COUNTIF(INDEX($CR$55:$CX$90,INDEX($U$4:$U$11,1,1),$AC$2):INDEX($CR$55:$CX$90,INDEX($U$4:$U$11,1,1)+ROW()-55,$AC$2),EV$53))</f>
        <v>#N/A</v>
      </c>
      <c r="EW81" t="e">
        <f>IF(OR(ROW()-54&gt;INDEX($U$4:$U$11,$AC$2+1,1)-INDEX($U$4:$U$11,$AC$2,1),ROW()-54&gt;$AD$2),NA(),COUNTIF(INDEX($CR$55:$CX$90,INDEX($U$4:$U$11,1,1),$AC$2):INDEX($CR$55:$CX$90,INDEX($U$4:$U$11,1,1)+ROW()-55,$AC$2),EW$53))</f>
        <v>#N/A</v>
      </c>
      <c r="EX81" t="e">
        <f>IF(OR(ROW()-54&gt;INDEX($U$4:$U$11,$AC$2+1,1)-INDEX($U$4:$U$11,$AC$2,1),ROW()-54&gt;$AD$2),NA(),COUNTIF(INDEX($CR$55:$CX$90,INDEX($U$4:$U$11,1,1),$AC$2):INDEX($CR$55:$CX$90,INDEX($U$4:$U$11,1,1)+ROW()-55,$AC$2),EX$53))</f>
        <v>#N/A</v>
      </c>
      <c r="EY81" t="e">
        <f>IF(OR(ROW()-54&gt;INDEX($U$4:$U$11,$AC$2+1,1)-INDEX($U$4:$U$11,$AC$2,1),ROW()-54&gt;$AD$2),NA(),COUNTIF(INDEX($CR$55:$CX$90,INDEX($U$4:$U$11,1,1),$AC$2):INDEX($CR$55:$CX$90,INDEX($U$4:$U$11,1,1)+ROW()-55,$AC$2),EY$53))</f>
        <v>#N/A</v>
      </c>
      <c r="EZ81" t="e">
        <f>IF(OR(ROW()-54&gt;INDEX($U$4:$U$11,$AC$2+1,1)-INDEX($U$4:$U$11,$AC$2,1),ROW()-54&gt;$AD$2),NA(),COUNTIF(INDEX($CR$55:$CX$90,INDEX($U$4:$U$11,1,1),$AC$2):INDEX($CR$55:$CX$90,INDEX($U$4:$U$11,1,1)+ROW()-55,$AC$2),EZ$53))</f>
        <v>#N/A</v>
      </c>
      <c r="FA81" t="e">
        <f>IF(OR(ROW()-54&gt;INDEX($U$4:$U$11,$AC$2+1,1)-INDEX($U$4:$U$11,$AC$2,1),ROW()-54&gt;$AD$2),NA(),COUNTIF(INDEX($CR$55:$CX$90,INDEX($U$4:$U$11,1,1),$AC$2):INDEX($CR$55:$CX$90,INDEX($U$4:$U$11,1,1)+ROW()-55,$AC$2),FA$53))</f>
        <v>#N/A</v>
      </c>
      <c r="FC81" t="e">
        <f>IF(OR(ROW()-54&gt;INDEX($U$4:$U$11,$AC$2+1,1)-INDEX($U$4:$U$11,$AC$2,1),ROW()-54&gt;$AD$2),NA(),COUNTIF(INDEX($CR$55:$CX$90,INDEX($U$4:$U$11,1,1),$AC$2):INDEX($CR$55:$CX$90,INDEX($U$4:$U$11,1,1)+ROW()-55,$AC$2),FC$53))</f>
        <v>#N/A</v>
      </c>
      <c r="FD81" t="e">
        <f>IF(OR(ROW()-54&gt;INDEX($U$4:$U$11,$AC$2+1,1)-INDEX($U$4:$U$11,$AC$2,1),ROW()-54&gt;$AD$2),NA(),COUNTIF(INDEX($CR$55:$CX$90,INDEX($U$4:$U$11,1,1),$AC$2):INDEX($CR$55:$CX$90,INDEX($U$4:$U$11,1,1)+ROW()-55,$AC$2),FD$53))</f>
        <v>#N/A</v>
      </c>
      <c r="FE81" t="e">
        <f>IF(OR(ROW()-54&gt;INDEX($U$4:$U$11,$AC$2+1,1)-INDEX($U$4:$U$11,$AC$2,1),ROW()-54&gt;$AD$2),NA(),COUNTIF(INDEX($CR$55:$CX$90,INDEX($U$4:$U$11,1,1),$AC$2):INDEX($CR$55:$CX$90,INDEX($U$4:$U$11,1,1)+ROW()-55,$AC$2),FE$53))</f>
        <v>#N/A</v>
      </c>
      <c r="FF81" t="e">
        <f>IF(OR(ROW()-54&gt;INDEX($U$4:$U$11,$AC$2+1,1)-INDEX($U$4:$U$11,$AC$2,1),ROW()-54&gt;$AD$2),NA(),COUNTIF(INDEX($CR$55:$CX$90,INDEX($U$4:$U$11,1,1),$AC$2):INDEX($CR$55:$CX$90,INDEX($U$4:$U$11,1,1)+ROW()-55,$AC$2),FF$53))</f>
        <v>#N/A</v>
      </c>
      <c r="FG81" t="e">
        <f>IF(OR(ROW()-54&gt;INDEX($U$4:$U$11,$AC$2+1,1)-INDEX($U$4:$U$11,$AC$2,1),ROW()-54&gt;$AD$2),NA(),COUNTIF(INDEX($CR$55:$CX$90,INDEX($U$4:$U$11,1,1),$AC$2):INDEX($CR$55:$CX$90,INDEX($U$4:$U$11,1,1)+ROW()-55,$AC$2),FG$53))</f>
        <v>#N/A</v>
      </c>
      <c r="FH81" t="e">
        <f>IF(OR(ROW()-54&gt;INDEX($U$4:$U$11,$AC$2+1,1)-INDEX($U$4:$U$11,$AC$2,1),ROW()-54&gt;$AD$2),NA(),COUNTIF(INDEX($CR$55:$CX$90,INDEX($U$4:$U$11,1,1),$AC$2):INDEX($CR$55:$CX$90,INDEX($U$4:$U$11,1,1)+ROW()-55,$AC$2),FH$53))</f>
        <v>#N/A</v>
      </c>
      <c r="FI81" t="e">
        <f>IF(OR(ROW()-54&gt;INDEX($U$4:$U$11,$AC$2+1,1)-INDEX($U$4:$U$11,$AC$2,1),ROW()-54&gt;$AD$2),NA(),COUNTIF(INDEX($CR$55:$CX$90,INDEX($U$4:$U$11,1,1),$AC$2):INDEX($CR$55:$CX$90,INDEX($U$4:$U$11,1,1)+ROW()-55,$AC$2),FI$53))</f>
        <v>#N/A</v>
      </c>
      <c r="FJ81" t="e">
        <f>IF(OR(ROW()-54&gt;INDEX($U$4:$U$11,$AC$2+1,1)-INDEX($U$4:$U$11,$AC$2,1),ROW()-54&gt;$AD$2),NA(),COUNTIF(INDEX($CR$55:$CX$90,INDEX($U$4:$U$11,1,1),$AC$2):INDEX($CR$55:$CX$90,INDEX($U$4:$U$11,1,1)+ROW()-55,$AC$2),FJ$53))</f>
        <v>#N/A</v>
      </c>
    </row>
    <row r="82" spans="1:166" x14ac:dyDescent="0.45">
      <c r="A82">
        <f>データの貼付!A80</f>
        <v>0</v>
      </c>
      <c r="B82">
        <f>データの貼付!B80</f>
        <v>0</v>
      </c>
      <c r="C82">
        <f>データの貼付!C80</f>
        <v>0</v>
      </c>
      <c r="D82">
        <f>データの貼付!D80</f>
        <v>0</v>
      </c>
      <c r="E82">
        <f>データの貼付!F80</f>
        <v>0</v>
      </c>
      <c r="F82">
        <f>データの貼付!E80</f>
        <v>0</v>
      </c>
      <c r="G82">
        <f>データの貼付!G80</f>
        <v>0</v>
      </c>
      <c r="H82">
        <f>データの貼付!H80</f>
        <v>0</v>
      </c>
      <c r="I82">
        <f>データの貼付!I80</f>
        <v>0</v>
      </c>
      <c r="J82">
        <f>データの貼付!J80</f>
        <v>0</v>
      </c>
      <c r="K82">
        <f>データの貼付!K80</f>
        <v>0</v>
      </c>
      <c r="L82">
        <f>データの貼付!L80</f>
        <v>0</v>
      </c>
      <c r="M82">
        <f>データの貼付!M80</f>
        <v>0</v>
      </c>
      <c r="N82">
        <f>データの貼付!N80</f>
        <v>0</v>
      </c>
      <c r="R82">
        <f t="shared" si="179"/>
        <v>0</v>
      </c>
      <c r="S82">
        <f>SUM(R$4:R82)</f>
        <v>6</v>
      </c>
      <c r="T82" t="str">
        <f t="shared" si="180"/>
        <v/>
      </c>
      <c r="W82" t="str">
        <f t="shared" si="177"/>
        <v>0_0</v>
      </c>
      <c r="X82" t="str">
        <f t="shared" si="178"/>
        <v>0_0</v>
      </c>
      <c r="BL82" t="e">
        <f t="shared" si="162"/>
        <v>#VALUE!</v>
      </c>
      <c r="BM82" t="e">
        <f t="shared" si="181"/>
        <v>#VALUE!</v>
      </c>
      <c r="BN82" t="e">
        <f t="shared" si="182"/>
        <v>#VALUE!</v>
      </c>
      <c r="BO82" t="e">
        <f t="shared" si="183"/>
        <v>#VALUE!</v>
      </c>
      <c r="BP82" t="e">
        <f t="shared" si="184"/>
        <v>#VALUE!</v>
      </c>
      <c r="BQ82" t="e">
        <f t="shared" si="185"/>
        <v>#VALUE!</v>
      </c>
      <c r="BR82" t="e">
        <f t="shared" si="186"/>
        <v>#VALUE!</v>
      </c>
      <c r="CR82" t="e">
        <f t="shared" si="170"/>
        <v>#VALUE!</v>
      </c>
      <c r="CS82" t="e">
        <f t="shared" si="171"/>
        <v>#VALUE!</v>
      </c>
      <c r="CT82" t="e">
        <f t="shared" si="172"/>
        <v>#VALUE!</v>
      </c>
      <c r="CU82" t="e">
        <f t="shared" si="173"/>
        <v>#VALUE!</v>
      </c>
      <c r="CV82" t="e">
        <f t="shared" si="174"/>
        <v>#VALUE!</v>
      </c>
      <c r="CW82" t="e">
        <f t="shared" si="175"/>
        <v>#VALUE!</v>
      </c>
      <c r="CX82" t="e">
        <f t="shared" si="176"/>
        <v>#VALUE!</v>
      </c>
      <c r="DH82" t="e">
        <f>IF(OR(ROW()-54&gt;INDEX($U$4:$U$11,$AC$2+1,1)-INDEX($U$4:$U$11,$AC$2,1),ROW()-54&gt;$AD$2),NA(),COUNTIF(INDEX($BL$55:$BR$100,INDEX($U$4:$U$11,1,1),$AC$2):INDEX($BL$55:$BR$100,INDEX($U$4:$U$11,1,1)+ROW()-55,$AC$2),DH$53))</f>
        <v>#N/A</v>
      </c>
      <c r="DI82" t="e">
        <f>IF(OR(ROW()-54&gt;INDEX($U$4:$U$11,$AC$2+1,1)-INDEX($U$4:$U$11,$AC$2,1),ROW()-54&gt;$AD$2),NA(),COUNTIF(INDEX($BL$55:$BR$100,INDEX($U$4:$U$11,1,1),$AC$2):INDEX($BL$55:$BR$100,INDEX($U$4:$U$11,1,1)+ROW()-55,$AC$2),DI$53))</f>
        <v>#N/A</v>
      </c>
      <c r="DJ82" t="e">
        <f>IF(OR(ROW()-54&gt;INDEX($U$4:$U$11,$AC$2+1,1)-INDEX($U$4:$U$11,$AC$2,1),ROW()-54&gt;$AD$2),NA(),COUNTIF(INDEX($BL$55:$BR$100,INDEX($U$4:$U$11,1,1),$AC$2):INDEX($BL$55:$BR$100,INDEX($U$4:$U$11,1,1)+ROW()-55,$AC$2),DJ$53))</f>
        <v>#N/A</v>
      </c>
      <c r="DL82" t="e">
        <f>IF(OR(ROW()-54&gt;INDEX($U$4:$U$11,$AC$2+1,1)-INDEX($U$4:$U$11,$AC$2,1),ROW()-54&gt;$AD$2),NA(),COUNTIF(INDEX($BL$55:$BR$100,INDEX($U$4:$U$11,1,1),$AC$2):INDEX($BL$55:$BR$100,INDEX($U$4:$U$11,1,1)+ROW()-55,$AC$2),DL$53))</f>
        <v>#N/A</v>
      </c>
      <c r="DM82" t="e">
        <f>IF(OR(ROW()-54&gt;INDEX($U$4:$U$11,$AC$2+1,1)-INDEX($U$4:$U$11,$AC$2,1),ROW()-54&gt;$AD$2),NA(),COUNTIF(INDEX($BL$55:$BR$100,INDEX($U$4:$U$11,1,1),$AC$2):INDEX($BL$5:$BR$50,INDEX($U$4:$U$11,1,1)+ROW()-55,$AC$2),DM$53))</f>
        <v>#N/A</v>
      </c>
      <c r="DN82" t="e">
        <f>IF(OR(ROW()-54&gt;INDEX($U$4:$U$11,$AC$2+1,1)-INDEX($U$4:$U$11,$AC$2,1),ROW()-54&gt;$AD$2),NA(),COUNTIF(INDEX($BL$55:$BR$100,INDEX($U$4:$U$11,1,1),$AC$2):INDEX($BL$55:$BR$100,INDEX($U$4:$U$11,1,1)+ROW()-55,$AC$2),DN$53))</f>
        <v>#N/A</v>
      </c>
      <c r="ET82" t="e">
        <f>IF(OR(ROW()-54&gt;INDEX($U$4:$U$11,$AC$2+1,1)-INDEX($U$4:$U$11,$AC$2,1),ROW()-54&gt;$AD$2),NA(),COUNTIF(INDEX($CR$55:$CX$90,INDEX($U$4:$U$11,1,1),$AC$2):INDEX($CR$55:$CX$90,INDEX($U$4:$U$11,1,1)+ROW()-55,$AC$2),ET$53))</f>
        <v>#N/A</v>
      </c>
      <c r="EU82" t="e">
        <f>IF(OR(ROW()-54&gt;INDEX($U$4:$U$11,$AC$2+1,1)-INDEX($U$4:$U$11,$AC$2,1),ROW()-54&gt;$AD$2),NA(),COUNTIF(INDEX($CR$55:$CX$90,INDEX($U$4:$U$11,1,1),$AC$2):INDEX($CR$55:$CX$90,INDEX($U$4:$U$11,1,1)+ROW()-55,$AC$2),EU$53))</f>
        <v>#N/A</v>
      </c>
      <c r="EV82" t="e">
        <f>IF(OR(ROW()-54&gt;INDEX($U$4:$U$11,$AC$2+1,1)-INDEX($U$4:$U$11,$AC$2,1),ROW()-54&gt;$AD$2),NA(),COUNTIF(INDEX($CR$55:$CX$90,INDEX($U$4:$U$11,1,1),$AC$2):INDEX($CR$55:$CX$90,INDEX($U$4:$U$11,1,1)+ROW()-55,$AC$2),EV$53))</f>
        <v>#N/A</v>
      </c>
      <c r="EW82" t="e">
        <f>IF(OR(ROW()-54&gt;INDEX($U$4:$U$11,$AC$2+1,1)-INDEX($U$4:$U$11,$AC$2,1),ROW()-54&gt;$AD$2),NA(),COUNTIF(INDEX($CR$55:$CX$90,INDEX($U$4:$U$11,1,1),$AC$2):INDEX($CR$55:$CX$90,INDEX($U$4:$U$11,1,1)+ROW()-55,$AC$2),EW$53))</f>
        <v>#N/A</v>
      </c>
      <c r="EX82" t="e">
        <f>IF(OR(ROW()-54&gt;INDEX($U$4:$U$11,$AC$2+1,1)-INDEX($U$4:$U$11,$AC$2,1),ROW()-54&gt;$AD$2),NA(),COUNTIF(INDEX($CR$55:$CX$90,INDEX($U$4:$U$11,1,1),$AC$2):INDEX($CR$55:$CX$90,INDEX($U$4:$U$11,1,1)+ROW()-55,$AC$2),EX$53))</f>
        <v>#N/A</v>
      </c>
      <c r="EY82" t="e">
        <f>IF(OR(ROW()-54&gt;INDEX($U$4:$U$11,$AC$2+1,1)-INDEX($U$4:$U$11,$AC$2,1),ROW()-54&gt;$AD$2),NA(),COUNTIF(INDEX($CR$55:$CX$90,INDEX($U$4:$U$11,1,1),$AC$2):INDEX($CR$55:$CX$90,INDEX($U$4:$U$11,1,1)+ROW()-55,$AC$2),EY$53))</f>
        <v>#N/A</v>
      </c>
      <c r="EZ82" t="e">
        <f>IF(OR(ROW()-54&gt;INDEX($U$4:$U$11,$AC$2+1,1)-INDEX($U$4:$U$11,$AC$2,1),ROW()-54&gt;$AD$2),NA(),COUNTIF(INDEX($CR$55:$CX$90,INDEX($U$4:$U$11,1,1),$AC$2):INDEX($CR$55:$CX$90,INDEX($U$4:$U$11,1,1)+ROW()-55,$AC$2),EZ$53))</f>
        <v>#N/A</v>
      </c>
      <c r="FA82" t="e">
        <f>IF(OR(ROW()-54&gt;INDEX($U$4:$U$11,$AC$2+1,1)-INDEX($U$4:$U$11,$AC$2,1),ROW()-54&gt;$AD$2),NA(),COUNTIF(INDEX($CR$55:$CX$90,INDEX($U$4:$U$11,1,1),$AC$2):INDEX($CR$55:$CX$90,INDEX($U$4:$U$11,1,1)+ROW()-55,$AC$2),FA$53))</f>
        <v>#N/A</v>
      </c>
      <c r="FC82" t="e">
        <f>IF(OR(ROW()-54&gt;INDEX($U$4:$U$11,$AC$2+1,1)-INDEX($U$4:$U$11,$AC$2,1),ROW()-54&gt;$AD$2),NA(),COUNTIF(INDEX($CR$55:$CX$90,INDEX($U$4:$U$11,1,1),$AC$2):INDEX($CR$55:$CX$90,INDEX($U$4:$U$11,1,1)+ROW()-55,$AC$2),FC$53))</f>
        <v>#N/A</v>
      </c>
      <c r="FD82" t="e">
        <f>IF(OR(ROW()-54&gt;INDEX($U$4:$U$11,$AC$2+1,1)-INDEX($U$4:$U$11,$AC$2,1),ROW()-54&gt;$AD$2),NA(),COUNTIF(INDEX($CR$55:$CX$90,INDEX($U$4:$U$11,1,1),$AC$2):INDEX($CR$55:$CX$90,INDEX($U$4:$U$11,1,1)+ROW()-55,$AC$2),FD$53))</f>
        <v>#N/A</v>
      </c>
      <c r="FE82" t="e">
        <f>IF(OR(ROW()-54&gt;INDEX($U$4:$U$11,$AC$2+1,1)-INDEX($U$4:$U$11,$AC$2,1),ROW()-54&gt;$AD$2),NA(),COUNTIF(INDEX($CR$55:$CX$90,INDEX($U$4:$U$11,1,1),$AC$2):INDEX($CR$55:$CX$90,INDEX($U$4:$U$11,1,1)+ROW()-55,$AC$2),FE$53))</f>
        <v>#N/A</v>
      </c>
      <c r="FF82" t="e">
        <f>IF(OR(ROW()-54&gt;INDEX($U$4:$U$11,$AC$2+1,1)-INDEX($U$4:$U$11,$AC$2,1),ROW()-54&gt;$AD$2),NA(),COUNTIF(INDEX($CR$55:$CX$90,INDEX($U$4:$U$11,1,1),$AC$2):INDEX($CR$55:$CX$90,INDEX($U$4:$U$11,1,1)+ROW()-55,$AC$2),FF$53))</f>
        <v>#N/A</v>
      </c>
      <c r="FG82" t="e">
        <f>IF(OR(ROW()-54&gt;INDEX($U$4:$U$11,$AC$2+1,1)-INDEX($U$4:$U$11,$AC$2,1),ROW()-54&gt;$AD$2),NA(),COUNTIF(INDEX($CR$55:$CX$90,INDEX($U$4:$U$11,1,1),$AC$2):INDEX($CR$55:$CX$90,INDEX($U$4:$U$11,1,1)+ROW()-55,$AC$2),FG$53))</f>
        <v>#N/A</v>
      </c>
      <c r="FH82" t="e">
        <f>IF(OR(ROW()-54&gt;INDEX($U$4:$U$11,$AC$2+1,1)-INDEX($U$4:$U$11,$AC$2,1),ROW()-54&gt;$AD$2),NA(),COUNTIF(INDEX($CR$55:$CX$90,INDEX($U$4:$U$11,1,1),$AC$2):INDEX($CR$55:$CX$90,INDEX($U$4:$U$11,1,1)+ROW()-55,$AC$2),FH$53))</f>
        <v>#N/A</v>
      </c>
      <c r="FI82" t="e">
        <f>IF(OR(ROW()-54&gt;INDEX($U$4:$U$11,$AC$2+1,1)-INDEX($U$4:$U$11,$AC$2,1),ROW()-54&gt;$AD$2),NA(),COUNTIF(INDEX($CR$55:$CX$90,INDEX($U$4:$U$11,1,1),$AC$2):INDEX($CR$55:$CX$90,INDEX($U$4:$U$11,1,1)+ROW()-55,$AC$2),FI$53))</f>
        <v>#N/A</v>
      </c>
      <c r="FJ82" t="e">
        <f>IF(OR(ROW()-54&gt;INDEX($U$4:$U$11,$AC$2+1,1)-INDEX($U$4:$U$11,$AC$2,1),ROW()-54&gt;$AD$2),NA(),COUNTIF(INDEX($CR$55:$CX$90,INDEX($U$4:$U$11,1,1),$AC$2):INDEX($CR$55:$CX$90,INDEX($U$4:$U$11,1,1)+ROW()-55,$AC$2),FJ$53))</f>
        <v>#N/A</v>
      </c>
    </row>
    <row r="83" spans="1:166" x14ac:dyDescent="0.45">
      <c r="A83">
        <f>データの貼付!A81</f>
        <v>0</v>
      </c>
      <c r="B83">
        <f>データの貼付!B81</f>
        <v>0</v>
      </c>
      <c r="C83">
        <f>データの貼付!C81</f>
        <v>0</v>
      </c>
      <c r="D83">
        <f>データの貼付!D81</f>
        <v>0</v>
      </c>
      <c r="E83">
        <f>データの貼付!F81</f>
        <v>0</v>
      </c>
      <c r="F83">
        <f>データの貼付!E81</f>
        <v>0</v>
      </c>
      <c r="G83">
        <f>データの貼付!G81</f>
        <v>0</v>
      </c>
      <c r="H83">
        <f>データの貼付!H81</f>
        <v>0</v>
      </c>
      <c r="I83">
        <f>データの貼付!I81</f>
        <v>0</v>
      </c>
      <c r="J83">
        <f>データの貼付!J81</f>
        <v>0</v>
      </c>
      <c r="K83">
        <f>データの貼付!K81</f>
        <v>0</v>
      </c>
      <c r="L83">
        <f>データの貼付!L81</f>
        <v>0</v>
      </c>
      <c r="M83">
        <f>データの貼付!M81</f>
        <v>0</v>
      </c>
      <c r="N83">
        <f>データの貼付!N81</f>
        <v>0</v>
      </c>
      <c r="R83">
        <f t="shared" si="179"/>
        <v>0</v>
      </c>
      <c r="S83">
        <f>SUM(R$4:R83)</f>
        <v>6</v>
      </c>
      <c r="T83" t="str">
        <f t="shared" si="180"/>
        <v/>
      </c>
      <c r="W83" t="str">
        <f t="shared" si="177"/>
        <v>0_0</v>
      </c>
      <c r="X83" t="str">
        <f t="shared" si="178"/>
        <v>0_0</v>
      </c>
      <c r="BL83" t="e">
        <f t="shared" si="162"/>
        <v>#VALUE!</v>
      </c>
      <c r="BM83" t="e">
        <f t="shared" si="181"/>
        <v>#VALUE!</v>
      </c>
      <c r="BN83" t="e">
        <f t="shared" si="182"/>
        <v>#VALUE!</v>
      </c>
      <c r="BO83" t="e">
        <f t="shared" si="183"/>
        <v>#VALUE!</v>
      </c>
      <c r="BP83" t="e">
        <f t="shared" si="184"/>
        <v>#VALUE!</v>
      </c>
      <c r="BQ83" t="e">
        <f t="shared" si="185"/>
        <v>#VALUE!</v>
      </c>
      <c r="BR83" t="e">
        <f t="shared" si="186"/>
        <v>#VALUE!</v>
      </c>
      <c r="CR83" t="e">
        <f t="shared" si="170"/>
        <v>#VALUE!</v>
      </c>
      <c r="CS83" t="e">
        <f t="shared" si="171"/>
        <v>#VALUE!</v>
      </c>
      <c r="CT83" t="e">
        <f t="shared" si="172"/>
        <v>#VALUE!</v>
      </c>
      <c r="CU83" t="e">
        <f t="shared" si="173"/>
        <v>#VALUE!</v>
      </c>
      <c r="CV83" t="e">
        <f t="shared" si="174"/>
        <v>#VALUE!</v>
      </c>
      <c r="CW83" t="e">
        <f t="shared" si="175"/>
        <v>#VALUE!</v>
      </c>
      <c r="CX83" t="e">
        <f t="shared" si="176"/>
        <v>#VALUE!</v>
      </c>
      <c r="DH83" t="e">
        <f>IF(OR(ROW()-54&gt;INDEX($U$4:$U$11,$AC$2+1,1)-INDEX($U$4:$U$11,$AC$2,1),ROW()-54&gt;$AD$2),NA(),COUNTIF(INDEX($BL$55:$BR$100,INDEX($U$4:$U$11,1,1),$AC$2):INDEX($BL$55:$BR$100,INDEX($U$4:$U$11,1,1)+ROW()-55,$AC$2),DH$53))</f>
        <v>#N/A</v>
      </c>
      <c r="DI83" t="e">
        <f>IF(OR(ROW()-54&gt;INDEX($U$4:$U$11,$AC$2+1,1)-INDEX($U$4:$U$11,$AC$2,1),ROW()-54&gt;$AD$2),NA(),COUNTIF(INDEX($BL$55:$BR$100,INDEX($U$4:$U$11,1,1),$AC$2):INDEX($BL$55:$BR$100,INDEX($U$4:$U$11,1,1)+ROW()-55,$AC$2),DI$53))</f>
        <v>#N/A</v>
      </c>
      <c r="DJ83" t="e">
        <f>IF(OR(ROW()-54&gt;INDEX($U$4:$U$11,$AC$2+1,1)-INDEX($U$4:$U$11,$AC$2,1),ROW()-54&gt;$AD$2),NA(),COUNTIF(INDEX($BL$55:$BR$100,INDEX($U$4:$U$11,1,1),$AC$2):INDEX($BL$55:$BR$100,INDEX($U$4:$U$11,1,1)+ROW()-55,$AC$2),DJ$53))</f>
        <v>#N/A</v>
      </c>
      <c r="DL83" t="e">
        <f>IF(OR(ROW()-54&gt;INDEX($U$4:$U$11,$AC$2+1,1)-INDEX($U$4:$U$11,$AC$2,1),ROW()-54&gt;$AD$2),NA(),COUNTIF(INDEX($BL$55:$BR$100,INDEX($U$4:$U$11,1,1),$AC$2):INDEX($BL$55:$BR$100,INDEX($U$4:$U$11,1,1)+ROW()-55,$AC$2),DL$53))</f>
        <v>#N/A</v>
      </c>
      <c r="DM83" t="e">
        <f>IF(OR(ROW()-54&gt;INDEX($U$4:$U$11,$AC$2+1,1)-INDEX($U$4:$U$11,$AC$2,1),ROW()-54&gt;$AD$2),NA(),COUNTIF(INDEX($BL$55:$BR$100,INDEX($U$4:$U$11,1,1),$AC$2):INDEX($BL$5:$BR$50,INDEX($U$4:$U$11,1,1)+ROW()-55,$AC$2),DM$53))</f>
        <v>#N/A</v>
      </c>
      <c r="DN83" t="e">
        <f>IF(OR(ROW()-54&gt;INDEX($U$4:$U$11,$AC$2+1,1)-INDEX($U$4:$U$11,$AC$2,1),ROW()-54&gt;$AD$2),NA(),COUNTIF(INDEX($BL$55:$BR$100,INDEX($U$4:$U$11,1,1),$AC$2):INDEX($BL$55:$BR$100,INDEX($U$4:$U$11,1,1)+ROW()-55,$AC$2),DN$53))</f>
        <v>#N/A</v>
      </c>
      <c r="ET83" t="e">
        <f>IF(OR(ROW()-54&gt;INDEX($U$4:$U$11,$AC$2+1,1)-INDEX($U$4:$U$11,$AC$2,1),ROW()-54&gt;$AD$2),NA(),COUNTIF(INDEX($CR$55:$CX$90,INDEX($U$4:$U$11,1,1),$AC$2):INDEX($CR$55:$CX$90,INDEX($U$4:$U$11,1,1)+ROW()-55,$AC$2),ET$53))</f>
        <v>#N/A</v>
      </c>
      <c r="EU83" t="e">
        <f>IF(OR(ROW()-54&gt;INDEX($U$4:$U$11,$AC$2+1,1)-INDEX($U$4:$U$11,$AC$2,1),ROW()-54&gt;$AD$2),NA(),COUNTIF(INDEX($CR$55:$CX$90,INDEX($U$4:$U$11,1,1),$AC$2):INDEX($CR$55:$CX$90,INDEX($U$4:$U$11,1,1)+ROW()-55,$AC$2),EU$53))</f>
        <v>#N/A</v>
      </c>
      <c r="EV83" t="e">
        <f>IF(OR(ROW()-54&gt;INDEX($U$4:$U$11,$AC$2+1,1)-INDEX($U$4:$U$11,$AC$2,1),ROW()-54&gt;$AD$2),NA(),COUNTIF(INDEX($CR$55:$CX$90,INDEX($U$4:$U$11,1,1),$AC$2):INDEX($CR$55:$CX$90,INDEX($U$4:$U$11,1,1)+ROW()-55,$AC$2),EV$53))</f>
        <v>#N/A</v>
      </c>
      <c r="EW83" t="e">
        <f>IF(OR(ROW()-54&gt;INDEX($U$4:$U$11,$AC$2+1,1)-INDEX($U$4:$U$11,$AC$2,1),ROW()-54&gt;$AD$2),NA(),COUNTIF(INDEX($CR$55:$CX$90,INDEX($U$4:$U$11,1,1),$AC$2):INDEX($CR$55:$CX$90,INDEX($U$4:$U$11,1,1)+ROW()-55,$AC$2),EW$53))</f>
        <v>#N/A</v>
      </c>
      <c r="EX83" t="e">
        <f>IF(OR(ROW()-54&gt;INDEX($U$4:$U$11,$AC$2+1,1)-INDEX($U$4:$U$11,$AC$2,1),ROW()-54&gt;$AD$2),NA(),COUNTIF(INDEX($CR$55:$CX$90,INDEX($U$4:$U$11,1,1),$AC$2):INDEX($CR$55:$CX$90,INDEX($U$4:$U$11,1,1)+ROW()-55,$AC$2),EX$53))</f>
        <v>#N/A</v>
      </c>
      <c r="EY83" t="e">
        <f>IF(OR(ROW()-54&gt;INDEX($U$4:$U$11,$AC$2+1,1)-INDEX($U$4:$U$11,$AC$2,1),ROW()-54&gt;$AD$2),NA(),COUNTIF(INDEX($CR$55:$CX$90,INDEX($U$4:$U$11,1,1),$AC$2):INDEX($CR$55:$CX$90,INDEX($U$4:$U$11,1,1)+ROW()-55,$AC$2),EY$53))</f>
        <v>#N/A</v>
      </c>
      <c r="EZ83" t="e">
        <f>IF(OR(ROW()-54&gt;INDEX($U$4:$U$11,$AC$2+1,1)-INDEX($U$4:$U$11,$AC$2,1),ROW()-54&gt;$AD$2),NA(),COUNTIF(INDEX($CR$55:$CX$90,INDEX($U$4:$U$11,1,1),$AC$2):INDEX($CR$55:$CX$90,INDEX($U$4:$U$11,1,1)+ROW()-55,$AC$2),EZ$53))</f>
        <v>#N/A</v>
      </c>
      <c r="FA83" t="e">
        <f>IF(OR(ROW()-54&gt;INDEX($U$4:$U$11,$AC$2+1,1)-INDEX($U$4:$U$11,$AC$2,1),ROW()-54&gt;$AD$2),NA(),COUNTIF(INDEX($CR$55:$CX$90,INDEX($U$4:$U$11,1,1),$AC$2):INDEX($CR$55:$CX$90,INDEX($U$4:$U$11,1,1)+ROW()-55,$AC$2),FA$53))</f>
        <v>#N/A</v>
      </c>
      <c r="FC83" t="e">
        <f>IF(OR(ROW()-54&gt;INDEX($U$4:$U$11,$AC$2+1,1)-INDEX($U$4:$U$11,$AC$2,1),ROW()-54&gt;$AD$2),NA(),COUNTIF(INDEX($CR$55:$CX$90,INDEX($U$4:$U$11,1,1),$AC$2):INDEX($CR$55:$CX$90,INDEX($U$4:$U$11,1,1)+ROW()-55,$AC$2),FC$53))</f>
        <v>#N/A</v>
      </c>
      <c r="FD83" t="e">
        <f>IF(OR(ROW()-54&gt;INDEX($U$4:$U$11,$AC$2+1,1)-INDEX($U$4:$U$11,$AC$2,1),ROW()-54&gt;$AD$2),NA(),COUNTIF(INDEX($CR$55:$CX$90,INDEX($U$4:$U$11,1,1),$AC$2):INDEX($CR$55:$CX$90,INDEX($U$4:$U$11,1,1)+ROW()-55,$AC$2),FD$53))</f>
        <v>#N/A</v>
      </c>
      <c r="FE83" t="e">
        <f>IF(OR(ROW()-54&gt;INDEX($U$4:$U$11,$AC$2+1,1)-INDEX($U$4:$U$11,$AC$2,1),ROW()-54&gt;$AD$2),NA(),COUNTIF(INDEX($CR$55:$CX$90,INDEX($U$4:$U$11,1,1),$AC$2):INDEX($CR$55:$CX$90,INDEX($U$4:$U$11,1,1)+ROW()-55,$AC$2),FE$53))</f>
        <v>#N/A</v>
      </c>
      <c r="FF83" t="e">
        <f>IF(OR(ROW()-54&gt;INDEX($U$4:$U$11,$AC$2+1,1)-INDEX($U$4:$U$11,$AC$2,1),ROW()-54&gt;$AD$2),NA(),COUNTIF(INDEX($CR$55:$CX$90,INDEX($U$4:$U$11,1,1),$AC$2):INDEX($CR$55:$CX$90,INDEX($U$4:$U$11,1,1)+ROW()-55,$AC$2),FF$53))</f>
        <v>#N/A</v>
      </c>
      <c r="FG83" t="e">
        <f>IF(OR(ROW()-54&gt;INDEX($U$4:$U$11,$AC$2+1,1)-INDEX($U$4:$U$11,$AC$2,1),ROW()-54&gt;$AD$2),NA(),COUNTIF(INDEX($CR$55:$CX$90,INDEX($U$4:$U$11,1,1),$AC$2):INDEX($CR$55:$CX$90,INDEX($U$4:$U$11,1,1)+ROW()-55,$AC$2),FG$53))</f>
        <v>#N/A</v>
      </c>
      <c r="FH83" t="e">
        <f>IF(OR(ROW()-54&gt;INDEX($U$4:$U$11,$AC$2+1,1)-INDEX($U$4:$U$11,$AC$2,1),ROW()-54&gt;$AD$2),NA(),COUNTIF(INDEX($CR$55:$CX$90,INDEX($U$4:$U$11,1,1),$AC$2):INDEX($CR$55:$CX$90,INDEX($U$4:$U$11,1,1)+ROW()-55,$AC$2),FH$53))</f>
        <v>#N/A</v>
      </c>
      <c r="FI83" t="e">
        <f>IF(OR(ROW()-54&gt;INDEX($U$4:$U$11,$AC$2+1,1)-INDEX($U$4:$U$11,$AC$2,1),ROW()-54&gt;$AD$2),NA(),COUNTIF(INDEX($CR$55:$CX$90,INDEX($U$4:$U$11,1,1),$AC$2):INDEX($CR$55:$CX$90,INDEX($U$4:$U$11,1,1)+ROW()-55,$AC$2),FI$53))</f>
        <v>#N/A</v>
      </c>
      <c r="FJ83" t="e">
        <f>IF(OR(ROW()-54&gt;INDEX($U$4:$U$11,$AC$2+1,1)-INDEX($U$4:$U$11,$AC$2,1),ROW()-54&gt;$AD$2),NA(),COUNTIF(INDEX($CR$55:$CX$90,INDEX($U$4:$U$11,1,1),$AC$2):INDEX($CR$55:$CX$90,INDEX($U$4:$U$11,1,1)+ROW()-55,$AC$2),FJ$53))</f>
        <v>#N/A</v>
      </c>
    </row>
    <row r="84" spans="1:166" x14ac:dyDescent="0.45">
      <c r="A84">
        <f>データの貼付!A82</f>
        <v>0</v>
      </c>
      <c r="B84">
        <f>データの貼付!B82</f>
        <v>0</v>
      </c>
      <c r="C84">
        <f>データの貼付!C82</f>
        <v>0</v>
      </c>
      <c r="D84">
        <f>データの貼付!D82</f>
        <v>0</v>
      </c>
      <c r="E84">
        <f>データの貼付!F82</f>
        <v>0</v>
      </c>
      <c r="F84">
        <f>データの貼付!E82</f>
        <v>0</v>
      </c>
      <c r="G84">
        <f>データの貼付!G82</f>
        <v>0</v>
      </c>
      <c r="H84">
        <f>データの貼付!H82</f>
        <v>0</v>
      </c>
      <c r="I84">
        <f>データの貼付!I82</f>
        <v>0</v>
      </c>
      <c r="J84">
        <f>データの貼付!J82</f>
        <v>0</v>
      </c>
      <c r="K84">
        <f>データの貼付!K82</f>
        <v>0</v>
      </c>
      <c r="L84">
        <f>データの貼付!L82</f>
        <v>0</v>
      </c>
      <c r="M84">
        <f>データの貼付!M82</f>
        <v>0</v>
      </c>
      <c r="N84">
        <f>データの貼付!N82</f>
        <v>0</v>
      </c>
      <c r="R84">
        <f t="shared" si="179"/>
        <v>0</v>
      </c>
      <c r="S84">
        <f>SUM(R$4:R84)</f>
        <v>6</v>
      </c>
      <c r="T84" t="str">
        <f t="shared" si="180"/>
        <v/>
      </c>
      <c r="W84" t="str">
        <f t="shared" si="177"/>
        <v>0_0</v>
      </c>
      <c r="X84" t="str">
        <f t="shared" si="178"/>
        <v>0_0</v>
      </c>
      <c r="BL84" t="e">
        <f t="shared" si="162"/>
        <v>#VALUE!</v>
      </c>
      <c r="BM84" t="e">
        <f t="shared" si="181"/>
        <v>#VALUE!</v>
      </c>
      <c r="BN84" t="e">
        <f t="shared" si="182"/>
        <v>#VALUE!</v>
      </c>
      <c r="BO84" t="e">
        <f t="shared" si="183"/>
        <v>#VALUE!</v>
      </c>
      <c r="BP84" t="e">
        <f t="shared" si="184"/>
        <v>#VALUE!</v>
      </c>
      <c r="BQ84" t="e">
        <f t="shared" si="185"/>
        <v>#VALUE!</v>
      </c>
      <c r="BR84" t="e">
        <f t="shared" si="186"/>
        <v>#VALUE!</v>
      </c>
      <c r="CR84" t="e">
        <f t="shared" si="170"/>
        <v>#VALUE!</v>
      </c>
      <c r="CS84" t="e">
        <f t="shared" si="171"/>
        <v>#VALUE!</v>
      </c>
      <c r="CT84" t="e">
        <f t="shared" si="172"/>
        <v>#VALUE!</v>
      </c>
      <c r="CU84" t="e">
        <f t="shared" si="173"/>
        <v>#VALUE!</v>
      </c>
      <c r="CV84" t="e">
        <f t="shared" si="174"/>
        <v>#VALUE!</v>
      </c>
      <c r="CW84" t="e">
        <f t="shared" si="175"/>
        <v>#VALUE!</v>
      </c>
      <c r="CX84" t="e">
        <f t="shared" si="176"/>
        <v>#VALUE!</v>
      </c>
      <c r="DH84" t="e">
        <f>IF(OR(ROW()-54&gt;INDEX($U$4:$U$11,$AC$2+1,1)-INDEX($U$4:$U$11,$AC$2,1),ROW()-54&gt;$AD$2),NA(),COUNTIF(INDEX($BL$55:$BR$100,INDEX($U$4:$U$11,1,1),$AC$2):INDEX($BL$55:$BR$100,INDEX($U$4:$U$11,1,1)+ROW()-55,$AC$2),DH$53))</f>
        <v>#N/A</v>
      </c>
      <c r="DI84" t="e">
        <f>IF(OR(ROW()-54&gt;INDEX($U$4:$U$11,$AC$2+1,1)-INDEX($U$4:$U$11,$AC$2,1),ROW()-54&gt;$AD$2),NA(),COUNTIF(INDEX($BL$55:$BR$100,INDEX($U$4:$U$11,1,1),$AC$2):INDEX($BL$55:$BR$100,INDEX($U$4:$U$11,1,1)+ROW()-55,$AC$2),DI$53))</f>
        <v>#N/A</v>
      </c>
      <c r="DJ84" t="e">
        <f>IF(OR(ROW()-54&gt;INDEX($U$4:$U$11,$AC$2+1,1)-INDEX($U$4:$U$11,$AC$2,1),ROW()-54&gt;$AD$2),NA(),COUNTIF(INDEX($BL$55:$BR$100,INDEX($U$4:$U$11,1,1),$AC$2):INDEX($BL$55:$BR$100,INDEX($U$4:$U$11,1,1)+ROW()-55,$AC$2),DJ$53))</f>
        <v>#N/A</v>
      </c>
      <c r="DL84" t="e">
        <f>IF(OR(ROW()-54&gt;INDEX($U$4:$U$11,$AC$2+1,1)-INDEX($U$4:$U$11,$AC$2,1),ROW()-54&gt;$AD$2),NA(),COUNTIF(INDEX($BL$55:$BR$100,INDEX($U$4:$U$11,1,1),$AC$2):INDEX($BL$55:$BR$100,INDEX($U$4:$U$11,1,1)+ROW()-55,$AC$2),DL$53))</f>
        <v>#N/A</v>
      </c>
      <c r="DM84" t="e">
        <f>IF(OR(ROW()-54&gt;INDEX($U$4:$U$11,$AC$2+1,1)-INDEX($U$4:$U$11,$AC$2,1),ROW()-54&gt;$AD$2),NA(),COUNTIF(INDEX($BL$55:$BR$100,INDEX($U$4:$U$11,1,1),$AC$2):INDEX($BL$5:$BR$50,INDEX($U$4:$U$11,1,1)+ROW()-55,$AC$2),DM$53))</f>
        <v>#N/A</v>
      </c>
      <c r="DN84" t="e">
        <f>IF(OR(ROW()-54&gt;INDEX($U$4:$U$11,$AC$2+1,1)-INDEX($U$4:$U$11,$AC$2,1),ROW()-54&gt;$AD$2),NA(),COUNTIF(INDEX($BL$55:$BR$100,INDEX($U$4:$U$11,1,1),$AC$2):INDEX($BL$55:$BR$100,INDEX($U$4:$U$11,1,1)+ROW()-55,$AC$2),DN$53))</f>
        <v>#N/A</v>
      </c>
      <c r="ET84" t="e">
        <f>IF(OR(ROW()-54&gt;INDEX($U$4:$U$11,$AC$2+1,1)-INDEX($U$4:$U$11,$AC$2,1),ROW()-54&gt;$AD$2),NA(),COUNTIF(INDEX($CR$55:$CX$90,INDEX($U$4:$U$11,1,1),$AC$2):INDEX($CR$55:$CX$90,INDEX($U$4:$U$11,1,1)+ROW()-55,$AC$2),ET$53))</f>
        <v>#N/A</v>
      </c>
      <c r="EU84" t="e">
        <f>IF(OR(ROW()-54&gt;INDEX($U$4:$U$11,$AC$2+1,1)-INDEX($U$4:$U$11,$AC$2,1),ROW()-54&gt;$AD$2),NA(),COUNTIF(INDEX($CR$55:$CX$90,INDEX($U$4:$U$11,1,1),$AC$2):INDEX($CR$55:$CX$90,INDEX($U$4:$U$11,1,1)+ROW()-55,$AC$2),EU$53))</f>
        <v>#N/A</v>
      </c>
      <c r="EV84" t="e">
        <f>IF(OR(ROW()-54&gt;INDEX($U$4:$U$11,$AC$2+1,1)-INDEX($U$4:$U$11,$AC$2,1),ROW()-54&gt;$AD$2),NA(),COUNTIF(INDEX($CR$55:$CX$90,INDEX($U$4:$U$11,1,1),$AC$2):INDEX($CR$55:$CX$90,INDEX($U$4:$U$11,1,1)+ROW()-55,$AC$2),EV$53))</f>
        <v>#N/A</v>
      </c>
      <c r="EW84" t="e">
        <f>IF(OR(ROW()-54&gt;INDEX($U$4:$U$11,$AC$2+1,1)-INDEX($U$4:$U$11,$AC$2,1),ROW()-54&gt;$AD$2),NA(),COUNTIF(INDEX($CR$55:$CX$90,INDEX($U$4:$U$11,1,1),$AC$2):INDEX($CR$55:$CX$90,INDEX($U$4:$U$11,1,1)+ROW()-55,$AC$2),EW$53))</f>
        <v>#N/A</v>
      </c>
      <c r="EX84" t="e">
        <f>IF(OR(ROW()-54&gt;INDEX($U$4:$U$11,$AC$2+1,1)-INDEX($U$4:$U$11,$AC$2,1),ROW()-54&gt;$AD$2),NA(),COUNTIF(INDEX($CR$55:$CX$90,INDEX($U$4:$U$11,1,1),$AC$2):INDEX($CR$55:$CX$90,INDEX($U$4:$U$11,1,1)+ROW()-55,$AC$2),EX$53))</f>
        <v>#N/A</v>
      </c>
      <c r="EY84" t="e">
        <f>IF(OR(ROW()-54&gt;INDEX($U$4:$U$11,$AC$2+1,1)-INDEX($U$4:$U$11,$AC$2,1),ROW()-54&gt;$AD$2),NA(),COUNTIF(INDEX($CR$55:$CX$90,INDEX($U$4:$U$11,1,1),$AC$2):INDEX($CR$55:$CX$90,INDEX($U$4:$U$11,1,1)+ROW()-55,$AC$2),EY$53))</f>
        <v>#N/A</v>
      </c>
      <c r="EZ84" t="e">
        <f>IF(OR(ROW()-54&gt;INDEX($U$4:$U$11,$AC$2+1,1)-INDEX($U$4:$U$11,$AC$2,1),ROW()-54&gt;$AD$2),NA(),COUNTIF(INDEX($CR$55:$CX$90,INDEX($U$4:$U$11,1,1),$AC$2):INDEX($CR$55:$CX$90,INDEX($U$4:$U$11,1,1)+ROW()-55,$AC$2),EZ$53))</f>
        <v>#N/A</v>
      </c>
      <c r="FA84" t="e">
        <f>IF(OR(ROW()-54&gt;INDEX($U$4:$U$11,$AC$2+1,1)-INDEX($U$4:$U$11,$AC$2,1),ROW()-54&gt;$AD$2),NA(),COUNTIF(INDEX($CR$55:$CX$90,INDEX($U$4:$U$11,1,1),$AC$2):INDEX($CR$55:$CX$90,INDEX($U$4:$U$11,1,1)+ROW()-55,$AC$2),FA$53))</f>
        <v>#N/A</v>
      </c>
      <c r="FC84" t="e">
        <f>IF(OR(ROW()-54&gt;INDEX($U$4:$U$11,$AC$2+1,1)-INDEX($U$4:$U$11,$AC$2,1),ROW()-54&gt;$AD$2),NA(),COUNTIF(INDEX($CR$55:$CX$90,INDEX($U$4:$U$11,1,1),$AC$2):INDEX($CR$55:$CX$90,INDEX($U$4:$U$11,1,1)+ROW()-55,$AC$2),FC$53))</f>
        <v>#N/A</v>
      </c>
      <c r="FD84" t="e">
        <f>IF(OR(ROW()-54&gt;INDEX($U$4:$U$11,$AC$2+1,1)-INDEX($U$4:$U$11,$AC$2,1),ROW()-54&gt;$AD$2),NA(),COUNTIF(INDEX($CR$55:$CX$90,INDEX($U$4:$U$11,1,1),$AC$2):INDEX($CR$55:$CX$90,INDEX($U$4:$U$11,1,1)+ROW()-55,$AC$2),FD$53))</f>
        <v>#N/A</v>
      </c>
      <c r="FE84" t="e">
        <f>IF(OR(ROW()-54&gt;INDEX($U$4:$U$11,$AC$2+1,1)-INDEX($U$4:$U$11,$AC$2,1),ROW()-54&gt;$AD$2),NA(),COUNTIF(INDEX($CR$55:$CX$90,INDEX($U$4:$U$11,1,1),$AC$2):INDEX($CR$55:$CX$90,INDEX($U$4:$U$11,1,1)+ROW()-55,$AC$2),FE$53))</f>
        <v>#N/A</v>
      </c>
      <c r="FF84" t="e">
        <f>IF(OR(ROW()-54&gt;INDEX($U$4:$U$11,$AC$2+1,1)-INDEX($U$4:$U$11,$AC$2,1),ROW()-54&gt;$AD$2),NA(),COUNTIF(INDEX($CR$55:$CX$90,INDEX($U$4:$U$11,1,1),$AC$2):INDEX($CR$55:$CX$90,INDEX($U$4:$U$11,1,1)+ROW()-55,$AC$2),FF$53))</f>
        <v>#N/A</v>
      </c>
      <c r="FG84" t="e">
        <f>IF(OR(ROW()-54&gt;INDEX($U$4:$U$11,$AC$2+1,1)-INDEX($U$4:$U$11,$AC$2,1),ROW()-54&gt;$AD$2),NA(),COUNTIF(INDEX($CR$55:$CX$90,INDEX($U$4:$U$11,1,1),$AC$2):INDEX($CR$55:$CX$90,INDEX($U$4:$U$11,1,1)+ROW()-55,$AC$2),FG$53))</f>
        <v>#N/A</v>
      </c>
      <c r="FH84" t="e">
        <f>IF(OR(ROW()-54&gt;INDEX($U$4:$U$11,$AC$2+1,1)-INDEX($U$4:$U$11,$AC$2,1),ROW()-54&gt;$AD$2),NA(),COUNTIF(INDEX($CR$55:$CX$90,INDEX($U$4:$U$11,1,1),$AC$2):INDEX($CR$55:$CX$90,INDEX($U$4:$U$11,1,1)+ROW()-55,$AC$2),FH$53))</f>
        <v>#N/A</v>
      </c>
      <c r="FI84" t="e">
        <f>IF(OR(ROW()-54&gt;INDEX($U$4:$U$11,$AC$2+1,1)-INDEX($U$4:$U$11,$AC$2,1),ROW()-54&gt;$AD$2),NA(),COUNTIF(INDEX($CR$55:$CX$90,INDEX($U$4:$U$11,1,1),$AC$2):INDEX($CR$55:$CX$90,INDEX($U$4:$U$11,1,1)+ROW()-55,$AC$2),FI$53))</f>
        <v>#N/A</v>
      </c>
      <c r="FJ84" t="e">
        <f>IF(OR(ROW()-54&gt;INDEX($U$4:$U$11,$AC$2+1,1)-INDEX($U$4:$U$11,$AC$2,1),ROW()-54&gt;$AD$2),NA(),COUNTIF(INDEX($CR$55:$CX$90,INDEX($U$4:$U$11,1,1),$AC$2):INDEX($CR$55:$CX$90,INDEX($U$4:$U$11,1,1)+ROW()-55,$AC$2),FJ$53))</f>
        <v>#N/A</v>
      </c>
    </row>
    <row r="85" spans="1:166" x14ac:dyDescent="0.45">
      <c r="A85">
        <f>データの貼付!A83</f>
        <v>0</v>
      </c>
      <c r="B85">
        <f>データの貼付!B83</f>
        <v>0</v>
      </c>
      <c r="C85">
        <f>データの貼付!C83</f>
        <v>0</v>
      </c>
      <c r="D85">
        <f>データの貼付!D83</f>
        <v>0</v>
      </c>
      <c r="E85">
        <f>データの貼付!F83</f>
        <v>0</v>
      </c>
      <c r="F85">
        <f>データの貼付!E83</f>
        <v>0</v>
      </c>
      <c r="G85">
        <f>データの貼付!G83</f>
        <v>0</v>
      </c>
      <c r="H85">
        <f>データの貼付!H83</f>
        <v>0</v>
      </c>
      <c r="I85">
        <f>データの貼付!I83</f>
        <v>0</v>
      </c>
      <c r="J85">
        <f>データの貼付!J83</f>
        <v>0</v>
      </c>
      <c r="K85">
        <f>データの貼付!K83</f>
        <v>0</v>
      </c>
      <c r="L85">
        <f>データの貼付!L83</f>
        <v>0</v>
      </c>
      <c r="M85">
        <f>データの貼付!M83</f>
        <v>0</v>
      </c>
      <c r="N85">
        <f>データの貼付!N83</f>
        <v>0</v>
      </c>
      <c r="R85">
        <f t="shared" si="179"/>
        <v>0</v>
      </c>
      <c r="S85">
        <f>SUM(R$4:R85)</f>
        <v>6</v>
      </c>
      <c r="T85" t="str">
        <f t="shared" si="180"/>
        <v/>
      </c>
      <c r="W85" t="str">
        <f t="shared" si="177"/>
        <v>0_0</v>
      </c>
      <c r="X85" t="str">
        <f t="shared" si="178"/>
        <v>0_0</v>
      </c>
      <c r="BL85" t="e">
        <f t="shared" si="162"/>
        <v>#VALUE!</v>
      </c>
      <c r="BM85" t="e">
        <f t="shared" si="181"/>
        <v>#VALUE!</v>
      </c>
      <c r="BN85" t="e">
        <f t="shared" si="182"/>
        <v>#VALUE!</v>
      </c>
      <c r="BO85" t="e">
        <f t="shared" si="183"/>
        <v>#VALUE!</v>
      </c>
      <c r="BP85" t="e">
        <f t="shared" si="184"/>
        <v>#VALUE!</v>
      </c>
      <c r="BQ85" t="e">
        <f t="shared" si="185"/>
        <v>#VALUE!</v>
      </c>
      <c r="BR85" t="e">
        <f t="shared" si="186"/>
        <v>#VALUE!</v>
      </c>
      <c r="CR85" t="e">
        <f t="shared" si="170"/>
        <v>#VALUE!</v>
      </c>
      <c r="CS85" t="e">
        <f t="shared" si="171"/>
        <v>#VALUE!</v>
      </c>
      <c r="CT85" t="e">
        <f t="shared" si="172"/>
        <v>#VALUE!</v>
      </c>
      <c r="CU85" t="e">
        <f t="shared" si="173"/>
        <v>#VALUE!</v>
      </c>
      <c r="CV85" t="e">
        <f t="shared" si="174"/>
        <v>#VALUE!</v>
      </c>
      <c r="CW85" t="e">
        <f t="shared" si="175"/>
        <v>#VALUE!</v>
      </c>
      <c r="CX85" t="e">
        <f t="shared" si="176"/>
        <v>#VALUE!</v>
      </c>
      <c r="DH85" t="e">
        <f>IF(OR(ROW()-54&gt;INDEX($U$4:$U$11,$AC$2+1,1)-INDEX($U$4:$U$11,$AC$2,1),ROW()-54&gt;$AD$2),NA(),COUNTIF(INDEX($BL$55:$BR$100,INDEX($U$4:$U$11,1,1),$AC$2):INDEX($BL$55:$BR$100,INDEX($U$4:$U$11,1,1)+ROW()-55,$AC$2),DH$53))</f>
        <v>#N/A</v>
      </c>
      <c r="DI85" t="e">
        <f>IF(OR(ROW()-54&gt;INDEX($U$4:$U$11,$AC$2+1,1)-INDEX($U$4:$U$11,$AC$2,1),ROW()-54&gt;$AD$2),NA(),COUNTIF(INDEX($BL$55:$BR$100,INDEX($U$4:$U$11,1,1),$AC$2):INDEX($BL$55:$BR$100,INDEX($U$4:$U$11,1,1)+ROW()-55,$AC$2),DI$53))</f>
        <v>#N/A</v>
      </c>
      <c r="DJ85" t="e">
        <f>IF(OR(ROW()-54&gt;INDEX($U$4:$U$11,$AC$2+1,1)-INDEX($U$4:$U$11,$AC$2,1),ROW()-54&gt;$AD$2),NA(),COUNTIF(INDEX($BL$55:$BR$100,INDEX($U$4:$U$11,1,1),$AC$2):INDEX($BL$55:$BR$100,INDEX($U$4:$U$11,1,1)+ROW()-55,$AC$2),DJ$53))</f>
        <v>#N/A</v>
      </c>
      <c r="DL85" t="e">
        <f>IF(OR(ROW()-54&gt;INDEX($U$4:$U$11,$AC$2+1,1)-INDEX($U$4:$U$11,$AC$2,1),ROW()-54&gt;$AD$2),NA(),COUNTIF(INDEX($BL$55:$BR$100,INDEX($U$4:$U$11,1,1),$AC$2):INDEX($BL$55:$BR$100,INDEX($U$4:$U$11,1,1)+ROW()-55,$AC$2),DL$53))</f>
        <v>#N/A</v>
      </c>
      <c r="DM85" t="e">
        <f>IF(OR(ROW()-54&gt;INDEX($U$4:$U$11,$AC$2+1,1)-INDEX($U$4:$U$11,$AC$2,1),ROW()-54&gt;$AD$2),NA(),COUNTIF(INDEX($BL$55:$BR$100,INDEX($U$4:$U$11,1,1),$AC$2):INDEX($BL$5:$BR$50,INDEX($U$4:$U$11,1,1)+ROW()-55,$AC$2),DM$53))</f>
        <v>#N/A</v>
      </c>
      <c r="DN85" t="e">
        <f>IF(OR(ROW()-54&gt;INDEX($U$4:$U$11,$AC$2+1,1)-INDEX($U$4:$U$11,$AC$2,1),ROW()-54&gt;$AD$2),NA(),COUNTIF(INDEX($BL$55:$BR$100,INDEX($U$4:$U$11,1,1),$AC$2):INDEX($BL$55:$BR$100,INDEX($U$4:$U$11,1,1)+ROW()-55,$AC$2),DN$53))</f>
        <v>#N/A</v>
      </c>
      <c r="ET85" t="e">
        <f>IF(OR(ROW()-54&gt;INDEX($U$4:$U$11,$AC$2+1,1)-INDEX($U$4:$U$11,$AC$2,1),ROW()-54&gt;$AD$2),NA(),COUNTIF(INDEX($CR$55:$CX$90,INDEX($U$4:$U$11,1,1),$AC$2):INDEX($CR$55:$CX$90,INDEX($U$4:$U$11,1,1)+ROW()-55,$AC$2),ET$53))</f>
        <v>#N/A</v>
      </c>
      <c r="EU85" t="e">
        <f>IF(OR(ROW()-54&gt;INDEX($U$4:$U$11,$AC$2+1,1)-INDEX($U$4:$U$11,$AC$2,1),ROW()-54&gt;$AD$2),NA(),COUNTIF(INDEX($CR$55:$CX$90,INDEX($U$4:$U$11,1,1),$AC$2):INDEX($CR$55:$CX$90,INDEX($U$4:$U$11,1,1)+ROW()-55,$AC$2),EU$53))</f>
        <v>#N/A</v>
      </c>
      <c r="EV85" t="e">
        <f>IF(OR(ROW()-54&gt;INDEX($U$4:$U$11,$AC$2+1,1)-INDEX($U$4:$U$11,$AC$2,1),ROW()-54&gt;$AD$2),NA(),COUNTIF(INDEX($CR$55:$CX$90,INDEX($U$4:$U$11,1,1),$AC$2):INDEX($CR$55:$CX$90,INDEX($U$4:$U$11,1,1)+ROW()-55,$AC$2),EV$53))</f>
        <v>#N/A</v>
      </c>
      <c r="EW85" t="e">
        <f>IF(OR(ROW()-54&gt;INDEX($U$4:$U$11,$AC$2+1,1)-INDEX($U$4:$U$11,$AC$2,1),ROW()-54&gt;$AD$2),NA(),COUNTIF(INDEX($CR$55:$CX$90,INDEX($U$4:$U$11,1,1),$AC$2):INDEX($CR$55:$CX$90,INDEX($U$4:$U$11,1,1)+ROW()-55,$AC$2),EW$53))</f>
        <v>#N/A</v>
      </c>
      <c r="EX85" t="e">
        <f>IF(OR(ROW()-54&gt;INDEX($U$4:$U$11,$AC$2+1,1)-INDEX($U$4:$U$11,$AC$2,1),ROW()-54&gt;$AD$2),NA(),COUNTIF(INDEX($CR$55:$CX$90,INDEX($U$4:$U$11,1,1),$AC$2):INDEX($CR$55:$CX$90,INDEX($U$4:$U$11,1,1)+ROW()-55,$AC$2),EX$53))</f>
        <v>#N/A</v>
      </c>
      <c r="EY85" t="e">
        <f>IF(OR(ROW()-54&gt;INDEX($U$4:$U$11,$AC$2+1,1)-INDEX($U$4:$U$11,$AC$2,1),ROW()-54&gt;$AD$2),NA(),COUNTIF(INDEX($CR$55:$CX$90,INDEX($U$4:$U$11,1,1),$AC$2):INDEX($CR$55:$CX$90,INDEX($U$4:$U$11,1,1)+ROW()-55,$AC$2),EY$53))</f>
        <v>#N/A</v>
      </c>
      <c r="EZ85" t="e">
        <f>IF(OR(ROW()-54&gt;INDEX($U$4:$U$11,$AC$2+1,1)-INDEX($U$4:$U$11,$AC$2,1),ROW()-54&gt;$AD$2),NA(),COUNTIF(INDEX($CR$55:$CX$90,INDEX($U$4:$U$11,1,1),$AC$2):INDEX($CR$55:$CX$90,INDEX($U$4:$U$11,1,1)+ROW()-55,$AC$2),EZ$53))</f>
        <v>#N/A</v>
      </c>
      <c r="FA85" t="e">
        <f>IF(OR(ROW()-54&gt;INDEX($U$4:$U$11,$AC$2+1,1)-INDEX($U$4:$U$11,$AC$2,1),ROW()-54&gt;$AD$2),NA(),COUNTIF(INDEX($CR$55:$CX$90,INDEX($U$4:$U$11,1,1),$AC$2):INDEX($CR$55:$CX$90,INDEX($U$4:$U$11,1,1)+ROW()-55,$AC$2),FA$53))</f>
        <v>#N/A</v>
      </c>
      <c r="FC85" t="e">
        <f>IF(OR(ROW()-54&gt;INDEX($U$4:$U$11,$AC$2+1,1)-INDEX($U$4:$U$11,$AC$2,1),ROW()-54&gt;$AD$2),NA(),COUNTIF(INDEX($CR$55:$CX$90,INDEX($U$4:$U$11,1,1),$AC$2):INDEX($CR$55:$CX$90,INDEX($U$4:$U$11,1,1)+ROW()-55,$AC$2),FC$53))</f>
        <v>#N/A</v>
      </c>
      <c r="FD85" t="e">
        <f>IF(OR(ROW()-54&gt;INDEX($U$4:$U$11,$AC$2+1,1)-INDEX($U$4:$U$11,$AC$2,1),ROW()-54&gt;$AD$2),NA(),COUNTIF(INDEX($CR$55:$CX$90,INDEX($U$4:$U$11,1,1),$AC$2):INDEX($CR$55:$CX$90,INDEX($U$4:$U$11,1,1)+ROW()-55,$AC$2),FD$53))</f>
        <v>#N/A</v>
      </c>
      <c r="FE85" t="e">
        <f>IF(OR(ROW()-54&gt;INDEX($U$4:$U$11,$AC$2+1,1)-INDEX($U$4:$U$11,$AC$2,1),ROW()-54&gt;$AD$2),NA(),COUNTIF(INDEX($CR$55:$CX$90,INDEX($U$4:$U$11,1,1),$AC$2):INDEX($CR$55:$CX$90,INDEX($U$4:$U$11,1,1)+ROW()-55,$AC$2),FE$53))</f>
        <v>#N/A</v>
      </c>
      <c r="FF85" t="e">
        <f>IF(OR(ROW()-54&gt;INDEX($U$4:$U$11,$AC$2+1,1)-INDEX($U$4:$U$11,$AC$2,1),ROW()-54&gt;$AD$2),NA(),COUNTIF(INDEX($CR$55:$CX$90,INDEX($U$4:$U$11,1,1),$AC$2):INDEX($CR$55:$CX$90,INDEX($U$4:$U$11,1,1)+ROW()-55,$AC$2),FF$53))</f>
        <v>#N/A</v>
      </c>
      <c r="FG85" t="e">
        <f>IF(OR(ROW()-54&gt;INDEX($U$4:$U$11,$AC$2+1,1)-INDEX($U$4:$U$11,$AC$2,1),ROW()-54&gt;$AD$2),NA(),COUNTIF(INDEX($CR$55:$CX$90,INDEX($U$4:$U$11,1,1),$AC$2):INDEX($CR$55:$CX$90,INDEX($U$4:$U$11,1,1)+ROW()-55,$AC$2),FG$53))</f>
        <v>#N/A</v>
      </c>
      <c r="FH85" t="e">
        <f>IF(OR(ROW()-54&gt;INDEX($U$4:$U$11,$AC$2+1,1)-INDEX($U$4:$U$11,$AC$2,1),ROW()-54&gt;$AD$2),NA(),COUNTIF(INDEX($CR$55:$CX$90,INDEX($U$4:$U$11,1,1),$AC$2):INDEX($CR$55:$CX$90,INDEX($U$4:$U$11,1,1)+ROW()-55,$AC$2),FH$53))</f>
        <v>#N/A</v>
      </c>
      <c r="FI85" t="e">
        <f>IF(OR(ROW()-54&gt;INDEX($U$4:$U$11,$AC$2+1,1)-INDEX($U$4:$U$11,$AC$2,1),ROW()-54&gt;$AD$2),NA(),COUNTIF(INDEX($CR$55:$CX$90,INDEX($U$4:$U$11,1,1),$AC$2):INDEX($CR$55:$CX$90,INDEX($U$4:$U$11,1,1)+ROW()-55,$AC$2),FI$53))</f>
        <v>#N/A</v>
      </c>
      <c r="FJ85" t="e">
        <f>IF(OR(ROW()-54&gt;INDEX($U$4:$U$11,$AC$2+1,1)-INDEX($U$4:$U$11,$AC$2,1),ROW()-54&gt;$AD$2),NA(),COUNTIF(INDEX($CR$55:$CX$90,INDEX($U$4:$U$11,1,1),$AC$2):INDEX($CR$55:$CX$90,INDEX($U$4:$U$11,1,1)+ROW()-55,$AC$2),FJ$53))</f>
        <v>#N/A</v>
      </c>
    </row>
    <row r="86" spans="1:166" x14ac:dyDescent="0.45">
      <c r="A86">
        <f>データの貼付!A84</f>
        <v>0</v>
      </c>
      <c r="B86">
        <f>データの貼付!B84</f>
        <v>0</v>
      </c>
      <c r="C86">
        <f>データの貼付!C84</f>
        <v>0</v>
      </c>
      <c r="D86">
        <f>データの貼付!D84</f>
        <v>0</v>
      </c>
      <c r="E86">
        <f>データの貼付!F84</f>
        <v>0</v>
      </c>
      <c r="F86">
        <f>データの貼付!E84</f>
        <v>0</v>
      </c>
      <c r="G86">
        <f>データの貼付!G84</f>
        <v>0</v>
      </c>
      <c r="H86">
        <f>データの貼付!H84</f>
        <v>0</v>
      </c>
      <c r="I86">
        <f>データの貼付!I84</f>
        <v>0</v>
      </c>
      <c r="J86">
        <f>データの貼付!J84</f>
        <v>0</v>
      </c>
      <c r="K86">
        <f>データの貼付!K84</f>
        <v>0</v>
      </c>
      <c r="L86">
        <f>データの貼付!L84</f>
        <v>0</v>
      </c>
      <c r="M86">
        <f>データの貼付!M84</f>
        <v>0</v>
      </c>
      <c r="N86">
        <f>データの貼付!N84</f>
        <v>0</v>
      </c>
      <c r="R86">
        <f t="shared" si="179"/>
        <v>0</v>
      </c>
      <c r="S86">
        <f>SUM(R$4:R86)</f>
        <v>6</v>
      </c>
      <c r="T86" t="str">
        <f t="shared" si="180"/>
        <v/>
      </c>
      <c r="W86" t="str">
        <f t="shared" si="177"/>
        <v>0_0</v>
      </c>
      <c r="X86" t="str">
        <f t="shared" si="178"/>
        <v>0_0</v>
      </c>
      <c r="BL86" t="e">
        <f t="shared" si="162"/>
        <v>#VALUE!</v>
      </c>
      <c r="BM86" t="e">
        <f t="shared" si="181"/>
        <v>#VALUE!</v>
      </c>
      <c r="BN86" t="e">
        <f t="shared" si="182"/>
        <v>#VALUE!</v>
      </c>
      <c r="BO86" t="e">
        <f t="shared" si="183"/>
        <v>#VALUE!</v>
      </c>
      <c r="BP86" t="e">
        <f t="shared" si="184"/>
        <v>#VALUE!</v>
      </c>
      <c r="BQ86" t="e">
        <f t="shared" si="185"/>
        <v>#VALUE!</v>
      </c>
      <c r="BR86" t="e">
        <f t="shared" si="186"/>
        <v>#VALUE!</v>
      </c>
      <c r="CR86" t="e">
        <f t="shared" si="170"/>
        <v>#VALUE!</v>
      </c>
      <c r="CS86" t="e">
        <f t="shared" si="171"/>
        <v>#VALUE!</v>
      </c>
      <c r="CT86" t="e">
        <f t="shared" si="172"/>
        <v>#VALUE!</v>
      </c>
      <c r="CU86" t="e">
        <f t="shared" si="173"/>
        <v>#VALUE!</v>
      </c>
      <c r="CV86" t="e">
        <f t="shared" si="174"/>
        <v>#VALUE!</v>
      </c>
      <c r="CW86" t="e">
        <f t="shared" si="175"/>
        <v>#VALUE!</v>
      </c>
      <c r="CX86" t="e">
        <f t="shared" si="176"/>
        <v>#VALUE!</v>
      </c>
      <c r="DH86" t="e">
        <f>IF(OR(ROW()-54&gt;INDEX($U$4:$U$11,$AC$2+1,1)-INDEX($U$4:$U$11,$AC$2,1),ROW()-54&gt;$AD$2),NA(),COUNTIF(INDEX($BL$55:$BR$100,INDEX($U$4:$U$11,1,1),$AC$2):INDEX($BL$55:$BR$100,INDEX($U$4:$U$11,1,1)+ROW()-55,$AC$2),DH$53))</f>
        <v>#N/A</v>
      </c>
      <c r="DI86" t="e">
        <f>IF(OR(ROW()-54&gt;INDEX($U$4:$U$11,$AC$2+1,1)-INDEX($U$4:$U$11,$AC$2,1),ROW()-54&gt;$AD$2),NA(),COUNTIF(INDEX($BL$55:$BR$100,INDEX($U$4:$U$11,1,1),$AC$2):INDEX($BL$55:$BR$100,INDEX($U$4:$U$11,1,1)+ROW()-55,$AC$2),DI$53))</f>
        <v>#N/A</v>
      </c>
      <c r="DJ86" t="e">
        <f>IF(OR(ROW()-54&gt;INDEX($U$4:$U$11,$AC$2+1,1)-INDEX($U$4:$U$11,$AC$2,1),ROW()-54&gt;$AD$2),NA(),COUNTIF(INDEX($BL$55:$BR$100,INDEX($U$4:$U$11,1,1),$AC$2):INDEX($BL$55:$BR$100,INDEX($U$4:$U$11,1,1)+ROW()-55,$AC$2),DJ$53))</f>
        <v>#N/A</v>
      </c>
      <c r="DL86" t="e">
        <f>IF(OR(ROW()-54&gt;INDEX($U$4:$U$11,$AC$2+1,1)-INDEX($U$4:$U$11,$AC$2,1),ROW()-54&gt;$AD$2),NA(),COUNTIF(INDEX($BL$55:$BR$100,INDEX($U$4:$U$11,1,1),$AC$2):INDEX($BL$55:$BR$100,INDEX($U$4:$U$11,1,1)+ROW()-55,$AC$2),DL$53))</f>
        <v>#N/A</v>
      </c>
      <c r="DM86" t="e">
        <f>IF(OR(ROW()-54&gt;INDEX($U$4:$U$11,$AC$2+1,1)-INDEX($U$4:$U$11,$AC$2,1),ROW()-54&gt;$AD$2),NA(),COUNTIF(INDEX($BL$55:$BR$100,INDEX($U$4:$U$11,1,1),$AC$2):INDEX($BL$5:$BR$50,INDEX($U$4:$U$11,1,1)+ROW()-55,$AC$2),DM$53))</f>
        <v>#N/A</v>
      </c>
      <c r="DN86" t="e">
        <f>IF(OR(ROW()-54&gt;INDEX($U$4:$U$11,$AC$2+1,1)-INDEX($U$4:$U$11,$AC$2,1),ROW()-54&gt;$AD$2),NA(),COUNTIF(INDEX($BL$55:$BR$100,INDEX($U$4:$U$11,1,1),$AC$2):INDEX($BL$55:$BR$100,INDEX($U$4:$U$11,1,1)+ROW()-55,$AC$2),DN$53))</f>
        <v>#N/A</v>
      </c>
      <c r="ET86" t="e">
        <f>IF(OR(ROW()-54&gt;INDEX($U$4:$U$11,$AC$2+1,1)-INDEX($U$4:$U$11,$AC$2,1),ROW()-54&gt;$AD$2),NA(),COUNTIF(INDEX($CR$55:$CX$90,INDEX($U$4:$U$11,1,1),$AC$2):INDEX($CR$55:$CX$90,INDEX($U$4:$U$11,1,1)+ROW()-55,$AC$2),ET$53))</f>
        <v>#N/A</v>
      </c>
      <c r="EU86" t="e">
        <f>IF(OR(ROW()-54&gt;INDEX($U$4:$U$11,$AC$2+1,1)-INDEX($U$4:$U$11,$AC$2,1),ROW()-54&gt;$AD$2),NA(),COUNTIF(INDEX($CR$55:$CX$90,INDEX($U$4:$U$11,1,1),$AC$2):INDEX($CR$55:$CX$90,INDEX($U$4:$U$11,1,1)+ROW()-55,$AC$2),EU$53))</f>
        <v>#N/A</v>
      </c>
      <c r="EV86" t="e">
        <f>IF(OR(ROW()-54&gt;INDEX($U$4:$U$11,$AC$2+1,1)-INDEX($U$4:$U$11,$AC$2,1),ROW()-54&gt;$AD$2),NA(),COUNTIF(INDEX($CR$55:$CX$90,INDEX($U$4:$U$11,1,1),$AC$2):INDEX($CR$55:$CX$90,INDEX($U$4:$U$11,1,1)+ROW()-55,$AC$2),EV$53))</f>
        <v>#N/A</v>
      </c>
      <c r="EW86" t="e">
        <f>IF(OR(ROW()-54&gt;INDEX($U$4:$U$11,$AC$2+1,1)-INDEX($U$4:$U$11,$AC$2,1),ROW()-54&gt;$AD$2),NA(),COUNTIF(INDEX($CR$55:$CX$90,INDEX($U$4:$U$11,1,1),$AC$2):INDEX($CR$55:$CX$90,INDEX($U$4:$U$11,1,1)+ROW()-55,$AC$2),EW$53))</f>
        <v>#N/A</v>
      </c>
      <c r="EX86" t="e">
        <f>IF(OR(ROW()-54&gt;INDEX($U$4:$U$11,$AC$2+1,1)-INDEX($U$4:$U$11,$AC$2,1),ROW()-54&gt;$AD$2),NA(),COUNTIF(INDEX($CR$55:$CX$90,INDEX($U$4:$U$11,1,1),$AC$2):INDEX($CR$55:$CX$90,INDEX($U$4:$U$11,1,1)+ROW()-55,$AC$2),EX$53))</f>
        <v>#N/A</v>
      </c>
      <c r="EY86" t="e">
        <f>IF(OR(ROW()-54&gt;INDEX($U$4:$U$11,$AC$2+1,1)-INDEX($U$4:$U$11,$AC$2,1),ROW()-54&gt;$AD$2),NA(),COUNTIF(INDEX($CR$55:$CX$90,INDEX($U$4:$U$11,1,1),$AC$2):INDEX($CR$55:$CX$90,INDEX($U$4:$U$11,1,1)+ROW()-55,$AC$2),EY$53))</f>
        <v>#N/A</v>
      </c>
      <c r="EZ86" t="e">
        <f>IF(OR(ROW()-54&gt;INDEX($U$4:$U$11,$AC$2+1,1)-INDEX($U$4:$U$11,$AC$2,1),ROW()-54&gt;$AD$2),NA(),COUNTIF(INDEX($CR$55:$CX$90,INDEX($U$4:$U$11,1,1),$AC$2):INDEX($CR$55:$CX$90,INDEX($U$4:$U$11,1,1)+ROW()-55,$AC$2),EZ$53))</f>
        <v>#N/A</v>
      </c>
      <c r="FA86" t="e">
        <f>IF(OR(ROW()-54&gt;INDEX($U$4:$U$11,$AC$2+1,1)-INDEX($U$4:$U$11,$AC$2,1),ROW()-54&gt;$AD$2),NA(),COUNTIF(INDEX($CR$55:$CX$90,INDEX($U$4:$U$11,1,1),$AC$2):INDEX($CR$55:$CX$90,INDEX($U$4:$U$11,1,1)+ROW()-55,$AC$2),FA$53))</f>
        <v>#N/A</v>
      </c>
      <c r="FC86" t="e">
        <f>IF(OR(ROW()-54&gt;INDEX($U$4:$U$11,$AC$2+1,1)-INDEX($U$4:$U$11,$AC$2,1),ROW()-54&gt;$AD$2),NA(),COUNTIF(INDEX($CR$55:$CX$90,INDEX($U$4:$U$11,1,1),$AC$2):INDEX($CR$55:$CX$90,INDEX($U$4:$U$11,1,1)+ROW()-55,$AC$2),FC$53))</f>
        <v>#N/A</v>
      </c>
      <c r="FD86" t="e">
        <f>IF(OR(ROW()-54&gt;INDEX($U$4:$U$11,$AC$2+1,1)-INDEX($U$4:$U$11,$AC$2,1),ROW()-54&gt;$AD$2),NA(),COUNTIF(INDEX($CR$55:$CX$90,INDEX($U$4:$U$11,1,1),$AC$2):INDEX($CR$55:$CX$90,INDEX($U$4:$U$11,1,1)+ROW()-55,$AC$2),FD$53))</f>
        <v>#N/A</v>
      </c>
      <c r="FE86" t="e">
        <f>IF(OR(ROW()-54&gt;INDEX($U$4:$U$11,$AC$2+1,1)-INDEX($U$4:$U$11,$AC$2,1),ROW()-54&gt;$AD$2),NA(),COUNTIF(INDEX($CR$55:$CX$90,INDEX($U$4:$U$11,1,1),$AC$2):INDEX($CR$55:$CX$90,INDEX($U$4:$U$11,1,1)+ROW()-55,$AC$2),FE$53))</f>
        <v>#N/A</v>
      </c>
      <c r="FF86" t="e">
        <f>IF(OR(ROW()-54&gt;INDEX($U$4:$U$11,$AC$2+1,1)-INDEX($U$4:$U$11,$AC$2,1),ROW()-54&gt;$AD$2),NA(),COUNTIF(INDEX($CR$55:$CX$90,INDEX($U$4:$U$11,1,1),$AC$2):INDEX($CR$55:$CX$90,INDEX($U$4:$U$11,1,1)+ROW()-55,$AC$2),FF$53))</f>
        <v>#N/A</v>
      </c>
      <c r="FG86" t="e">
        <f>IF(OR(ROW()-54&gt;INDEX($U$4:$U$11,$AC$2+1,1)-INDEX($U$4:$U$11,$AC$2,1),ROW()-54&gt;$AD$2),NA(),COUNTIF(INDEX($CR$55:$CX$90,INDEX($U$4:$U$11,1,1),$AC$2):INDEX($CR$55:$CX$90,INDEX($U$4:$U$11,1,1)+ROW()-55,$AC$2),FG$53))</f>
        <v>#N/A</v>
      </c>
      <c r="FH86" t="e">
        <f>IF(OR(ROW()-54&gt;INDEX($U$4:$U$11,$AC$2+1,1)-INDEX($U$4:$U$11,$AC$2,1),ROW()-54&gt;$AD$2),NA(),COUNTIF(INDEX($CR$55:$CX$90,INDEX($U$4:$U$11,1,1),$AC$2):INDEX($CR$55:$CX$90,INDEX($U$4:$U$11,1,1)+ROW()-55,$AC$2),FH$53))</f>
        <v>#N/A</v>
      </c>
      <c r="FI86" t="e">
        <f>IF(OR(ROW()-54&gt;INDEX($U$4:$U$11,$AC$2+1,1)-INDEX($U$4:$U$11,$AC$2,1),ROW()-54&gt;$AD$2),NA(),COUNTIF(INDEX($CR$55:$CX$90,INDEX($U$4:$U$11,1,1),$AC$2):INDEX($CR$55:$CX$90,INDEX($U$4:$U$11,1,1)+ROW()-55,$AC$2),FI$53))</f>
        <v>#N/A</v>
      </c>
      <c r="FJ86" t="e">
        <f>IF(OR(ROW()-54&gt;INDEX($U$4:$U$11,$AC$2+1,1)-INDEX($U$4:$U$11,$AC$2,1),ROW()-54&gt;$AD$2),NA(),COUNTIF(INDEX($CR$55:$CX$90,INDEX($U$4:$U$11,1,1),$AC$2):INDEX($CR$55:$CX$90,INDEX($U$4:$U$11,1,1)+ROW()-55,$AC$2),FJ$53))</f>
        <v>#N/A</v>
      </c>
    </row>
    <row r="87" spans="1:166" x14ac:dyDescent="0.45">
      <c r="A87">
        <f>データの貼付!A85</f>
        <v>0</v>
      </c>
      <c r="B87">
        <f>データの貼付!B85</f>
        <v>0</v>
      </c>
      <c r="C87">
        <f>データの貼付!C85</f>
        <v>0</v>
      </c>
      <c r="D87">
        <f>データの貼付!D85</f>
        <v>0</v>
      </c>
      <c r="E87">
        <f>データの貼付!F85</f>
        <v>0</v>
      </c>
      <c r="F87">
        <f>データの貼付!E85</f>
        <v>0</v>
      </c>
      <c r="G87">
        <f>データの貼付!G85</f>
        <v>0</v>
      </c>
      <c r="H87">
        <f>データの貼付!H85</f>
        <v>0</v>
      </c>
      <c r="I87">
        <f>データの貼付!I85</f>
        <v>0</v>
      </c>
      <c r="J87">
        <f>データの貼付!J85</f>
        <v>0</v>
      </c>
      <c r="K87">
        <f>データの貼付!K85</f>
        <v>0</v>
      </c>
      <c r="L87">
        <f>データの貼付!L85</f>
        <v>0</v>
      </c>
      <c r="M87">
        <f>データの貼付!M85</f>
        <v>0</v>
      </c>
      <c r="N87">
        <f>データの貼付!N85</f>
        <v>0</v>
      </c>
      <c r="R87">
        <f t="shared" si="179"/>
        <v>0</v>
      </c>
      <c r="S87">
        <f>SUM(R$4:R87)</f>
        <v>6</v>
      </c>
      <c r="T87" t="str">
        <f t="shared" si="180"/>
        <v/>
      </c>
      <c r="W87" t="str">
        <f t="shared" si="177"/>
        <v>0_0</v>
      </c>
      <c r="X87" t="str">
        <f t="shared" si="178"/>
        <v>0_0</v>
      </c>
      <c r="BL87" t="e">
        <f t="shared" si="162"/>
        <v>#VALUE!</v>
      </c>
      <c r="BM87" t="e">
        <f t="shared" si="181"/>
        <v>#VALUE!</v>
      </c>
      <c r="BN87" t="e">
        <f t="shared" si="182"/>
        <v>#VALUE!</v>
      </c>
      <c r="BO87" t="e">
        <f t="shared" si="183"/>
        <v>#VALUE!</v>
      </c>
      <c r="BP87" t="e">
        <f t="shared" si="184"/>
        <v>#VALUE!</v>
      </c>
      <c r="BQ87" t="e">
        <f t="shared" si="185"/>
        <v>#VALUE!</v>
      </c>
      <c r="BR87" t="e">
        <f t="shared" si="186"/>
        <v>#VALUE!</v>
      </c>
      <c r="CR87" t="e">
        <f t="shared" si="170"/>
        <v>#VALUE!</v>
      </c>
      <c r="CS87" t="e">
        <f t="shared" si="171"/>
        <v>#VALUE!</v>
      </c>
      <c r="CT87" t="e">
        <f t="shared" si="172"/>
        <v>#VALUE!</v>
      </c>
      <c r="CU87" t="e">
        <f t="shared" si="173"/>
        <v>#VALUE!</v>
      </c>
      <c r="CV87" t="e">
        <f t="shared" si="174"/>
        <v>#VALUE!</v>
      </c>
      <c r="CW87" t="e">
        <f t="shared" si="175"/>
        <v>#VALUE!</v>
      </c>
      <c r="CX87" t="e">
        <f t="shared" si="176"/>
        <v>#VALUE!</v>
      </c>
      <c r="DH87" t="e">
        <f>IF(OR(ROW()-54&gt;INDEX($U$4:$U$11,$AC$2+1,1)-INDEX($U$4:$U$11,$AC$2,1),ROW()-54&gt;$AD$2),NA(),COUNTIF(INDEX($BL$55:$BR$100,INDEX($U$4:$U$11,1,1),$AC$2):INDEX($BL$55:$BR$100,INDEX($U$4:$U$11,1,1)+ROW()-55,$AC$2),DH$53))</f>
        <v>#N/A</v>
      </c>
      <c r="DI87" t="e">
        <f>IF(OR(ROW()-54&gt;INDEX($U$4:$U$11,$AC$2+1,1)-INDEX($U$4:$U$11,$AC$2,1),ROW()-54&gt;$AD$2),NA(),COUNTIF(INDEX($BL$55:$BR$100,INDEX($U$4:$U$11,1,1),$AC$2):INDEX($BL$55:$BR$100,INDEX($U$4:$U$11,1,1)+ROW()-55,$AC$2),DI$53))</f>
        <v>#N/A</v>
      </c>
      <c r="DJ87" t="e">
        <f>IF(OR(ROW()-54&gt;INDEX($U$4:$U$11,$AC$2+1,1)-INDEX($U$4:$U$11,$AC$2,1),ROW()-54&gt;$AD$2),NA(),COUNTIF(INDEX($BL$55:$BR$100,INDEX($U$4:$U$11,1,1),$AC$2):INDEX($BL$55:$BR$100,INDEX($U$4:$U$11,1,1)+ROW()-55,$AC$2),DJ$53))</f>
        <v>#N/A</v>
      </c>
      <c r="DL87" t="e">
        <f>IF(OR(ROW()-54&gt;INDEX($U$4:$U$11,$AC$2+1,1)-INDEX($U$4:$U$11,$AC$2,1),ROW()-54&gt;$AD$2),NA(),COUNTIF(INDEX($BL$55:$BR$100,INDEX($U$4:$U$11,1,1),$AC$2):INDEX($BL$55:$BR$100,INDEX($U$4:$U$11,1,1)+ROW()-55,$AC$2),DL$53))</f>
        <v>#N/A</v>
      </c>
      <c r="DM87" t="e">
        <f>IF(OR(ROW()-54&gt;INDEX($U$4:$U$11,$AC$2+1,1)-INDEX($U$4:$U$11,$AC$2,1),ROW()-54&gt;$AD$2),NA(),COUNTIF(INDEX($BL$55:$BR$100,INDEX($U$4:$U$11,1,1),$AC$2):INDEX($BL$5:$BR$50,INDEX($U$4:$U$11,1,1)+ROW()-55,$AC$2),DM$53))</f>
        <v>#N/A</v>
      </c>
      <c r="DN87" t="e">
        <f>IF(OR(ROW()-54&gt;INDEX($U$4:$U$11,$AC$2+1,1)-INDEX($U$4:$U$11,$AC$2,1),ROW()-54&gt;$AD$2),NA(),COUNTIF(INDEX($BL$55:$BR$100,INDEX($U$4:$U$11,1,1),$AC$2):INDEX($BL$55:$BR$100,INDEX($U$4:$U$11,1,1)+ROW()-55,$AC$2),DN$53))</f>
        <v>#N/A</v>
      </c>
      <c r="ET87" t="e">
        <f>IF(OR(ROW()-54&gt;INDEX($U$4:$U$11,$AC$2+1,1)-INDEX($U$4:$U$11,$AC$2,1),ROW()-54&gt;$AD$2),NA(),COUNTIF(INDEX($CR$55:$CX$90,INDEX($U$4:$U$11,1,1),$AC$2):INDEX($CR$55:$CX$90,INDEX($U$4:$U$11,1,1)+ROW()-55,$AC$2),ET$53))</f>
        <v>#N/A</v>
      </c>
      <c r="EU87" t="e">
        <f>IF(OR(ROW()-54&gt;INDEX($U$4:$U$11,$AC$2+1,1)-INDEX($U$4:$U$11,$AC$2,1),ROW()-54&gt;$AD$2),NA(),COUNTIF(INDEX($CR$55:$CX$90,INDEX($U$4:$U$11,1,1),$AC$2):INDEX($CR$55:$CX$90,INDEX($U$4:$U$11,1,1)+ROW()-55,$AC$2),EU$53))</f>
        <v>#N/A</v>
      </c>
      <c r="EV87" t="e">
        <f>IF(OR(ROW()-54&gt;INDEX($U$4:$U$11,$AC$2+1,1)-INDEX($U$4:$U$11,$AC$2,1),ROW()-54&gt;$AD$2),NA(),COUNTIF(INDEX($CR$55:$CX$90,INDEX($U$4:$U$11,1,1),$AC$2):INDEX($CR$55:$CX$90,INDEX($U$4:$U$11,1,1)+ROW()-55,$AC$2),EV$53))</f>
        <v>#N/A</v>
      </c>
      <c r="EW87" t="e">
        <f>IF(OR(ROW()-54&gt;INDEX($U$4:$U$11,$AC$2+1,1)-INDEX($U$4:$U$11,$AC$2,1),ROW()-54&gt;$AD$2),NA(),COUNTIF(INDEX($CR$55:$CX$90,INDEX($U$4:$U$11,1,1),$AC$2):INDEX($CR$55:$CX$90,INDEX($U$4:$U$11,1,1)+ROW()-55,$AC$2),EW$53))</f>
        <v>#N/A</v>
      </c>
      <c r="EX87" t="e">
        <f>IF(OR(ROW()-54&gt;INDEX($U$4:$U$11,$AC$2+1,1)-INDEX($U$4:$U$11,$AC$2,1),ROW()-54&gt;$AD$2),NA(),COUNTIF(INDEX($CR$55:$CX$90,INDEX($U$4:$U$11,1,1),$AC$2):INDEX($CR$55:$CX$90,INDEX($U$4:$U$11,1,1)+ROW()-55,$AC$2),EX$53))</f>
        <v>#N/A</v>
      </c>
      <c r="EY87" t="e">
        <f>IF(OR(ROW()-54&gt;INDEX($U$4:$U$11,$AC$2+1,1)-INDEX($U$4:$U$11,$AC$2,1),ROW()-54&gt;$AD$2),NA(),COUNTIF(INDEX($CR$55:$CX$90,INDEX($U$4:$U$11,1,1),$AC$2):INDEX($CR$55:$CX$90,INDEX($U$4:$U$11,1,1)+ROW()-55,$AC$2),EY$53))</f>
        <v>#N/A</v>
      </c>
      <c r="EZ87" t="e">
        <f>IF(OR(ROW()-54&gt;INDEX($U$4:$U$11,$AC$2+1,1)-INDEX($U$4:$U$11,$AC$2,1),ROW()-54&gt;$AD$2),NA(),COUNTIF(INDEX($CR$55:$CX$90,INDEX($U$4:$U$11,1,1),$AC$2):INDEX($CR$55:$CX$90,INDEX($U$4:$U$11,1,1)+ROW()-55,$AC$2),EZ$53))</f>
        <v>#N/A</v>
      </c>
      <c r="FA87" t="e">
        <f>IF(OR(ROW()-54&gt;INDEX($U$4:$U$11,$AC$2+1,1)-INDEX($U$4:$U$11,$AC$2,1),ROW()-54&gt;$AD$2),NA(),COUNTIF(INDEX($CR$55:$CX$90,INDEX($U$4:$U$11,1,1),$AC$2):INDEX($CR$55:$CX$90,INDEX($U$4:$U$11,1,1)+ROW()-55,$AC$2),FA$53))</f>
        <v>#N/A</v>
      </c>
      <c r="FC87" t="e">
        <f>IF(OR(ROW()-54&gt;INDEX($U$4:$U$11,$AC$2+1,1)-INDEX($U$4:$U$11,$AC$2,1),ROW()-54&gt;$AD$2),NA(),COUNTIF(INDEX($CR$55:$CX$90,INDEX($U$4:$U$11,1,1),$AC$2):INDEX($CR$55:$CX$90,INDEX($U$4:$U$11,1,1)+ROW()-55,$AC$2),FC$53))</f>
        <v>#N/A</v>
      </c>
      <c r="FD87" t="e">
        <f>IF(OR(ROW()-54&gt;INDEX($U$4:$U$11,$AC$2+1,1)-INDEX($U$4:$U$11,$AC$2,1),ROW()-54&gt;$AD$2),NA(),COUNTIF(INDEX($CR$55:$CX$90,INDEX($U$4:$U$11,1,1),$AC$2):INDEX($CR$55:$CX$90,INDEX($U$4:$U$11,1,1)+ROW()-55,$AC$2),FD$53))</f>
        <v>#N/A</v>
      </c>
      <c r="FE87" t="e">
        <f>IF(OR(ROW()-54&gt;INDEX($U$4:$U$11,$AC$2+1,1)-INDEX($U$4:$U$11,$AC$2,1),ROW()-54&gt;$AD$2),NA(),COUNTIF(INDEX($CR$55:$CX$90,INDEX($U$4:$U$11,1,1),$AC$2):INDEX($CR$55:$CX$90,INDEX($U$4:$U$11,1,1)+ROW()-55,$AC$2),FE$53))</f>
        <v>#N/A</v>
      </c>
      <c r="FF87" t="e">
        <f>IF(OR(ROW()-54&gt;INDEX($U$4:$U$11,$AC$2+1,1)-INDEX($U$4:$U$11,$AC$2,1),ROW()-54&gt;$AD$2),NA(),COUNTIF(INDEX($CR$55:$CX$90,INDEX($U$4:$U$11,1,1),$AC$2):INDEX($CR$55:$CX$90,INDEX($U$4:$U$11,1,1)+ROW()-55,$AC$2),FF$53))</f>
        <v>#N/A</v>
      </c>
      <c r="FG87" t="e">
        <f>IF(OR(ROW()-54&gt;INDEX($U$4:$U$11,$AC$2+1,1)-INDEX($U$4:$U$11,$AC$2,1),ROW()-54&gt;$AD$2),NA(),COUNTIF(INDEX($CR$55:$CX$90,INDEX($U$4:$U$11,1,1),$AC$2):INDEX($CR$55:$CX$90,INDEX($U$4:$U$11,1,1)+ROW()-55,$AC$2),FG$53))</f>
        <v>#N/A</v>
      </c>
      <c r="FH87" t="e">
        <f>IF(OR(ROW()-54&gt;INDEX($U$4:$U$11,$AC$2+1,1)-INDEX($U$4:$U$11,$AC$2,1),ROW()-54&gt;$AD$2),NA(),COUNTIF(INDEX($CR$55:$CX$90,INDEX($U$4:$U$11,1,1),$AC$2):INDEX($CR$55:$CX$90,INDEX($U$4:$U$11,1,1)+ROW()-55,$AC$2),FH$53))</f>
        <v>#N/A</v>
      </c>
      <c r="FI87" t="e">
        <f>IF(OR(ROW()-54&gt;INDEX($U$4:$U$11,$AC$2+1,1)-INDEX($U$4:$U$11,$AC$2,1),ROW()-54&gt;$AD$2),NA(),COUNTIF(INDEX($CR$55:$CX$90,INDEX($U$4:$U$11,1,1),$AC$2):INDEX($CR$55:$CX$90,INDEX($U$4:$U$11,1,1)+ROW()-55,$AC$2),FI$53))</f>
        <v>#N/A</v>
      </c>
      <c r="FJ87" t="e">
        <f>IF(OR(ROW()-54&gt;INDEX($U$4:$U$11,$AC$2+1,1)-INDEX($U$4:$U$11,$AC$2,1),ROW()-54&gt;$AD$2),NA(),COUNTIF(INDEX($CR$55:$CX$90,INDEX($U$4:$U$11,1,1),$AC$2):INDEX($CR$55:$CX$90,INDEX($U$4:$U$11,1,1)+ROW()-55,$AC$2),FJ$53))</f>
        <v>#N/A</v>
      </c>
    </row>
    <row r="88" spans="1:166" x14ac:dyDescent="0.45">
      <c r="A88">
        <f>データの貼付!A86</f>
        <v>0</v>
      </c>
      <c r="B88">
        <f>データの貼付!B86</f>
        <v>0</v>
      </c>
      <c r="C88">
        <f>データの貼付!C86</f>
        <v>0</v>
      </c>
      <c r="D88">
        <f>データの貼付!D86</f>
        <v>0</v>
      </c>
      <c r="E88">
        <f>データの貼付!F86</f>
        <v>0</v>
      </c>
      <c r="F88">
        <f>データの貼付!E86</f>
        <v>0</v>
      </c>
      <c r="G88">
        <f>データの貼付!G86</f>
        <v>0</v>
      </c>
      <c r="H88">
        <f>データの貼付!H86</f>
        <v>0</v>
      </c>
      <c r="I88">
        <f>データの貼付!I86</f>
        <v>0</v>
      </c>
      <c r="J88">
        <f>データの貼付!J86</f>
        <v>0</v>
      </c>
      <c r="K88">
        <f>データの貼付!K86</f>
        <v>0</v>
      </c>
      <c r="L88">
        <f>データの貼付!L86</f>
        <v>0</v>
      </c>
      <c r="M88">
        <f>データの貼付!M86</f>
        <v>0</v>
      </c>
      <c r="N88">
        <f>データの貼付!N86</f>
        <v>0</v>
      </c>
      <c r="R88">
        <f t="shared" si="179"/>
        <v>0</v>
      </c>
      <c r="S88">
        <f>SUM(R$4:R88)</f>
        <v>6</v>
      </c>
      <c r="T88" t="str">
        <f t="shared" si="180"/>
        <v/>
      </c>
      <c r="W88" t="str">
        <f t="shared" si="177"/>
        <v>0_0</v>
      </c>
      <c r="X88" t="str">
        <f t="shared" si="178"/>
        <v>0_0</v>
      </c>
      <c r="BL88" t="e">
        <f t="shared" si="162"/>
        <v>#VALUE!</v>
      </c>
      <c r="BM88" t="e">
        <f t="shared" si="181"/>
        <v>#VALUE!</v>
      </c>
      <c r="BN88" t="e">
        <f t="shared" si="182"/>
        <v>#VALUE!</v>
      </c>
      <c r="BO88" t="e">
        <f t="shared" si="183"/>
        <v>#VALUE!</v>
      </c>
      <c r="BP88" t="e">
        <f t="shared" si="184"/>
        <v>#VALUE!</v>
      </c>
      <c r="BQ88" t="e">
        <f t="shared" si="185"/>
        <v>#VALUE!</v>
      </c>
      <c r="BR88" t="e">
        <f t="shared" si="186"/>
        <v>#VALUE!</v>
      </c>
      <c r="CR88" t="e">
        <f t="shared" si="170"/>
        <v>#VALUE!</v>
      </c>
      <c r="CS88" t="e">
        <f t="shared" si="171"/>
        <v>#VALUE!</v>
      </c>
      <c r="CT88" t="e">
        <f t="shared" si="172"/>
        <v>#VALUE!</v>
      </c>
      <c r="CU88" t="e">
        <f t="shared" si="173"/>
        <v>#VALUE!</v>
      </c>
      <c r="CV88" t="e">
        <f t="shared" si="174"/>
        <v>#VALUE!</v>
      </c>
      <c r="CW88" t="e">
        <f t="shared" si="175"/>
        <v>#VALUE!</v>
      </c>
      <c r="CX88" t="e">
        <f t="shared" si="176"/>
        <v>#VALUE!</v>
      </c>
      <c r="DH88" t="e">
        <f>IF(OR(ROW()-54&gt;INDEX($U$4:$U$11,$AC$2+1,1)-INDEX($U$4:$U$11,$AC$2,1),ROW()-54&gt;$AD$2),NA(),COUNTIF(INDEX($BL$55:$BR$100,INDEX($U$4:$U$11,1,1),$AC$2):INDEX($BL$55:$BR$100,INDEX($U$4:$U$11,1,1)+ROW()-55,$AC$2),DH$53))</f>
        <v>#N/A</v>
      </c>
      <c r="DI88" t="e">
        <f>IF(OR(ROW()-54&gt;INDEX($U$4:$U$11,$AC$2+1,1)-INDEX($U$4:$U$11,$AC$2,1),ROW()-54&gt;$AD$2),NA(),COUNTIF(INDEX($BL$55:$BR$100,INDEX($U$4:$U$11,1,1),$AC$2):INDEX($BL$55:$BR$100,INDEX($U$4:$U$11,1,1)+ROW()-55,$AC$2),DI$53))</f>
        <v>#N/A</v>
      </c>
      <c r="DJ88" t="e">
        <f>IF(OR(ROW()-54&gt;INDEX($U$4:$U$11,$AC$2+1,1)-INDEX($U$4:$U$11,$AC$2,1),ROW()-54&gt;$AD$2),NA(),COUNTIF(INDEX($BL$55:$BR$100,INDEX($U$4:$U$11,1,1),$AC$2):INDEX($BL$55:$BR$100,INDEX($U$4:$U$11,1,1)+ROW()-55,$AC$2),DJ$53))</f>
        <v>#N/A</v>
      </c>
      <c r="DL88" t="e">
        <f>IF(OR(ROW()-54&gt;INDEX($U$4:$U$11,$AC$2+1,1)-INDEX($U$4:$U$11,$AC$2,1),ROW()-54&gt;$AD$2),NA(),COUNTIF(INDEX($BL$55:$BR$100,INDEX($U$4:$U$11,1,1),$AC$2):INDEX($BL$55:$BR$100,INDEX($U$4:$U$11,1,1)+ROW()-55,$AC$2),DL$53))</f>
        <v>#N/A</v>
      </c>
      <c r="DM88" t="e">
        <f>IF(OR(ROW()-54&gt;INDEX($U$4:$U$11,$AC$2+1,1)-INDEX($U$4:$U$11,$AC$2,1),ROW()-54&gt;$AD$2),NA(),COUNTIF(INDEX($BL$55:$BR$100,INDEX($U$4:$U$11,1,1),$AC$2):INDEX($BL$5:$BR$50,INDEX($U$4:$U$11,1,1)+ROW()-55,$AC$2),DM$53))</f>
        <v>#N/A</v>
      </c>
      <c r="DN88" t="e">
        <f>IF(OR(ROW()-54&gt;INDEX($U$4:$U$11,$AC$2+1,1)-INDEX($U$4:$U$11,$AC$2,1),ROW()-54&gt;$AD$2),NA(),COUNTIF(INDEX($BL$55:$BR$100,INDEX($U$4:$U$11,1,1),$AC$2):INDEX($BL$55:$BR$100,INDEX($U$4:$U$11,1,1)+ROW()-55,$AC$2),DN$53))</f>
        <v>#N/A</v>
      </c>
      <c r="ET88" t="e">
        <f>IF(OR(ROW()-54&gt;INDEX($U$4:$U$11,$AC$2+1,1)-INDEX($U$4:$U$11,$AC$2,1),ROW()-54&gt;$AD$2),NA(),COUNTIF(INDEX($CR$55:$CX$90,INDEX($U$4:$U$11,1,1),$AC$2):INDEX($CR$55:$CX$90,INDEX($U$4:$U$11,1,1)+ROW()-55,$AC$2),ET$53))</f>
        <v>#N/A</v>
      </c>
      <c r="EU88" t="e">
        <f>IF(OR(ROW()-54&gt;INDEX($U$4:$U$11,$AC$2+1,1)-INDEX($U$4:$U$11,$AC$2,1),ROW()-54&gt;$AD$2),NA(),COUNTIF(INDEX($CR$55:$CX$90,INDEX($U$4:$U$11,1,1),$AC$2):INDEX($CR$55:$CX$90,INDEX($U$4:$U$11,1,1)+ROW()-55,$AC$2),EU$53))</f>
        <v>#N/A</v>
      </c>
      <c r="EV88" t="e">
        <f>IF(OR(ROW()-54&gt;INDEX($U$4:$U$11,$AC$2+1,1)-INDEX($U$4:$U$11,$AC$2,1),ROW()-54&gt;$AD$2),NA(),COUNTIF(INDEX($CR$55:$CX$90,INDEX($U$4:$U$11,1,1),$AC$2):INDEX($CR$55:$CX$90,INDEX($U$4:$U$11,1,1)+ROW()-55,$AC$2),EV$53))</f>
        <v>#N/A</v>
      </c>
      <c r="EW88" t="e">
        <f>IF(OR(ROW()-54&gt;INDEX($U$4:$U$11,$AC$2+1,1)-INDEX($U$4:$U$11,$AC$2,1),ROW()-54&gt;$AD$2),NA(),COUNTIF(INDEX($CR$55:$CX$90,INDEX($U$4:$U$11,1,1),$AC$2):INDEX($CR$55:$CX$90,INDEX($U$4:$U$11,1,1)+ROW()-55,$AC$2),EW$53))</f>
        <v>#N/A</v>
      </c>
      <c r="EX88" t="e">
        <f>IF(OR(ROW()-54&gt;INDEX($U$4:$U$11,$AC$2+1,1)-INDEX($U$4:$U$11,$AC$2,1),ROW()-54&gt;$AD$2),NA(),COUNTIF(INDEX($CR$55:$CX$90,INDEX($U$4:$U$11,1,1),$AC$2):INDEX($CR$55:$CX$90,INDEX($U$4:$U$11,1,1)+ROW()-55,$AC$2),EX$53))</f>
        <v>#N/A</v>
      </c>
      <c r="EY88" t="e">
        <f>IF(OR(ROW()-54&gt;INDEX($U$4:$U$11,$AC$2+1,1)-INDEX($U$4:$U$11,$AC$2,1),ROW()-54&gt;$AD$2),NA(),COUNTIF(INDEX($CR$55:$CX$90,INDEX($U$4:$U$11,1,1),$AC$2):INDEX($CR$55:$CX$90,INDEX($U$4:$U$11,1,1)+ROW()-55,$AC$2),EY$53))</f>
        <v>#N/A</v>
      </c>
      <c r="EZ88" t="e">
        <f>IF(OR(ROW()-54&gt;INDEX($U$4:$U$11,$AC$2+1,1)-INDEX($U$4:$U$11,$AC$2,1),ROW()-54&gt;$AD$2),NA(),COUNTIF(INDEX($CR$55:$CX$90,INDEX($U$4:$U$11,1,1),$AC$2):INDEX($CR$55:$CX$90,INDEX($U$4:$U$11,1,1)+ROW()-55,$AC$2),EZ$53))</f>
        <v>#N/A</v>
      </c>
      <c r="FA88" t="e">
        <f>IF(OR(ROW()-54&gt;INDEX($U$4:$U$11,$AC$2+1,1)-INDEX($U$4:$U$11,$AC$2,1),ROW()-54&gt;$AD$2),NA(),COUNTIF(INDEX($CR$55:$CX$90,INDEX($U$4:$U$11,1,1),$AC$2):INDEX($CR$55:$CX$90,INDEX($U$4:$U$11,1,1)+ROW()-55,$AC$2),FA$53))</f>
        <v>#N/A</v>
      </c>
      <c r="FC88" t="e">
        <f>IF(OR(ROW()-54&gt;INDEX($U$4:$U$11,$AC$2+1,1)-INDEX($U$4:$U$11,$AC$2,1),ROW()-54&gt;$AD$2),NA(),COUNTIF(INDEX($CR$55:$CX$90,INDEX($U$4:$U$11,1,1),$AC$2):INDEX($CR$55:$CX$90,INDEX($U$4:$U$11,1,1)+ROW()-55,$AC$2),FC$53))</f>
        <v>#N/A</v>
      </c>
      <c r="FD88" t="e">
        <f>IF(OR(ROW()-54&gt;INDEX($U$4:$U$11,$AC$2+1,1)-INDEX($U$4:$U$11,$AC$2,1),ROW()-54&gt;$AD$2),NA(),COUNTIF(INDEX($CR$55:$CX$90,INDEX($U$4:$U$11,1,1),$AC$2):INDEX($CR$55:$CX$90,INDEX($U$4:$U$11,1,1)+ROW()-55,$AC$2),FD$53))</f>
        <v>#N/A</v>
      </c>
      <c r="FE88" t="e">
        <f>IF(OR(ROW()-54&gt;INDEX($U$4:$U$11,$AC$2+1,1)-INDEX($U$4:$U$11,$AC$2,1),ROW()-54&gt;$AD$2),NA(),COUNTIF(INDEX($CR$55:$CX$90,INDEX($U$4:$U$11,1,1),$AC$2):INDEX($CR$55:$CX$90,INDEX($U$4:$U$11,1,1)+ROW()-55,$AC$2),FE$53))</f>
        <v>#N/A</v>
      </c>
      <c r="FF88" t="e">
        <f>IF(OR(ROW()-54&gt;INDEX($U$4:$U$11,$AC$2+1,1)-INDEX($U$4:$U$11,$AC$2,1),ROW()-54&gt;$AD$2),NA(),COUNTIF(INDEX($CR$55:$CX$90,INDEX($U$4:$U$11,1,1),$AC$2):INDEX($CR$55:$CX$90,INDEX($U$4:$U$11,1,1)+ROW()-55,$AC$2),FF$53))</f>
        <v>#N/A</v>
      </c>
      <c r="FG88" t="e">
        <f>IF(OR(ROW()-54&gt;INDEX($U$4:$U$11,$AC$2+1,1)-INDEX($U$4:$U$11,$AC$2,1),ROW()-54&gt;$AD$2),NA(),COUNTIF(INDEX($CR$55:$CX$90,INDEX($U$4:$U$11,1,1),$AC$2):INDEX($CR$55:$CX$90,INDEX($U$4:$U$11,1,1)+ROW()-55,$AC$2),FG$53))</f>
        <v>#N/A</v>
      </c>
      <c r="FH88" t="e">
        <f>IF(OR(ROW()-54&gt;INDEX($U$4:$U$11,$AC$2+1,1)-INDEX($U$4:$U$11,$AC$2,1),ROW()-54&gt;$AD$2),NA(),COUNTIF(INDEX($CR$55:$CX$90,INDEX($U$4:$U$11,1,1),$AC$2):INDEX($CR$55:$CX$90,INDEX($U$4:$U$11,1,1)+ROW()-55,$AC$2),FH$53))</f>
        <v>#N/A</v>
      </c>
      <c r="FI88" t="e">
        <f>IF(OR(ROW()-54&gt;INDEX($U$4:$U$11,$AC$2+1,1)-INDEX($U$4:$U$11,$AC$2,1),ROW()-54&gt;$AD$2),NA(),COUNTIF(INDEX($CR$55:$CX$90,INDEX($U$4:$U$11,1,1),$AC$2):INDEX($CR$55:$CX$90,INDEX($U$4:$U$11,1,1)+ROW()-55,$AC$2),FI$53))</f>
        <v>#N/A</v>
      </c>
      <c r="FJ88" t="e">
        <f>IF(OR(ROW()-54&gt;INDEX($U$4:$U$11,$AC$2+1,1)-INDEX($U$4:$U$11,$AC$2,1),ROW()-54&gt;$AD$2),NA(),COUNTIF(INDEX($CR$55:$CX$90,INDEX($U$4:$U$11,1,1),$AC$2):INDEX($CR$55:$CX$90,INDEX($U$4:$U$11,1,1)+ROW()-55,$AC$2),FJ$53))</f>
        <v>#N/A</v>
      </c>
    </row>
    <row r="89" spans="1:166" x14ac:dyDescent="0.45">
      <c r="A89">
        <f>データの貼付!A87</f>
        <v>0</v>
      </c>
      <c r="B89">
        <f>データの貼付!B87</f>
        <v>0</v>
      </c>
      <c r="C89">
        <f>データの貼付!C87</f>
        <v>0</v>
      </c>
      <c r="D89">
        <f>データの貼付!D87</f>
        <v>0</v>
      </c>
      <c r="E89">
        <f>データの貼付!F87</f>
        <v>0</v>
      </c>
      <c r="F89">
        <f>データの貼付!E87</f>
        <v>0</v>
      </c>
      <c r="G89">
        <f>データの貼付!G87</f>
        <v>0</v>
      </c>
      <c r="H89">
        <f>データの貼付!H87</f>
        <v>0</v>
      </c>
      <c r="I89">
        <f>データの貼付!I87</f>
        <v>0</v>
      </c>
      <c r="J89">
        <f>データの貼付!J87</f>
        <v>0</v>
      </c>
      <c r="K89">
        <f>データの貼付!K87</f>
        <v>0</v>
      </c>
      <c r="L89">
        <f>データの貼付!L87</f>
        <v>0</v>
      </c>
      <c r="M89">
        <f>データの貼付!M87</f>
        <v>0</v>
      </c>
      <c r="N89">
        <f>データの貼付!N87</f>
        <v>0</v>
      </c>
      <c r="R89">
        <f t="shared" si="179"/>
        <v>0</v>
      </c>
      <c r="S89">
        <f>SUM(R$4:R89)</f>
        <v>6</v>
      </c>
      <c r="T89" t="str">
        <f t="shared" si="180"/>
        <v/>
      </c>
      <c r="W89" t="str">
        <f t="shared" si="177"/>
        <v>0_0</v>
      </c>
      <c r="X89" t="str">
        <f t="shared" si="178"/>
        <v>0_0</v>
      </c>
      <c r="BL89" t="e">
        <f t="shared" si="162"/>
        <v>#VALUE!</v>
      </c>
      <c r="BM89" t="e">
        <f t="shared" si="181"/>
        <v>#VALUE!</v>
      </c>
      <c r="BN89" t="e">
        <f t="shared" si="182"/>
        <v>#VALUE!</v>
      </c>
      <c r="BO89" t="e">
        <f t="shared" si="183"/>
        <v>#VALUE!</v>
      </c>
      <c r="BP89" t="e">
        <f t="shared" si="184"/>
        <v>#VALUE!</v>
      </c>
      <c r="BQ89" t="e">
        <f t="shared" si="185"/>
        <v>#VALUE!</v>
      </c>
      <c r="BR89" t="e">
        <f t="shared" si="186"/>
        <v>#VALUE!</v>
      </c>
      <c r="CR89" t="e">
        <f t="shared" si="170"/>
        <v>#VALUE!</v>
      </c>
      <c r="CS89" t="e">
        <f t="shared" si="171"/>
        <v>#VALUE!</v>
      </c>
      <c r="CT89" t="e">
        <f t="shared" si="172"/>
        <v>#VALUE!</v>
      </c>
      <c r="CU89" t="e">
        <f t="shared" si="173"/>
        <v>#VALUE!</v>
      </c>
      <c r="CV89" t="e">
        <f t="shared" si="174"/>
        <v>#VALUE!</v>
      </c>
      <c r="CW89" t="e">
        <f t="shared" si="175"/>
        <v>#VALUE!</v>
      </c>
      <c r="CX89" t="e">
        <f t="shared" si="176"/>
        <v>#VALUE!</v>
      </c>
      <c r="DH89" t="e">
        <f>IF(OR(ROW()-54&gt;INDEX($U$4:$U$11,$AC$2+1,1)-INDEX($U$4:$U$11,$AC$2,1),ROW()-54&gt;$AD$2),NA(),COUNTIF(INDEX($BL$55:$BR$100,INDEX($U$4:$U$11,1,1),$AC$2):INDEX($BL$55:$BR$100,INDEX($U$4:$U$11,1,1)+ROW()-55,$AC$2),DH$53))</f>
        <v>#N/A</v>
      </c>
      <c r="DI89" t="e">
        <f>IF(OR(ROW()-54&gt;INDEX($U$4:$U$11,$AC$2+1,1)-INDEX($U$4:$U$11,$AC$2,1),ROW()-54&gt;$AD$2),NA(),COUNTIF(INDEX($BL$55:$BR$100,INDEX($U$4:$U$11,1,1),$AC$2):INDEX($BL$55:$BR$100,INDEX($U$4:$U$11,1,1)+ROW()-55,$AC$2),DI$53))</f>
        <v>#N/A</v>
      </c>
      <c r="DJ89" t="e">
        <f>IF(OR(ROW()-54&gt;INDEX($U$4:$U$11,$AC$2+1,1)-INDEX($U$4:$U$11,$AC$2,1),ROW()-54&gt;$AD$2),NA(),COUNTIF(INDEX($BL$55:$BR$100,INDEX($U$4:$U$11,1,1),$AC$2):INDEX($BL$55:$BR$100,INDEX($U$4:$U$11,1,1)+ROW()-55,$AC$2),DJ$53))</f>
        <v>#N/A</v>
      </c>
      <c r="DL89" t="e">
        <f>IF(OR(ROW()-54&gt;INDEX($U$4:$U$11,$AC$2+1,1)-INDEX($U$4:$U$11,$AC$2,1),ROW()-54&gt;$AD$2),NA(),COUNTIF(INDEX($BL$55:$BR$100,INDEX($U$4:$U$11,1,1),$AC$2):INDEX($BL$55:$BR$100,INDEX($U$4:$U$11,1,1)+ROW()-55,$AC$2),DL$53))</f>
        <v>#N/A</v>
      </c>
      <c r="DM89" t="e">
        <f>IF(OR(ROW()-54&gt;INDEX($U$4:$U$11,$AC$2+1,1)-INDEX($U$4:$U$11,$AC$2,1),ROW()-54&gt;$AD$2),NA(),COUNTIF(INDEX($BL$55:$BR$100,INDEX($U$4:$U$11,1,1),$AC$2):INDEX($BL$5:$BR$50,INDEX($U$4:$U$11,1,1)+ROW()-55,$AC$2),DM$53))</f>
        <v>#N/A</v>
      </c>
      <c r="DN89" t="e">
        <f>IF(OR(ROW()-54&gt;INDEX($U$4:$U$11,$AC$2+1,1)-INDEX($U$4:$U$11,$AC$2,1),ROW()-54&gt;$AD$2),NA(),COUNTIF(INDEX($BL$55:$BR$100,INDEX($U$4:$U$11,1,1),$AC$2):INDEX($BL$55:$BR$100,INDEX($U$4:$U$11,1,1)+ROW()-55,$AC$2),DN$53))</f>
        <v>#N/A</v>
      </c>
      <c r="ET89" t="e">
        <f>IF(OR(ROW()-54&gt;INDEX($U$4:$U$11,$AC$2+1,1)-INDEX($U$4:$U$11,$AC$2,1),ROW()-54&gt;$AD$2),NA(),COUNTIF(INDEX($CR$55:$CX$90,INDEX($U$4:$U$11,1,1),$AC$2):INDEX($CR$55:$CX$90,INDEX($U$4:$U$11,1,1)+ROW()-55,$AC$2),ET$53))</f>
        <v>#N/A</v>
      </c>
      <c r="EU89" t="e">
        <f>IF(OR(ROW()-54&gt;INDEX($U$4:$U$11,$AC$2+1,1)-INDEX($U$4:$U$11,$AC$2,1),ROW()-54&gt;$AD$2),NA(),COUNTIF(INDEX($CR$55:$CX$90,INDEX($U$4:$U$11,1,1),$AC$2):INDEX($CR$55:$CX$90,INDEX($U$4:$U$11,1,1)+ROW()-55,$AC$2),EU$53))</f>
        <v>#N/A</v>
      </c>
      <c r="EV89" t="e">
        <f>IF(OR(ROW()-54&gt;INDEX($U$4:$U$11,$AC$2+1,1)-INDEX($U$4:$U$11,$AC$2,1),ROW()-54&gt;$AD$2),NA(),COUNTIF(INDEX($CR$55:$CX$90,INDEX($U$4:$U$11,1,1),$AC$2):INDEX($CR$55:$CX$90,INDEX($U$4:$U$11,1,1)+ROW()-55,$AC$2),EV$53))</f>
        <v>#N/A</v>
      </c>
      <c r="EW89" t="e">
        <f>IF(OR(ROW()-54&gt;INDEX($U$4:$U$11,$AC$2+1,1)-INDEX($U$4:$U$11,$AC$2,1),ROW()-54&gt;$AD$2),NA(),COUNTIF(INDEX($CR$55:$CX$90,INDEX($U$4:$U$11,1,1),$AC$2):INDEX($CR$55:$CX$90,INDEX($U$4:$U$11,1,1)+ROW()-55,$AC$2),EW$53))</f>
        <v>#N/A</v>
      </c>
      <c r="EX89" t="e">
        <f>IF(OR(ROW()-54&gt;INDEX($U$4:$U$11,$AC$2+1,1)-INDEX($U$4:$U$11,$AC$2,1),ROW()-54&gt;$AD$2),NA(),COUNTIF(INDEX($CR$55:$CX$90,INDEX($U$4:$U$11,1,1),$AC$2):INDEX($CR$55:$CX$90,INDEX($U$4:$U$11,1,1)+ROW()-55,$AC$2),EX$53))</f>
        <v>#N/A</v>
      </c>
      <c r="EY89" t="e">
        <f>IF(OR(ROW()-54&gt;INDEX($U$4:$U$11,$AC$2+1,1)-INDEX($U$4:$U$11,$AC$2,1),ROW()-54&gt;$AD$2),NA(),COUNTIF(INDEX($CR$55:$CX$90,INDEX($U$4:$U$11,1,1),$AC$2):INDEX($CR$55:$CX$90,INDEX($U$4:$U$11,1,1)+ROW()-55,$AC$2),EY$53))</f>
        <v>#N/A</v>
      </c>
      <c r="EZ89" t="e">
        <f>IF(OR(ROW()-54&gt;INDEX($U$4:$U$11,$AC$2+1,1)-INDEX($U$4:$U$11,$AC$2,1),ROW()-54&gt;$AD$2),NA(),COUNTIF(INDEX($CR$55:$CX$90,INDEX($U$4:$U$11,1,1),$AC$2):INDEX($CR$55:$CX$90,INDEX($U$4:$U$11,1,1)+ROW()-55,$AC$2),EZ$53))</f>
        <v>#N/A</v>
      </c>
      <c r="FA89" t="e">
        <f>IF(OR(ROW()-54&gt;INDEX($U$4:$U$11,$AC$2+1,1)-INDEX($U$4:$U$11,$AC$2,1),ROW()-54&gt;$AD$2),NA(),COUNTIF(INDEX($CR$55:$CX$90,INDEX($U$4:$U$11,1,1),$AC$2):INDEX($CR$55:$CX$90,INDEX($U$4:$U$11,1,1)+ROW()-55,$AC$2),FA$53))</f>
        <v>#N/A</v>
      </c>
      <c r="FC89" t="e">
        <f>IF(OR(ROW()-54&gt;INDEX($U$4:$U$11,$AC$2+1,1)-INDEX($U$4:$U$11,$AC$2,1),ROW()-54&gt;$AD$2),NA(),COUNTIF(INDEX($CR$55:$CX$90,INDEX($U$4:$U$11,1,1),$AC$2):INDEX($CR$55:$CX$90,INDEX($U$4:$U$11,1,1)+ROW()-55,$AC$2),FC$53))</f>
        <v>#N/A</v>
      </c>
      <c r="FD89" t="e">
        <f>IF(OR(ROW()-54&gt;INDEX($U$4:$U$11,$AC$2+1,1)-INDEX($U$4:$U$11,$AC$2,1),ROW()-54&gt;$AD$2),NA(),COUNTIF(INDEX($CR$55:$CX$90,INDEX($U$4:$U$11,1,1),$AC$2):INDEX($CR$55:$CX$90,INDEX($U$4:$U$11,1,1)+ROW()-55,$AC$2),FD$53))</f>
        <v>#N/A</v>
      </c>
      <c r="FE89" t="e">
        <f>IF(OR(ROW()-54&gt;INDEX($U$4:$U$11,$AC$2+1,1)-INDEX($U$4:$U$11,$AC$2,1),ROW()-54&gt;$AD$2),NA(),COUNTIF(INDEX($CR$55:$CX$90,INDEX($U$4:$U$11,1,1),$AC$2):INDEX($CR$55:$CX$90,INDEX($U$4:$U$11,1,1)+ROW()-55,$AC$2),FE$53))</f>
        <v>#N/A</v>
      </c>
      <c r="FF89" t="e">
        <f>IF(OR(ROW()-54&gt;INDEX($U$4:$U$11,$AC$2+1,1)-INDEX($U$4:$U$11,$AC$2,1),ROW()-54&gt;$AD$2),NA(),COUNTIF(INDEX($CR$55:$CX$90,INDEX($U$4:$U$11,1,1),$AC$2):INDEX($CR$55:$CX$90,INDEX($U$4:$U$11,1,1)+ROW()-55,$AC$2),FF$53))</f>
        <v>#N/A</v>
      </c>
      <c r="FG89" t="e">
        <f>IF(OR(ROW()-54&gt;INDEX($U$4:$U$11,$AC$2+1,1)-INDEX($U$4:$U$11,$AC$2,1),ROW()-54&gt;$AD$2),NA(),COUNTIF(INDEX($CR$55:$CX$90,INDEX($U$4:$U$11,1,1),$AC$2):INDEX($CR$55:$CX$90,INDEX($U$4:$U$11,1,1)+ROW()-55,$AC$2),FG$53))</f>
        <v>#N/A</v>
      </c>
      <c r="FH89" t="e">
        <f>IF(OR(ROW()-54&gt;INDEX($U$4:$U$11,$AC$2+1,1)-INDEX($U$4:$U$11,$AC$2,1),ROW()-54&gt;$AD$2),NA(),COUNTIF(INDEX($CR$55:$CX$90,INDEX($U$4:$U$11,1,1),$AC$2):INDEX($CR$55:$CX$90,INDEX($U$4:$U$11,1,1)+ROW()-55,$AC$2),FH$53))</f>
        <v>#N/A</v>
      </c>
      <c r="FI89" t="e">
        <f>IF(OR(ROW()-54&gt;INDEX($U$4:$U$11,$AC$2+1,1)-INDEX($U$4:$U$11,$AC$2,1),ROW()-54&gt;$AD$2),NA(),COUNTIF(INDEX($CR$55:$CX$90,INDEX($U$4:$U$11,1,1),$AC$2):INDEX($CR$55:$CX$90,INDEX($U$4:$U$11,1,1)+ROW()-55,$AC$2),FI$53))</f>
        <v>#N/A</v>
      </c>
      <c r="FJ89" t="e">
        <f>IF(OR(ROW()-54&gt;INDEX($U$4:$U$11,$AC$2+1,1)-INDEX($U$4:$U$11,$AC$2,1),ROW()-54&gt;$AD$2),NA(),COUNTIF(INDEX($CR$55:$CX$90,INDEX($U$4:$U$11,1,1),$AC$2):INDEX($CR$55:$CX$90,INDEX($U$4:$U$11,1,1)+ROW()-55,$AC$2),FJ$53))</f>
        <v>#N/A</v>
      </c>
    </row>
    <row r="90" spans="1:166" x14ac:dyDescent="0.45">
      <c r="A90">
        <f>データの貼付!A88</f>
        <v>0</v>
      </c>
      <c r="B90">
        <f>データの貼付!B88</f>
        <v>0</v>
      </c>
      <c r="C90">
        <f>データの貼付!C88</f>
        <v>0</v>
      </c>
      <c r="D90">
        <f>データの貼付!D88</f>
        <v>0</v>
      </c>
      <c r="E90">
        <f>データの貼付!F88</f>
        <v>0</v>
      </c>
      <c r="F90">
        <f>データの貼付!E88</f>
        <v>0</v>
      </c>
      <c r="G90">
        <f>データの貼付!G88</f>
        <v>0</v>
      </c>
      <c r="H90">
        <f>データの貼付!H88</f>
        <v>0</v>
      </c>
      <c r="I90">
        <f>データの貼付!I88</f>
        <v>0</v>
      </c>
      <c r="J90">
        <f>データの貼付!J88</f>
        <v>0</v>
      </c>
      <c r="K90">
        <f>データの貼付!K88</f>
        <v>0</v>
      </c>
      <c r="L90">
        <f>データの貼付!L88</f>
        <v>0</v>
      </c>
      <c r="M90">
        <f>データの貼付!M88</f>
        <v>0</v>
      </c>
      <c r="N90">
        <f>データの貼付!N88</f>
        <v>0</v>
      </c>
      <c r="R90">
        <f t="shared" si="179"/>
        <v>0</v>
      </c>
      <c r="S90">
        <f>SUM(R$4:R90)</f>
        <v>6</v>
      </c>
      <c r="T90" t="str">
        <f t="shared" si="180"/>
        <v/>
      </c>
      <c r="W90" t="str">
        <f t="shared" si="177"/>
        <v>0_0</v>
      </c>
      <c r="X90" t="str">
        <f t="shared" si="178"/>
        <v>0_0</v>
      </c>
      <c r="BL90" t="e">
        <f t="shared" si="162"/>
        <v>#VALUE!</v>
      </c>
      <c r="BM90" t="e">
        <f t="shared" si="181"/>
        <v>#VALUE!</v>
      </c>
      <c r="BN90" t="e">
        <f t="shared" si="182"/>
        <v>#VALUE!</v>
      </c>
      <c r="BO90" t="e">
        <f t="shared" si="183"/>
        <v>#VALUE!</v>
      </c>
      <c r="BP90" t="e">
        <f t="shared" si="184"/>
        <v>#VALUE!</v>
      </c>
      <c r="BQ90" t="e">
        <f t="shared" si="185"/>
        <v>#VALUE!</v>
      </c>
      <c r="BR90" t="e">
        <f t="shared" si="186"/>
        <v>#VALUE!</v>
      </c>
      <c r="CR90" t="e">
        <f t="shared" si="170"/>
        <v>#VALUE!</v>
      </c>
      <c r="CS90" t="e">
        <f t="shared" si="171"/>
        <v>#VALUE!</v>
      </c>
      <c r="CT90" t="e">
        <f t="shared" si="172"/>
        <v>#VALUE!</v>
      </c>
      <c r="CU90" t="e">
        <f t="shared" si="173"/>
        <v>#VALUE!</v>
      </c>
      <c r="CV90" t="e">
        <f t="shared" si="174"/>
        <v>#VALUE!</v>
      </c>
      <c r="CW90" t="e">
        <f t="shared" si="175"/>
        <v>#VALUE!</v>
      </c>
      <c r="CX90" t="e">
        <f t="shared" si="176"/>
        <v>#VALUE!</v>
      </c>
      <c r="DH90" t="e">
        <f>IF(OR(ROW()-54&gt;INDEX($U$4:$U$11,$AC$2+1,1)-INDEX($U$4:$U$11,$AC$2,1),ROW()-54&gt;$AD$2),NA(),COUNTIF(INDEX($BL$55:$BR$100,INDEX($U$4:$U$11,1,1),$AC$2):INDEX($BL$55:$BR$100,INDEX($U$4:$U$11,1,1)+ROW()-55,$AC$2),DH$53))</f>
        <v>#N/A</v>
      </c>
      <c r="DI90" t="e">
        <f>IF(OR(ROW()-54&gt;INDEX($U$4:$U$11,$AC$2+1,1)-INDEX($U$4:$U$11,$AC$2,1),ROW()-54&gt;$AD$2),NA(),COUNTIF(INDEX($BL$55:$BR$100,INDEX($U$4:$U$11,1,1),$AC$2):INDEX($BL$55:$BR$100,INDEX($U$4:$U$11,1,1)+ROW()-55,$AC$2),DI$53))</f>
        <v>#N/A</v>
      </c>
      <c r="DJ90" t="e">
        <f>IF(OR(ROW()-54&gt;INDEX($U$4:$U$11,$AC$2+1,1)-INDEX($U$4:$U$11,$AC$2,1),ROW()-54&gt;$AD$2),NA(),COUNTIF(INDEX($BL$55:$BR$100,INDEX($U$4:$U$11,1,1),$AC$2):INDEX($BL$55:$BR$100,INDEX($U$4:$U$11,1,1)+ROW()-55,$AC$2),DJ$53))</f>
        <v>#N/A</v>
      </c>
      <c r="DL90" t="e">
        <f>IF(OR(ROW()-54&gt;INDEX($U$4:$U$11,$AC$2+1,1)-INDEX($U$4:$U$11,$AC$2,1),ROW()-54&gt;$AD$2),NA(),COUNTIF(INDEX($BL$55:$BR$100,INDEX($U$4:$U$11,1,1),$AC$2):INDEX($BL$55:$BR$100,INDEX($U$4:$U$11,1,1)+ROW()-55,$AC$2),DL$53))</f>
        <v>#N/A</v>
      </c>
      <c r="DM90" t="e">
        <f>IF(OR(ROW()-54&gt;INDEX($U$4:$U$11,$AC$2+1,1)-INDEX($U$4:$U$11,$AC$2,1),ROW()-54&gt;$AD$2),NA(),COUNTIF(INDEX($BL$55:$BR$100,INDEX($U$4:$U$11,1,1),$AC$2):INDEX($BL$5:$BR$50,INDEX($U$4:$U$11,1,1)+ROW()-55,$AC$2),DM$53))</f>
        <v>#N/A</v>
      </c>
      <c r="DN90" t="e">
        <f>IF(OR(ROW()-54&gt;INDEX($U$4:$U$11,$AC$2+1,1)-INDEX($U$4:$U$11,$AC$2,1),ROW()-54&gt;$AD$2),NA(),COUNTIF(INDEX($BL$55:$BR$100,INDEX($U$4:$U$11,1,1),$AC$2):INDEX($BL$55:$BR$100,INDEX($U$4:$U$11,1,1)+ROW()-55,$AC$2),DN$53))</f>
        <v>#N/A</v>
      </c>
      <c r="ET90" t="e">
        <f>IF(OR(ROW()-54&gt;INDEX($U$4:$U$11,$AC$2+1,1)-INDEX($U$4:$U$11,$AC$2,1),ROW()-54&gt;$AD$2),NA(),COUNTIF(INDEX($CR$55:$CX$90,INDEX($U$4:$U$11,1,1),$AC$2):INDEX($CR$55:$CX$90,INDEX($U$4:$U$11,1,1)+ROW()-55,$AC$2),ET$53))</f>
        <v>#N/A</v>
      </c>
      <c r="EU90" t="e">
        <f>IF(OR(ROW()-54&gt;INDEX($U$4:$U$11,$AC$2+1,1)-INDEX($U$4:$U$11,$AC$2,1),ROW()-54&gt;$AD$2),NA(),COUNTIF(INDEX($CR$55:$CX$90,INDEX($U$4:$U$11,1,1),$AC$2):INDEX($CR$55:$CX$90,INDEX($U$4:$U$11,1,1)+ROW()-55,$AC$2),EU$53))</f>
        <v>#N/A</v>
      </c>
      <c r="EV90" t="e">
        <f>IF(OR(ROW()-54&gt;INDEX($U$4:$U$11,$AC$2+1,1)-INDEX($U$4:$U$11,$AC$2,1),ROW()-54&gt;$AD$2),NA(),COUNTIF(INDEX($CR$55:$CX$90,INDEX($U$4:$U$11,1,1),$AC$2):INDEX($CR$55:$CX$90,INDEX($U$4:$U$11,1,1)+ROW()-55,$AC$2),EV$53))</f>
        <v>#N/A</v>
      </c>
      <c r="EW90" t="e">
        <f>IF(OR(ROW()-54&gt;INDEX($U$4:$U$11,$AC$2+1,1)-INDEX($U$4:$U$11,$AC$2,1),ROW()-54&gt;$AD$2),NA(),COUNTIF(INDEX($CR$55:$CX$90,INDEX($U$4:$U$11,1,1),$AC$2):INDEX($CR$55:$CX$90,INDEX($U$4:$U$11,1,1)+ROW()-55,$AC$2),EW$53))</f>
        <v>#N/A</v>
      </c>
      <c r="EX90" t="e">
        <f>IF(OR(ROW()-54&gt;INDEX($U$4:$U$11,$AC$2+1,1)-INDEX($U$4:$U$11,$AC$2,1),ROW()-54&gt;$AD$2),NA(),COUNTIF(INDEX($CR$55:$CX$90,INDEX($U$4:$U$11,1,1),$AC$2):INDEX($CR$55:$CX$90,INDEX($U$4:$U$11,1,1)+ROW()-55,$AC$2),EX$53))</f>
        <v>#N/A</v>
      </c>
      <c r="EY90" t="e">
        <f>IF(OR(ROW()-54&gt;INDEX($U$4:$U$11,$AC$2+1,1)-INDEX($U$4:$U$11,$AC$2,1),ROW()-54&gt;$AD$2),NA(),COUNTIF(INDEX($CR$55:$CX$90,INDEX($U$4:$U$11,1,1),$AC$2):INDEX($CR$55:$CX$90,INDEX($U$4:$U$11,1,1)+ROW()-55,$AC$2),EY$53))</f>
        <v>#N/A</v>
      </c>
      <c r="EZ90" t="e">
        <f>IF(OR(ROW()-54&gt;INDEX($U$4:$U$11,$AC$2+1,1)-INDEX($U$4:$U$11,$AC$2,1),ROW()-54&gt;$AD$2),NA(),COUNTIF(INDEX($CR$55:$CX$90,INDEX($U$4:$U$11,1,1),$AC$2):INDEX($CR$55:$CX$90,INDEX($U$4:$U$11,1,1)+ROW()-55,$AC$2),EZ$53))</f>
        <v>#N/A</v>
      </c>
      <c r="FA90" t="e">
        <f>IF(OR(ROW()-54&gt;INDEX($U$4:$U$11,$AC$2+1,1)-INDEX($U$4:$U$11,$AC$2,1),ROW()-54&gt;$AD$2),NA(),COUNTIF(INDEX($CR$55:$CX$90,INDEX($U$4:$U$11,1,1),$AC$2):INDEX($CR$55:$CX$90,INDEX($U$4:$U$11,1,1)+ROW()-55,$AC$2),FA$53))</f>
        <v>#N/A</v>
      </c>
      <c r="FC90" t="e">
        <f>IF(OR(ROW()-54&gt;INDEX($U$4:$U$11,$AC$2+1,1)-INDEX($U$4:$U$11,$AC$2,1),ROW()-54&gt;$AD$2),NA(),COUNTIF(INDEX($CR$55:$CX$90,INDEX($U$4:$U$11,1,1),$AC$2):INDEX($CR$55:$CX$90,INDEX($U$4:$U$11,1,1)+ROW()-55,$AC$2),FC$53))</f>
        <v>#N/A</v>
      </c>
      <c r="FD90" t="e">
        <f>IF(OR(ROW()-54&gt;INDEX($U$4:$U$11,$AC$2+1,1)-INDEX($U$4:$U$11,$AC$2,1),ROW()-54&gt;$AD$2),NA(),COUNTIF(INDEX($CR$55:$CX$90,INDEX($U$4:$U$11,1,1),$AC$2):INDEX($CR$55:$CX$90,INDEX($U$4:$U$11,1,1)+ROW()-55,$AC$2),FD$53))</f>
        <v>#N/A</v>
      </c>
      <c r="FE90" t="e">
        <f>IF(OR(ROW()-54&gt;INDEX($U$4:$U$11,$AC$2+1,1)-INDEX($U$4:$U$11,$AC$2,1),ROW()-54&gt;$AD$2),NA(),COUNTIF(INDEX($CR$55:$CX$90,INDEX($U$4:$U$11,1,1),$AC$2):INDEX($CR$55:$CX$90,INDEX($U$4:$U$11,1,1)+ROW()-55,$AC$2),FE$53))</f>
        <v>#N/A</v>
      </c>
      <c r="FF90" t="e">
        <f>IF(OR(ROW()-54&gt;INDEX($U$4:$U$11,$AC$2+1,1)-INDEX($U$4:$U$11,$AC$2,1),ROW()-54&gt;$AD$2),NA(),COUNTIF(INDEX($CR$55:$CX$90,INDEX($U$4:$U$11,1,1),$AC$2):INDEX($CR$55:$CX$90,INDEX($U$4:$U$11,1,1)+ROW()-55,$AC$2),FF$53))</f>
        <v>#N/A</v>
      </c>
      <c r="FG90" t="e">
        <f>IF(OR(ROW()-54&gt;INDEX($U$4:$U$11,$AC$2+1,1)-INDEX($U$4:$U$11,$AC$2,1),ROW()-54&gt;$AD$2),NA(),COUNTIF(INDEX($CR$55:$CX$90,INDEX($U$4:$U$11,1,1),$AC$2):INDEX($CR$55:$CX$90,INDEX($U$4:$U$11,1,1)+ROW()-55,$AC$2),FG$53))</f>
        <v>#N/A</v>
      </c>
      <c r="FH90" t="e">
        <f>IF(OR(ROW()-54&gt;INDEX($U$4:$U$11,$AC$2+1,1)-INDEX($U$4:$U$11,$AC$2,1),ROW()-54&gt;$AD$2),NA(),COUNTIF(INDEX($CR$55:$CX$90,INDEX($U$4:$U$11,1,1),$AC$2):INDEX($CR$55:$CX$90,INDEX($U$4:$U$11,1,1)+ROW()-55,$AC$2),FH$53))</f>
        <v>#N/A</v>
      </c>
      <c r="FI90" t="e">
        <f>IF(OR(ROW()-54&gt;INDEX($U$4:$U$11,$AC$2+1,1)-INDEX($U$4:$U$11,$AC$2,1),ROW()-54&gt;$AD$2),NA(),COUNTIF(INDEX($CR$55:$CX$90,INDEX($U$4:$U$11,1,1),$AC$2):INDEX($CR$55:$CX$90,INDEX($U$4:$U$11,1,1)+ROW()-55,$AC$2),FI$53))</f>
        <v>#N/A</v>
      </c>
      <c r="FJ90" t="e">
        <f>IF(OR(ROW()-54&gt;INDEX($U$4:$U$11,$AC$2+1,1)-INDEX($U$4:$U$11,$AC$2,1),ROW()-54&gt;$AD$2),NA(),COUNTIF(INDEX($CR$55:$CX$90,INDEX($U$4:$U$11,1,1),$AC$2):INDEX($CR$55:$CX$90,INDEX($U$4:$U$11,1,1)+ROW()-55,$AC$2),FJ$53))</f>
        <v>#N/A</v>
      </c>
    </row>
    <row r="91" spans="1:166" x14ac:dyDescent="0.45">
      <c r="A91">
        <f>データの貼付!A89</f>
        <v>0</v>
      </c>
      <c r="B91">
        <f>データの貼付!B89</f>
        <v>0</v>
      </c>
      <c r="C91">
        <f>データの貼付!C89</f>
        <v>0</v>
      </c>
      <c r="D91">
        <f>データの貼付!D89</f>
        <v>0</v>
      </c>
      <c r="E91">
        <f>データの貼付!F89</f>
        <v>0</v>
      </c>
      <c r="F91">
        <f>データの貼付!E89</f>
        <v>0</v>
      </c>
      <c r="G91">
        <f>データの貼付!G89</f>
        <v>0</v>
      </c>
      <c r="H91">
        <f>データの貼付!H89</f>
        <v>0</v>
      </c>
      <c r="I91">
        <f>データの貼付!I89</f>
        <v>0</v>
      </c>
      <c r="J91">
        <f>データの貼付!J89</f>
        <v>0</v>
      </c>
      <c r="K91">
        <f>データの貼付!K89</f>
        <v>0</v>
      </c>
      <c r="L91">
        <f>データの貼付!L89</f>
        <v>0</v>
      </c>
      <c r="M91">
        <f>データの貼付!M89</f>
        <v>0</v>
      </c>
      <c r="N91">
        <f>データの貼付!N89</f>
        <v>0</v>
      </c>
      <c r="R91">
        <f t="shared" si="179"/>
        <v>0</v>
      </c>
      <c r="S91">
        <f>SUM(R$4:R91)</f>
        <v>6</v>
      </c>
      <c r="T91" t="str">
        <f t="shared" si="180"/>
        <v/>
      </c>
      <c r="W91" t="str">
        <f t="shared" si="177"/>
        <v>0_0</v>
      </c>
      <c r="X91" t="str">
        <f t="shared" si="178"/>
        <v>0_0</v>
      </c>
    </row>
    <row r="92" spans="1:166" x14ac:dyDescent="0.45">
      <c r="A92">
        <f>データの貼付!A90</f>
        <v>0</v>
      </c>
      <c r="B92">
        <f>データの貼付!B90</f>
        <v>0</v>
      </c>
      <c r="C92">
        <f>データの貼付!C90</f>
        <v>0</v>
      </c>
      <c r="D92">
        <f>データの貼付!D90</f>
        <v>0</v>
      </c>
      <c r="E92">
        <f>データの貼付!F90</f>
        <v>0</v>
      </c>
      <c r="F92">
        <f>データの貼付!E90</f>
        <v>0</v>
      </c>
      <c r="G92">
        <f>データの貼付!G90</f>
        <v>0</v>
      </c>
      <c r="H92">
        <f>データの貼付!H90</f>
        <v>0</v>
      </c>
      <c r="I92">
        <f>データの貼付!I90</f>
        <v>0</v>
      </c>
      <c r="J92">
        <f>データの貼付!J90</f>
        <v>0</v>
      </c>
      <c r="K92">
        <f>データの貼付!K90</f>
        <v>0</v>
      </c>
      <c r="L92">
        <f>データの貼付!L90</f>
        <v>0</v>
      </c>
      <c r="M92">
        <f>データの貼付!M90</f>
        <v>0</v>
      </c>
      <c r="N92">
        <f>データの貼付!N90</f>
        <v>0</v>
      </c>
      <c r="R92">
        <f t="shared" si="179"/>
        <v>0</v>
      </c>
      <c r="S92">
        <f>SUM(R$4:R92)</f>
        <v>6</v>
      </c>
      <c r="T92" t="str">
        <f t="shared" si="180"/>
        <v/>
      </c>
      <c r="W92" t="str">
        <f t="shared" si="177"/>
        <v>0_0</v>
      </c>
      <c r="X92" t="str">
        <f t="shared" si="178"/>
        <v>0_0</v>
      </c>
    </row>
    <row r="93" spans="1:166" x14ac:dyDescent="0.45">
      <c r="A93">
        <f>データの貼付!A91</f>
        <v>0</v>
      </c>
      <c r="B93">
        <f>データの貼付!B91</f>
        <v>0</v>
      </c>
      <c r="C93">
        <f>データの貼付!C91</f>
        <v>0</v>
      </c>
      <c r="D93">
        <f>データの貼付!D91</f>
        <v>0</v>
      </c>
      <c r="E93">
        <f>データの貼付!F91</f>
        <v>0</v>
      </c>
      <c r="F93">
        <f>データの貼付!E91</f>
        <v>0</v>
      </c>
      <c r="G93">
        <f>データの貼付!G91</f>
        <v>0</v>
      </c>
      <c r="H93">
        <f>データの貼付!H91</f>
        <v>0</v>
      </c>
      <c r="I93">
        <f>データの貼付!I91</f>
        <v>0</v>
      </c>
      <c r="J93">
        <f>データの貼付!J91</f>
        <v>0</v>
      </c>
      <c r="K93">
        <f>データの貼付!K91</f>
        <v>0</v>
      </c>
      <c r="L93">
        <f>データの貼付!L91</f>
        <v>0</v>
      </c>
      <c r="M93">
        <f>データの貼付!M91</f>
        <v>0</v>
      </c>
      <c r="N93">
        <f>データの貼付!N91</f>
        <v>0</v>
      </c>
      <c r="R93">
        <f t="shared" si="179"/>
        <v>0</v>
      </c>
      <c r="S93">
        <f>SUM(R$4:R93)</f>
        <v>6</v>
      </c>
      <c r="T93" t="str">
        <f t="shared" si="180"/>
        <v/>
      </c>
      <c r="W93" t="str">
        <f t="shared" si="177"/>
        <v>0_0</v>
      </c>
      <c r="X93" t="str">
        <f t="shared" si="178"/>
        <v>0_0</v>
      </c>
      <c r="DH93">
        <f>COUNTIF($BL$55:$BR$90,DH53)</f>
        <v>4</v>
      </c>
      <c r="DI93">
        <f>COUNTIF($BL$55:$BR$90,DI53)</f>
        <v>14</v>
      </c>
      <c r="DJ93">
        <f>COUNTIF($BL$55:$BR$90,DJ53)</f>
        <v>2</v>
      </c>
      <c r="DL93">
        <f>COUNTIF($BL$55:$BR$90,DL53)</f>
        <v>0</v>
      </c>
      <c r="DM93">
        <f>COUNTIF($BL$55:$BR$90,DM53)</f>
        <v>0</v>
      </c>
      <c r="DN93">
        <f>COUNTIF($BL$55:$BR$90,DN53)</f>
        <v>22</v>
      </c>
      <c r="ET93">
        <f>COUNTIF($CR$55:$CX$90,ET53)</f>
        <v>4</v>
      </c>
      <c r="EU93">
        <f>COUNTIF($CR$55:$CX$90,EU53)</f>
        <v>0</v>
      </c>
      <c r="EV93">
        <f>COUNTIF($CR$55:$CX$90,EV53)</f>
        <v>2</v>
      </c>
      <c r="EW93">
        <f>COUNTIF($CR$55:$CX$90,EW53)</f>
        <v>1</v>
      </c>
      <c r="EX93">
        <f>COUNTIF($CR$55:$CX$90,EX53)</f>
        <v>0</v>
      </c>
      <c r="EY93">
        <f>COUNTIF($CR$55:$CX$490,EY53)</f>
        <v>8</v>
      </c>
      <c r="EZ93">
        <f>COUNTIF($CR$55:$CX$90,EZ53)</f>
        <v>0</v>
      </c>
      <c r="FA93">
        <f>COUNTIF($CR$55:$CX$90,FA53)</f>
        <v>0</v>
      </c>
      <c r="FC93">
        <f t="shared" ref="FC93:FJ93" si="187">COUNTIF($CR$55:$CX$90,FC53)</f>
        <v>0</v>
      </c>
      <c r="FD93">
        <f t="shared" si="187"/>
        <v>1</v>
      </c>
      <c r="FE93">
        <f t="shared" si="187"/>
        <v>4</v>
      </c>
      <c r="FF93">
        <f t="shared" si="187"/>
        <v>3</v>
      </c>
      <c r="FG93">
        <f t="shared" si="187"/>
        <v>0</v>
      </c>
      <c r="FH93">
        <f t="shared" si="187"/>
        <v>8</v>
      </c>
      <c r="FI93">
        <f t="shared" si="187"/>
        <v>0</v>
      </c>
      <c r="FJ93">
        <f t="shared" si="187"/>
        <v>0</v>
      </c>
    </row>
    <row r="94" spans="1:166" x14ac:dyDescent="0.45">
      <c r="A94">
        <f>データの貼付!A92</f>
        <v>0</v>
      </c>
      <c r="B94">
        <f>データの貼付!B92</f>
        <v>0</v>
      </c>
      <c r="C94">
        <f>データの貼付!C92</f>
        <v>0</v>
      </c>
      <c r="D94">
        <f>データの貼付!D92</f>
        <v>0</v>
      </c>
      <c r="E94">
        <f>データの貼付!F92</f>
        <v>0</v>
      </c>
      <c r="F94">
        <f>データの貼付!E92</f>
        <v>0</v>
      </c>
      <c r="G94">
        <f>データの貼付!G92</f>
        <v>0</v>
      </c>
      <c r="H94">
        <f>データの貼付!H92</f>
        <v>0</v>
      </c>
      <c r="I94">
        <f>データの貼付!I92</f>
        <v>0</v>
      </c>
      <c r="J94">
        <f>データの貼付!J92</f>
        <v>0</v>
      </c>
      <c r="K94">
        <f>データの貼付!K92</f>
        <v>0</v>
      </c>
      <c r="L94">
        <f>データの貼付!L92</f>
        <v>0</v>
      </c>
      <c r="M94">
        <f>データの貼付!M92</f>
        <v>0</v>
      </c>
      <c r="N94">
        <f>データの貼付!N92</f>
        <v>0</v>
      </c>
      <c r="R94">
        <f t="shared" si="179"/>
        <v>0</v>
      </c>
      <c r="S94">
        <f>SUM(R$4:R94)</f>
        <v>6</v>
      </c>
      <c r="T94" t="str">
        <f t="shared" si="180"/>
        <v/>
      </c>
      <c r="W94" t="str">
        <f t="shared" si="177"/>
        <v>0_0</v>
      </c>
      <c r="X94" t="str">
        <f t="shared" si="178"/>
        <v>0_0</v>
      </c>
    </row>
    <row r="95" spans="1:166" x14ac:dyDescent="0.45">
      <c r="A95">
        <f>データの貼付!A93</f>
        <v>0</v>
      </c>
      <c r="B95">
        <f>データの貼付!B93</f>
        <v>0</v>
      </c>
      <c r="C95">
        <f>データの貼付!C93</f>
        <v>0</v>
      </c>
      <c r="D95">
        <f>データの貼付!D93</f>
        <v>0</v>
      </c>
      <c r="E95">
        <f>データの貼付!F93</f>
        <v>0</v>
      </c>
      <c r="F95">
        <f>データの貼付!E93</f>
        <v>0</v>
      </c>
      <c r="G95">
        <f>データの貼付!G93</f>
        <v>0</v>
      </c>
      <c r="H95">
        <f>データの貼付!H93</f>
        <v>0</v>
      </c>
      <c r="I95">
        <f>データの貼付!I93</f>
        <v>0</v>
      </c>
      <c r="J95">
        <f>データの貼付!J93</f>
        <v>0</v>
      </c>
      <c r="K95">
        <f>データの貼付!K93</f>
        <v>0</v>
      </c>
      <c r="L95">
        <f>データの貼付!L93</f>
        <v>0</v>
      </c>
      <c r="M95">
        <f>データの貼付!M93</f>
        <v>0</v>
      </c>
      <c r="N95">
        <f>データの貼付!N93</f>
        <v>0</v>
      </c>
      <c r="R95">
        <f t="shared" si="179"/>
        <v>0</v>
      </c>
      <c r="S95">
        <f>SUM(R$4:R95)</f>
        <v>6</v>
      </c>
      <c r="T95" t="str">
        <f t="shared" si="180"/>
        <v/>
      </c>
      <c r="W95" t="str">
        <f t="shared" si="177"/>
        <v>0_0</v>
      </c>
      <c r="X95" t="str">
        <f t="shared" si="178"/>
        <v>0_0</v>
      </c>
    </row>
    <row r="96" spans="1:166" x14ac:dyDescent="0.45">
      <c r="A96">
        <f>データの貼付!A94</f>
        <v>0</v>
      </c>
      <c r="B96">
        <f>データの貼付!B94</f>
        <v>0</v>
      </c>
      <c r="C96">
        <f>データの貼付!C94</f>
        <v>0</v>
      </c>
      <c r="D96">
        <f>データの貼付!D94</f>
        <v>0</v>
      </c>
      <c r="E96">
        <f>データの貼付!F94</f>
        <v>0</v>
      </c>
      <c r="F96">
        <f>データの貼付!E94</f>
        <v>0</v>
      </c>
      <c r="G96">
        <f>データの貼付!G94</f>
        <v>0</v>
      </c>
      <c r="H96">
        <f>データの貼付!H94</f>
        <v>0</v>
      </c>
      <c r="I96">
        <f>データの貼付!I94</f>
        <v>0</v>
      </c>
      <c r="J96">
        <f>データの貼付!J94</f>
        <v>0</v>
      </c>
      <c r="K96">
        <f>データの貼付!K94</f>
        <v>0</v>
      </c>
      <c r="L96">
        <f>データの貼付!L94</f>
        <v>0</v>
      </c>
      <c r="M96">
        <f>データの貼付!M94</f>
        <v>0</v>
      </c>
      <c r="N96">
        <f>データの貼付!N94</f>
        <v>0</v>
      </c>
      <c r="R96">
        <f t="shared" si="179"/>
        <v>0</v>
      </c>
      <c r="S96">
        <f>SUM(R$4:R96)</f>
        <v>6</v>
      </c>
      <c r="T96" t="str">
        <f t="shared" si="180"/>
        <v/>
      </c>
      <c r="W96" t="str">
        <f t="shared" si="177"/>
        <v>0_0</v>
      </c>
      <c r="X96" t="str">
        <f t="shared" si="178"/>
        <v>0_0</v>
      </c>
    </row>
    <row r="97" spans="1:24" x14ac:dyDescent="0.45">
      <c r="A97">
        <f>データの貼付!A95</f>
        <v>0</v>
      </c>
      <c r="B97">
        <f>データの貼付!B95</f>
        <v>0</v>
      </c>
      <c r="C97">
        <f>データの貼付!C95</f>
        <v>0</v>
      </c>
      <c r="D97">
        <f>データの貼付!D95</f>
        <v>0</v>
      </c>
      <c r="E97">
        <f>データの貼付!F95</f>
        <v>0</v>
      </c>
      <c r="F97">
        <f>データの貼付!E95</f>
        <v>0</v>
      </c>
      <c r="G97">
        <f>データの貼付!G95</f>
        <v>0</v>
      </c>
      <c r="H97">
        <f>データの貼付!H95</f>
        <v>0</v>
      </c>
      <c r="I97">
        <f>データの貼付!I95</f>
        <v>0</v>
      </c>
      <c r="J97">
        <f>データの貼付!J95</f>
        <v>0</v>
      </c>
      <c r="K97">
        <f>データの貼付!K95</f>
        <v>0</v>
      </c>
      <c r="L97">
        <f>データの貼付!L95</f>
        <v>0</v>
      </c>
      <c r="M97">
        <f>データの貼付!M95</f>
        <v>0</v>
      </c>
      <c r="N97">
        <f>データの貼付!N95</f>
        <v>0</v>
      </c>
      <c r="R97">
        <f t="shared" si="179"/>
        <v>0</v>
      </c>
      <c r="S97">
        <f>SUM(R$4:R97)</f>
        <v>6</v>
      </c>
      <c r="T97" t="str">
        <f t="shared" si="180"/>
        <v/>
      </c>
      <c r="W97" t="str">
        <f t="shared" si="177"/>
        <v>0_0</v>
      </c>
      <c r="X97" t="str">
        <f t="shared" si="178"/>
        <v>0_0</v>
      </c>
    </row>
    <row r="98" spans="1:24" x14ac:dyDescent="0.45">
      <c r="A98">
        <f>データの貼付!A96</f>
        <v>0</v>
      </c>
      <c r="B98">
        <f>データの貼付!B96</f>
        <v>0</v>
      </c>
      <c r="C98">
        <f>データの貼付!C96</f>
        <v>0</v>
      </c>
      <c r="D98">
        <f>データの貼付!D96</f>
        <v>0</v>
      </c>
      <c r="E98">
        <f>データの貼付!F96</f>
        <v>0</v>
      </c>
      <c r="F98">
        <f>データの貼付!E96</f>
        <v>0</v>
      </c>
      <c r="G98">
        <f>データの貼付!G96</f>
        <v>0</v>
      </c>
      <c r="H98">
        <f>データの貼付!H96</f>
        <v>0</v>
      </c>
      <c r="I98">
        <f>データの貼付!I96</f>
        <v>0</v>
      </c>
      <c r="J98">
        <f>データの貼付!J96</f>
        <v>0</v>
      </c>
      <c r="K98">
        <f>データの貼付!K96</f>
        <v>0</v>
      </c>
      <c r="L98">
        <f>データの貼付!L96</f>
        <v>0</v>
      </c>
      <c r="M98">
        <f>データの貼付!M96</f>
        <v>0</v>
      </c>
      <c r="N98">
        <f>データの貼付!N96</f>
        <v>0</v>
      </c>
      <c r="R98">
        <f t="shared" si="179"/>
        <v>0</v>
      </c>
      <c r="S98">
        <f>SUM(R$4:R98)</f>
        <v>6</v>
      </c>
      <c r="T98" t="str">
        <f t="shared" si="180"/>
        <v/>
      </c>
      <c r="W98" t="str">
        <f t="shared" si="177"/>
        <v>0_0</v>
      </c>
      <c r="X98" t="str">
        <f t="shared" si="178"/>
        <v>0_0</v>
      </c>
    </row>
    <row r="99" spans="1:24" x14ac:dyDescent="0.45">
      <c r="A99">
        <f>データの貼付!A97</f>
        <v>0</v>
      </c>
      <c r="B99">
        <f>データの貼付!B97</f>
        <v>0</v>
      </c>
      <c r="C99">
        <f>データの貼付!C97</f>
        <v>0</v>
      </c>
      <c r="D99">
        <f>データの貼付!D97</f>
        <v>0</v>
      </c>
      <c r="E99">
        <f>データの貼付!F97</f>
        <v>0</v>
      </c>
      <c r="F99">
        <f>データの貼付!E97</f>
        <v>0</v>
      </c>
      <c r="G99">
        <f>データの貼付!G97</f>
        <v>0</v>
      </c>
      <c r="H99">
        <f>データの貼付!H97</f>
        <v>0</v>
      </c>
      <c r="I99">
        <f>データの貼付!I97</f>
        <v>0</v>
      </c>
      <c r="J99">
        <f>データの貼付!J97</f>
        <v>0</v>
      </c>
      <c r="K99">
        <f>データの貼付!K97</f>
        <v>0</v>
      </c>
      <c r="L99">
        <f>データの貼付!L97</f>
        <v>0</v>
      </c>
      <c r="M99">
        <f>データの貼付!M97</f>
        <v>0</v>
      </c>
      <c r="N99">
        <f>データの貼付!N97</f>
        <v>0</v>
      </c>
      <c r="R99">
        <f t="shared" si="179"/>
        <v>0</v>
      </c>
      <c r="S99">
        <f>SUM(R$4:R99)</f>
        <v>6</v>
      </c>
      <c r="T99" t="str">
        <f t="shared" si="180"/>
        <v/>
      </c>
      <c r="W99" t="str">
        <f t="shared" si="177"/>
        <v>0_0</v>
      </c>
      <c r="X99" t="str">
        <f t="shared" si="178"/>
        <v>0_0</v>
      </c>
    </row>
    <row r="100" spans="1:24" x14ac:dyDescent="0.45">
      <c r="A100">
        <f>データの貼付!A98</f>
        <v>0</v>
      </c>
      <c r="B100">
        <f>データの貼付!B98</f>
        <v>0</v>
      </c>
      <c r="C100">
        <f>データの貼付!C98</f>
        <v>0</v>
      </c>
      <c r="D100">
        <f>データの貼付!D98</f>
        <v>0</v>
      </c>
      <c r="E100">
        <f>データの貼付!F98</f>
        <v>0</v>
      </c>
      <c r="F100">
        <f>データの貼付!E98</f>
        <v>0</v>
      </c>
      <c r="G100">
        <f>データの貼付!G98</f>
        <v>0</v>
      </c>
      <c r="H100">
        <f>データの貼付!H98</f>
        <v>0</v>
      </c>
      <c r="I100">
        <f>データの貼付!I98</f>
        <v>0</v>
      </c>
      <c r="J100">
        <f>データの貼付!J98</f>
        <v>0</v>
      </c>
      <c r="K100">
        <f>データの貼付!K98</f>
        <v>0</v>
      </c>
      <c r="L100">
        <f>データの貼付!L98</f>
        <v>0</v>
      </c>
      <c r="M100">
        <f>データの貼付!M98</f>
        <v>0</v>
      </c>
      <c r="N100">
        <f>データの貼付!N98</f>
        <v>0</v>
      </c>
      <c r="R100">
        <f t="shared" si="179"/>
        <v>0</v>
      </c>
      <c r="S100">
        <f>SUM(R$4:R100)</f>
        <v>6</v>
      </c>
      <c r="T100" t="str">
        <f t="shared" si="180"/>
        <v/>
      </c>
      <c r="W100" t="str">
        <f t="shared" si="177"/>
        <v>0_0</v>
      </c>
      <c r="X100" t="str">
        <f t="shared" si="178"/>
        <v>0_0</v>
      </c>
    </row>
    <row r="101" spans="1:24" x14ac:dyDescent="0.45">
      <c r="A101">
        <f>データの貼付!A99</f>
        <v>0</v>
      </c>
      <c r="B101">
        <f>データの貼付!B99</f>
        <v>0</v>
      </c>
      <c r="C101">
        <f>データの貼付!C99</f>
        <v>0</v>
      </c>
      <c r="D101">
        <f>データの貼付!D99</f>
        <v>0</v>
      </c>
      <c r="E101">
        <f>データの貼付!F99</f>
        <v>0</v>
      </c>
      <c r="F101">
        <f>データの貼付!E99</f>
        <v>0</v>
      </c>
      <c r="G101">
        <f>データの貼付!G99</f>
        <v>0</v>
      </c>
      <c r="H101">
        <f>データの貼付!H99</f>
        <v>0</v>
      </c>
      <c r="I101">
        <f>データの貼付!I99</f>
        <v>0</v>
      </c>
      <c r="J101">
        <f>データの貼付!J99</f>
        <v>0</v>
      </c>
      <c r="K101">
        <f>データの貼付!K99</f>
        <v>0</v>
      </c>
      <c r="L101">
        <f>データの貼付!L99</f>
        <v>0</v>
      </c>
      <c r="M101">
        <f>データの貼付!M99</f>
        <v>0</v>
      </c>
      <c r="N101">
        <f>データの貼付!N99</f>
        <v>0</v>
      </c>
      <c r="R101">
        <f t="shared" si="179"/>
        <v>0</v>
      </c>
      <c r="S101">
        <f>SUM(R$4:R101)</f>
        <v>6</v>
      </c>
      <c r="T101" t="str">
        <f t="shared" si="180"/>
        <v/>
      </c>
      <c r="W101" t="str">
        <f t="shared" si="177"/>
        <v>0_0</v>
      </c>
      <c r="X101" t="str">
        <f t="shared" si="178"/>
        <v>0_0</v>
      </c>
    </row>
    <row r="102" spans="1:24" x14ac:dyDescent="0.45">
      <c r="A102">
        <f>データの貼付!A100</f>
        <v>0</v>
      </c>
      <c r="B102">
        <f>データの貼付!B100</f>
        <v>0</v>
      </c>
      <c r="C102">
        <f>データの貼付!C100</f>
        <v>0</v>
      </c>
      <c r="D102">
        <f>データの貼付!D100</f>
        <v>0</v>
      </c>
      <c r="E102">
        <f>データの貼付!F100</f>
        <v>0</v>
      </c>
      <c r="F102">
        <f>データの貼付!E100</f>
        <v>0</v>
      </c>
      <c r="G102">
        <f>データの貼付!G100</f>
        <v>0</v>
      </c>
      <c r="H102">
        <f>データの貼付!H100</f>
        <v>0</v>
      </c>
      <c r="I102">
        <f>データの貼付!I100</f>
        <v>0</v>
      </c>
      <c r="J102">
        <f>データの貼付!J100</f>
        <v>0</v>
      </c>
      <c r="K102">
        <f>データの貼付!K100</f>
        <v>0</v>
      </c>
      <c r="L102">
        <f>データの貼付!L100</f>
        <v>0</v>
      </c>
      <c r="M102">
        <f>データの貼付!M100</f>
        <v>0</v>
      </c>
      <c r="N102">
        <f>データの貼付!N100</f>
        <v>0</v>
      </c>
      <c r="R102">
        <f t="shared" si="179"/>
        <v>0</v>
      </c>
      <c r="S102">
        <f>SUM(R$4:R102)</f>
        <v>6</v>
      </c>
      <c r="T102" t="str">
        <f t="shared" si="180"/>
        <v/>
      </c>
      <c r="W102" t="str">
        <f t="shared" si="177"/>
        <v>0_0</v>
      </c>
      <c r="X102" t="str">
        <f t="shared" si="178"/>
        <v>0_0</v>
      </c>
    </row>
    <row r="103" spans="1:24" x14ac:dyDescent="0.45">
      <c r="A103">
        <f>データの貼付!A101</f>
        <v>0</v>
      </c>
      <c r="B103">
        <f>データの貼付!B101</f>
        <v>0</v>
      </c>
      <c r="C103">
        <f>データの貼付!C101</f>
        <v>0</v>
      </c>
      <c r="D103">
        <f>データの貼付!D101</f>
        <v>0</v>
      </c>
      <c r="E103">
        <f>データの貼付!F101</f>
        <v>0</v>
      </c>
      <c r="F103">
        <f>データの貼付!E101</f>
        <v>0</v>
      </c>
      <c r="G103">
        <f>データの貼付!G101</f>
        <v>0</v>
      </c>
      <c r="H103">
        <f>データの貼付!H101</f>
        <v>0</v>
      </c>
      <c r="I103">
        <f>データの貼付!I101</f>
        <v>0</v>
      </c>
      <c r="J103">
        <f>データの貼付!J101</f>
        <v>0</v>
      </c>
      <c r="K103">
        <f>データの貼付!K101</f>
        <v>0</v>
      </c>
      <c r="L103">
        <f>データの貼付!L101</f>
        <v>0</v>
      </c>
      <c r="M103">
        <f>データの貼付!M101</f>
        <v>0</v>
      </c>
      <c r="N103">
        <f>データの貼付!N101</f>
        <v>0</v>
      </c>
      <c r="R103">
        <f t="shared" si="179"/>
        <v>0</v>
      </c>
      <c r="S103">
        <f>SUM(R$4:R103)</f>
        <v>6</v>
      </c>
      <c r="T103" t="str">
        <f t="shared" si="180"/>
        <v/>
      </c>
      <c r="W103" t="str">
        <f t="shared" si="177"/>
        <v>0_0</v>
      </c>
      <c r="X103" t="str">
        <f t="shared" si="178"/>
        <v>0_0</v>
      </c>
    </row>
    <row r="104" spans="1:24" x14ac:dyDescent="0.45">
      <c r="A104">
        <f>データの貼付!A102</f>
        <v>0</v>
      </c>
      <c r="B104">
        <f>データの貼付!B102</f>
        <v>0</v>
      </c>
      <c r="C104">
        <f>データの貼付!C102</f>
        <v>0</v>
      </c>
      <c r="D104">
        <f>データの貼付!D102</f>
        <v>0</v>
      </c>
      <c r="E104">
        <f>データの貼付!F102</f>
        <v>0</v>
      </c>
      <c r="F104">
        <f>データの貼付!E102</f>
        <v>0</v>
      </c>
      <c r="G104">
        <f>データの貼付!G102</f>
        <v>0</v>
      </c>
      <c r="H104">
        <f>データの貼付!H102</f>
        <v>0</v>
      </c>
      <c r="I104">
        <f>データの貼付!I102</f>
        <v>0</v>
      </c>
      <c r="J104">
        <f>データの貼付!J102</f>
        <v>0</v>
      </c>
      <c r="K104">
        <f>データの貼付!K102</f>
        <v>0</v>
      </c>
      <c r="L104">
        <f>データの貼付!L102</f>
        <v>0</v>
      </c>
      <c r="M104">
        <f>データの貼付!M102</f>
        <v>0</v>
      </c>
      <c r="N104">
        <f>データの貼付!N102</f>
        <v>0</v>
      </c>
      <c r="R104">
        <f t="shared" si="179"/>
        <v>0</v>
      </c>
      <c r="S104">
        <f>SUM(R$4:R104)</f>
        <v>6</v>
      </c>
      <c r="T104" t="str">
        <f t="shared" si="180"/>
        <v/>
      </c>
      <c r="W104" t="str">
        <f t="shared" si="177"/>
        <v>0_0</v>
      </c>
      <c r="X104" t="str">
        <f t="shared" si="178"/>
        <v>0_0</v>
      </c>
    </row>
    <row r="105" spans="1:24" x14ac:dyDescent="0.45">
      <c r="A105">
        <f>データの貼付!A103</f>
        <v>0</v>
      </c>
      <c r="B105">
        <f>データの貼付!B103</f>
        <v>0</v>
      </c>
      <c r="C105">
        <f>データの貼付!C103</f>
        <v>0</v>
      </c>
      <c r="D105">
        <f>データの貼付!D103</f>
        <v>0</v>
      </c>
      <c r="E105">
        <f>データの貼付!F103</f>
        <v>0</v>
      </c>
      <c r="F105">
        <f>データの貼付!E103</f>
        <v>0</v>
      </c>
      <c r="G105">
        <f>データの貼付!G103</f>
        <v>0</v>
      </c>
      <c r="H105">
        <f>データの貼付!H103</f>
        <v>0</v>
      </c>
      <c r="I105">
        <f>データの貼付!I103</f>
        <v>0</v>
      </c>
      <c r="J105">
        <f>データの貼付!J103</f>
        <v>0</v>
      </c>
      <c r="K105">
        <f>データの貼付!K103</f>
        <v>0</v>
      </c>
      <c r="L105">
        <f>データの貼付!L103</f>
        <v>0</v>
      </c>
      <c r="M105">
        <f>データの貼付!M103</f>
        <v>0</v>
      </c>
      <c r="N105">
        <f>データの貼付!N103</f>
        <v>0</v>
      </c>
      <c r="R105">
        <f t="shared" si="179"/>
        <v>0</v>
      </c>
      <c r="S105">
        <f>SUM(R$4:R105)</f>
        <v>6</v>
      </c>
      <c r="T105" t="str">
        <f t="shared" si="180"/>
        <v/>
      </c>
      <c r="W105" t="str">
        <f t="shared" si="177"/>
        <v>0_0</v>
      </c>
      <c r="X105" t="str">
        <f t="shared" si="178"/>
        <v>0_0</v>
      </c>
    </row>
    <row r="106" spans="1:24" x14ac:dyDescent="0.45">
      <c r="A106">
        <f>データの貼付!A104</f>
        <v>0</v>
      </c>
      <c r="B106">
        <f>データの貼付!B104</f>
        <v>0</v>
      </c>
      <c r="C106">
        <f>データの貼付!C104</f>
        <v>0</v>
      </c>
      <c r="D106">
        <f>データの貼付!D104</f>
        <v>0</v>
      </c>
      <c r="E106">
        <f>データの貼付!F104</f>
        <v>0</v>
      </c>
      <c r="F106">
        <f>データの貼付!E104</f>
        <v>0</v>
      </c>
      <c r="G106">
        <f>データの貼付!G104</f>
        <v>0</v>
      </c>
      <c r="H106">
        <f>データの貼付!H104</f>
        <v>0</v>
      </c>
      <c r="I106">
        <f>データの貼付!I104</f>
        <v>0</v>
      </c>
      <c r="J106">
        <f>データの貼付!J104</f>
        <v>0</v>
      </c>
      <c r="K106">
        <f>データの貼付!K104</f>
        <v>0</v>
      </c>
      <c r="L106">
        <f>データの貼付!L104</f>
        <v>0</v>
      </c>
      <c r="M106">
        <f>データの貼付!M104</f>
        <v>0</v>
      </c>
      <c r="N106">
        <f>データの貼付!N104</f>
        <v>0</v>
      </c>
      <c r="R106">
        <f t="shared" si="179"/>
        <v>0</v>
      </c>
      <c r="S106">
        <f>SUM(R$4:R106)</f>
        <v>6</v>
      </c>
      <c r="T106" t="str">
        <f t="shared" si="180"/>
        <v/>
      </c>
      <c r="W106" t="str">
        <f t="shared" si="177"/>
        <v>0_0</v>
      </c>
      <c r="X106" t="str">
        <f t="shared" si="178"/>
        <v>0_0</v>
      </c>
    </row>
    <row r="107" spans="1:24" x14ac:dyDescent="0.45">
      <c r="A107">
        <f>データの貼付!A105</f>
        <v>0</v>
      </c>
      <c r="B107">
        <f>データの貼付!B105</f>
        <v>0</v>
      </c>
      <c r="C107">
        <f>データの貼付!C105</f>
        <v>0</v>
      </c>
      <c r="D107">
        <f>データの貼付!D105</f>
        <v>0</v>
      </c>
      <c r="E107">
        <f>データの貼付!F105</f>
        <v>0</v>
      </c>
      <c r="F107">
        <f>データの貼付!E105</f>
        <v>0</v>
      </c>
      <c r="G107">
        <f>データの貼付!G105</f>
        <v>0</v>
      </c>
      <c r="H107">
        <f>データの貼付!H105</f>
        <v>0</v>
      </c>
      <c r="I107">
        <f>データの貼付!I105</f>
        <v>0</v>
      </c>
      <c r="J107">
        <f>データの貼付!J105</f>
        <v>0</v>
      </c>
      <c r="K107">
        <f>データの貼付!K105</f>
        <v>0</v>
      </c>
      <c r="L107">
        <f>データの貼付!L105</f>
        <v>0</v>
      </c>
      <c r="M107">
        <f>データの貼付!M105</f>
        <v>0</v>
      </c>
      <c r="N107">
        <f>データの貼付!N105</f>
        <v>0</v>
      </c>
      <c r="R107">
        <f t="shared" si="179"/>
        <v>0</v>
      </c>
      <c r="S107">
        <f>SUM(R$4:R107)</f>
        <v>6</v>
      </c>
      <c r="T107" t="str">
        <f t="shared" si="180"/>
        <v/>
      </c>
      <c r="W107" t="str">
        <f t="shared" si="177"/>
        <v>0_0</v>
      </c>
      <c r="X107" t="str">
        <f t="shared" si="178"/>
        <v>0_0</v>
      </c>
    </row>
    <row r="108" spans="1:24" x14ac:dyDescent="0.45">
      <c r="A108">
        <f>データの貼付!A106</f>
        <v>0</v>
      </c>
      <c r="B108">
        <f>データの貼付!B106</f>
        <v>0</v>
      </c>
      <c r="C108">
        <f>データの貼付!C106</f>
        <v>0</v>
      </c>
      <c r="D108">
        <f>データの貼付!D106</f>
        <v>0</v>
      </c>
      <c r="E108">
        <f>データの貼付!F106</f>
        <v>0</v>
      </c>
      <c r="F108">
        <f>データの貼付!E106</f>
        <v>0</v>
      </c>
      <c r="G108">
        <f>データの貼付!G106</f>
        <v>0</v>
      </c>
      <c r="H108">
        <f>データの貼付!H106</f>
        <v>0</v>
      </c>
      <c r="I108">
        <f>データの貼付!I106</f>
        <v>0</v>
      </c>
      <c r="J108">
        <f>データの貼付!J106</f>
        <v>0</v>
      </c>
      <c r="K108">
        <f>データの貼付!K106</f>
        <v>0</v>
      </c>
      <c r="L108">
        <f>データの貼付!L106</f>
        <v>0</v>
      </c>
      <c r="M108">
        <f>データの貼付!M106</f>
        <v>0</v>
      </c>
      <c r="N108">
        <f>データの貼付!N106</f>
        <v>0</v>
      </c>
      <c r="R108">
        <f t="shared" si="179"/>
        <v>0</v>
      </c>
      <c r="S108">
        <f>SUM(R$4:R108)</f>
        <v>6</v>
      </c>
      <c r="T108" t="str">
        <f t="shared" si="180"/>
        <v/>
      </c>
      <c r="W108" t="str">
        <f t="shared" si="177"/>
        <v>0_0</v>
      </c>
      <c r="X108" t="str">
        <f t="shared" si="178"/>
        <v>0_0</v>
      </c>
    </row>
    <row r="109" spans="1:24" x14ac:dyDescent="0.45">
      <c r="A109">
        <f>データの貼付!A107</f>
        <v>0</v>
      </c>
      <c r="B109">
        <f>データの貼付!B107</f>
        <v>0</v>
      </c>
      <c r="C109">
        <f>データの貼付!C107</f>
        <v>0</v>
      </c>
      <c r="D109">
        <f>データの貼付!D107</f>
        <v>0</v>
      </c>
      <c r="E109">
        <f>データの貼付!F107</f>
        <v>0</v>
      </c>
      <c r="F109">
        <f>データの貼付!E107</f>
        <v>0</v>
      </c>
      <c r="G109">
        <f>データの貼付!G107</f>
        <v>0</v>
      </c>
      <c r="H109">
        <f>データの貼付!H107</f>
        <v>0</v>
      </c>
      <c r="I109">
        <f>データの貼付!I107</f>
        <v>0</v>
      </c>
      <c r="J109">
        <f>データの貼付!J107</f>
        <v>0</v>
      </c>
      <c r="K109">
        <f>データの貼付!K107</f>
        <v>0</v>
      </c>
      <c r="L109">
        <f>データの貼付!L107</f>
        <v>0</v>
      </c>
      <c r="M109">
        <f>データの貼付!M107</f>
        <v>0</v>
      </c>
      <c r="N109">
        <f>データの貼付!N107</f>
        <v>0</v>
      </c>
      <c r="R109">
        <f t="shared" si="179"/>
        <v>0</v>
      </c>
      <c r="S109">
        <f>SUM(R$4:R109)</f>
        <v>6</v>
      </c>
      <c r="T109" t="str">
        <f t="shared" si="180"/>
        <v/>
      </c>
      <c r="W109" t="str">
        <f t="shared" si="177"/>
        <v>0_0</v>
      </c>
      <c r="X109" t="str">
        <f t="shared" si="178"/>
        <v>0_0</v>
      </c>
    </row>
    <row r="110" spans="1:24" x14ac:dyDescent="0.45">
      <c r="A110">
        <f>データの貼付!A108</f>
        <v>0</v>
      </c>
      <c r="B110">
        <f>データの貼付!B108</f>
        <v>0</v>
      </c>
      <c r="C110">
        <f>データの貼付!C108</f>
        <v>0</v>
      </c>
      <c r="D110">
        <f>データの貼付!D108</f>
        <v>0</v>
      </c>
      <c r="E110">
        <f>データの貼付!F108</f>
        <v>0</v>
      </c>
      <c r="F110">
        <f>データの貼付!E108</f>
        <v>0</v>
      </c>
      <c r="G110">
        <f>データの貼付!G108</f>
        <v>0</v>
      </c>
      <c r="H110">
        <f>データの貼付!H108</f>
        <v>0</v>
      </c>
      <c r="I110">
        <f>データの貼付!I108</f>
        <v>0</v>
      </c>
      <c r="J110">
        <f>データの貼付!J108</f>
        <v>0</v>
      </c>
      <c r="K110">
        <f>データの貼付!K108</f>
        <v>0</v>
      </c>
      <c r="L110">
        <f>データの貼付!L108</f>
        <v>0</v>
      </c>
      <c r="M110">
        <f>データの貼付!M108</f>
        <v>0</v>
      </c>
      <c r="N110">
        <f>データの貼付!N108</f>
        <v>0</v>
      </c>
      <c r="R110">
        <f t="shared" si="179"/>
        <v>0</v>
      </c>
      <c r="S110">
        <f>SUM(R$4:R110)</f>
        <v>6</v>
      </c>
      <c r="T110" t="str">
        <f t="shared" si="180"/>
        <v/>
      </c>
      <c r="W110" t="str">
        <f t="shared" si="177"/>
        <v>0_0</v>
      </c>
      <c r="X110" t="str">
        <f t="shared" si="178"/>
        <v>0_0</v>
      </c>
    </row>
    <row r="111" spans="1:24" x14ac:dyDescent="0.45">
      <c r="A111">
        <f>データの貼付!A109</f>
        <v>0</v>
      </c>
      <c r="B111">
        <f>データの貼付!B109</f>
        <v>0</v>
      </c>
      <c r="C111">
        <f>データの貼付!C109</f>
        <v>0</v>
      </c>
      <c r="D111">
        <f>データの貼付!D109</f>
        <v>0</v>
      </c>
      <c r="E111">
        <f>データの貼付!F109</f>
        <v>0</v>
      </c>
      <c r="F111">
        <f>データの貼付!E109</f>
        <v>0</v>
      </c>
      <c r="G111">
        <f>データの貼付!G109</f>
        <v>0</v>
      </c>
      <c r="H111">
        <f>データの貼付!H109</f>
        <v>0</v>
      </c>
      <c r="I111">
        <f>データの貼付!I109</f>
        <v>0</v>
      </c>
      <c r="J111">
        <f>データの貼付!J109</f>
        <v>0</v>
      </c>
      <c r="K111">
        <f>データの貼付!K109</f>
        <v>0</v>
      </c>
      <c r="L111">
        <f>データの貼付!L109</f>
        <v>0</v>
      </c>
      <c r="M111">
        <f>データの貼付!M109</f>
        <v>0</v>
      </c>
      <c r="N111">
        <f>データの貼付!N109</f>
        <v>0</v>
      </c>
      <c r="R111">
        <f t="shared" si="179"/>
        <v>0</v>
      </c>
      <c r="S111">
        <f>SUM(R$4:R111)</f>
        <v>6</v>
      </c>
      <c r="T111" t="str">
        <f t="shared" si="180"/>
        <v/>
      </c>
      <c r="W111" t="str">
        <f t="shared" si="177"/>
        <v>0_0</v>
      </c>
      <c r="X111" t="str">
        <f t="shared" si="178"/>
        <v>0_0</v>
      </c>
    </row>
    <row r="112" spans="1:24" x14ac:dyDescent="0.45">
      <c r="A112">
        <f>データの貼付!A110</f>
        <v>0</v>
      </c>
      <c r="B112">
        <f>データの貼付!B110</f>
        <v>0</v>
      </c>
      <c r="C112">
        <f>データの貼付!C110</f>
        <v>0</v>
      </c>
      <c r="D112">
        <f>データの貼付!D110</f>
        <v>0</v>
      </c>
      <c r="E112">
        <f>データの貼付!F110</f>
        <v>0</v>
      </c>
      <c r="F112">
        <f>データの貼付!E110</f>
        <v>0</v>
      </c>
      <c r="G112">
        <f>データの貼付!G110</f>
        <v>0</v>
      </c>
      <c r="H112">
        <f>データの貼付!H110</f>
        <v>0</v>
      </c>
      <c r="I112">
        <f>データの貼付!I110</f>
        <v>0</v>
      </c>
      <c r="J112">
        <f>データの貼付!J110</f>
        <v>0</v>
      </c>
      <c r="K112">
        <f>データの貼付!K110</f>
        <v>0</v>
      </c>
      <c r="L112">
        <f>データの貼付!L110</f>
        <v>0</v>
      </c>
      <c r="M112">
        <f>データの貼付!M110</f>
        <v>0</v>
      </c>
      <c r="N112">
        <f>データの貼付!N110</f>
        <v>0</v>
      </c>
      <c r="R112">
        <f t="shared" si="179"/>
        <v>0</v>
      </c>
      <c r="S112">
        <f>SUM(R$4:R112)</f>
        <v>6</v>
      </c>
      <c r="T112" t="str">
        <f t="shared" si="180"/>
        <v/>
      </c>
      <c r="W112" t="str">
        <f t="shared" si="177"/>
        <v>0_0</v>
      </c>
      <c r="X112" t="str">
        <f t="shared" si="178"/>
        <v>0_0</v>
      </c>
    </row>
    <row r="113" spans="1:24" x14ac:dyDescent="0.45">
      <c r="A113">
        <f>データの貼付!A111</f>
        <v>0</v>
      </c>
      <c r="B113">
        <f>データの貼付!B111</f>
        <v>0</v>
      </c>
      <c r="C113">
        <f>データの貼付!C111</f>
        <v>0</v>
      </c>
      <c r="D113">
        <f>データの貼付!D111</f>
        <v>0</v>
      </c>
      <c r="E113">
        <f>データの貼付!F111</f>
        <v>0</v>
      </c>
      <c r="F113">
        <f>データの貼付!E111</f>
        <v>0</v>
      </c>
      <c r="G113">
        <f>データの貼付!G111</f>
        <v>0</v>
      </c>
      <c r="H113">
        <f>データの貼付!H111</f>
        <v>0</v>
      </c>
      <c r="I113">
        <f>データの貼付!I111</f>
        <v>0</v>
      </c>
      <c r="J113">
        <f>データの貼付!J111</f>
        <v>0</v>
      </c>
      <c r="K113">
        <f>データの貼付!K111</f>
        <v>0</v>
      </c>
      <c r="L113">
        <f>データの貼付!L111</f>
        <v>0</v>
      </c>
      <c r="M113">
        <f>データの貼付!M111</f>
        <v>0</v>
      </c>
      <c r="N113">
        <f>データの貼付!N111</f>
        <v>0</v>
      </c>
      <c r="R113">
        <f t="shared" si="179"/>
        <v>0</v>
      </c>
      <c r="S113">
        <f>SUM(R$4:R113)</f>
        <v>6</v>
      </c>
      <c r="T113" t="str">
        <f t="shared" si="180"/>
        <v/>
      </c>
      <c r="W113" t="str">
        <f t="shared" si="177"/>
        <v>0_0</v>
      </c>
      <c r="X113" t="str">
        <f t="shared" si="178"/>
        <v>0_0</v>
      </c>
    </row>
    <row r="114" spans="1:24" x14ac:dyDescent="0.45">
      <c r="A114">
        <f>データの貼付!A112</f>
        <v>0</v>
      </c>
      <c r="B114">
        <f>データの貼付!B112</f>
        <v>0</v>
      </c>
      <c r="C114">
        <f>データの貼付!C112</f>
        <v>0</v>
      </c>
      <c r="D114">
        <f>データの貼付!D112</f>
        <v>0</v>
      </c>
      <c r="E114">
        <f>データの貼付!F112</f>
        <v>0</v>
      </c>
      <c r="F114">
        <f>データの貼付!E112</f>
        <v>0</v>
      </c>
      <c r="G114">
        <f>データの貼付!G112</f>
        <v>0</v>
      </c>
      <c r="H114">
        <f>データの貼付!H112</f>
        <v>0</v>
      </c>
      <c r="I114">
        <f>データの貼付!I112</f>
        <v>0</v>
      </c>
      <c r="J114">
        <f>データの貼付!J112</f>
        <v>0</v>
      </c>
      <c r="K114">
        <f>データの貼付!K112</f>
        <v>0</v>
      </c>
      <c r="L114">
        <f>データの貼付!L112</f>
        <v>0</v>
      </c>
      <c r="M114">
        <f>データの貼付!M112</f>
        <v>0</v>
      </c>
      <c r="N114">
        <f>データの貼付!N112</f>
        <v>0</v>
      </c>
      <c r="R114">
        <f t="shared" si="179"/>
        <v>0</v>
      </c>
      <c r="S114">
        <f>SUM(R$4:R114)</f>
        <v>6</v>
      </c>
      <c r="T114" t="str">
        <f t="shared" si="180"/>
        <v/>
      </c>
      <c r="W114" t="str">
        <f t="shared" si="177"/>
        <v>0_0</v>
      </c>
      <c r="X114" t="str">
        <f t="shared" si="178"/>
        <v>0_0</v>
      </c>
    </row>
    <row r="115" spans="1:24" x14ac:dyDescent="0.45">
      <c r="A115">
        <f>データの貼付!A113</f>
        <v>0</v>
      </c>
      <c r="B115">
        <f>データの貼付!B113</f>
        <v>0</v>
      </c>
      <c r="C115">
        <f>データの貼付!C113</f>
        <v>0</v>
      </c>
      <c r="D115">
        <f>データの貼付!D113</f>
        <v>0</v>
      </c>
      <c r="E115">
        <f>データの貼付!F113</f>
        <v>0</v>
      </c>
      <c r="F115">
        <f>データの貼付!E113</f>
        <v>0</v>
      </c>
      <c r="G115">
        <f>データの貼付!G113</f>
        <v>0</v>
      </c>
      <c r="H115">
        <f>データの貼付!H113</f>
        <v>0</v>
      </c>
      <c r="I115">
        <f>データの貼付!I113</f>
        <v>0</v>
      </c>
      <c r="J115">
        <f>データの貼付!J113</f>
        <v>0</v>
      </c>
      <c r="K115">
        <f>データの貼付!K113</f>
        <v>0</v>
      </c>
      <c r="L115">
        <f>データの貼付!L113</f>
        <v>0</v>
      </c>
      <c r="M115">
        <f>データの貼付!M113</f>
        <v>0</v>
      </c>
      <c r="N115">
        <f>データの貼付!N113</f>
        <v>0</v>
      </c>
      <c r="R115">
        <f t="shared" si="179"/>
        <v>0</v>
      </c>
      <c r="S115">
        <f>SUM(R$4:R115)</f>
        <v>6</v>
      </c>
      <c r="T115" t="str">
        <f t="shared" si="180"/>
        <v/>
      </c>
      <c r="W115" t="str">
        <f t="shared" si="177"/>
        <v>0_0</v>
      </c>
      <c r="X115" t="str">
        <f t="shared" si="178"/>
        <v>0_0</v>
      </c>
    </row>
    <row r="116" spans="1:24" x14ac:dyDescent="0.45">
      <c r="A116">
        <f>データの貼付!A114</f>
        <v>0</v>
      </c>
      <c r="B116">
        <f>データの貼付!B114</f>
        <v>0</v>
      </c>
      <c r="C116">
        <f>データの貼付!C114</f>
        <v>0</v>
      </c>
      <c r="D116">
        <f>データの貼付!D114</f>
        <v>0</v>
      </c>
      <c r="E116">
        <f>データの貼付!F114</f>
        <v>0</v>
      </c>
      <c r="F116">
        <f>データの貼付!E114</f>
        <v>0</v>
      </c>
      <c r="G116">
        <f>データの貼付!G114</f>
        <v>0</v>
      </c>
      <c r="H116">
        <f>データの貼付!H114</f>
        <v>0</v>
      </c>
      <c r="I116">
        <f>データの貼付!I114</f>
        <v>0</v>
      </c>
      <c r="J116">
        <f>データの貼付!J114</f>
        <v>0</v>
      </c>
      <c r="K116">
        <f>データの貼付!K114</f>
        <v>0</v>
      </c>
      <c r="L116">
        <f>データの貼付!L114</f>
        <v>0</v>
      </c>
      <c r="M116">
        <f>データの貼付!M114</f>
        <v>0</v>
      </c>
      <c r="N116">
        <f>データの貼付!N114</f>
        <v>0</v>
      </c>
      <c r="R116">
        <f t="shared" si="179"/>
        <v>0</v>
      </c>
      <c r="S116">
        <f>SUM(R$4:R116)</f>
        <v>6</v>
      </c>
      <c r="T116" t="str">
        <f t="shared" si="180"/>
        <v/>
      </c>
      <c r="W116" t="str">
        <f t="shared" si="177"/>
        <v>0_0</v>
      </c>
      <c r="X116" t="str">
        <f t="shared" si="178"/>
        <v>0_0</v>
      </c>
    </row>
    <row r="117" spans="1:24" x14ac:dyDescent="0.45">
      <c r="A117">
        <f>データの貼付!A115</f>
        <v>0</v>
      </c>
      <c r="B117">
        <f>データの貼付!B115</f>
        <v>0</v>
      </c>
      <c r="C117">
        <f>データの貼付!C115</f>
        <v>0</v>
      </c>
      <c r="D117">
        <f>データの貼付!D115</f>
        <v>0</v>
      </c>
      <c r="E117">
        <f>データの貼付!F115</f>
        <v>0</v>
      </c>
      <c r="F117">
        <f>データの貼付!E115</f>
        <v>0</v>
      </c>
      <c r="G117">
        <f>データの貼付!G115</f>
        <v>0</v>
      </c>
      <c r="H117">
        <f>データの貼付!H115</f>
        <v>0</v>
      </c>
      <c r="I117">
        <f>データの貼付!I115</f>
        <v>0</v>
      </c>
      <c r="J117">
        <f>データの貼付!J115</f>
        <v>0</v>
      </c>
      <c r="K117">
        <f>データの貼付!K115</f>
        <v>0</v>
      </c>
      <c r="L117">
        <f>データの貼付!L115</f>
        <v>0</v>
      </c>
      <c r="M117">
        <f>データの貼付!M115</f>
        <v>0</v>
      </c>
      <c r="N117">
        <f>データの貼付!N115</f>
        <v>0</v>
      </c>
      <c r="R117">
        <f t="shared" si="179"/>
        <v>0</v>
      </c>
      <c r="S117">
        <f>SUM(R$4:R117)</f>
        <v>6</v>
      </c>
      <c r="T117" t="str">
        <f t="shared" si="180"/>
        <v/>
      </c>
      <c r="W117" t="str">
        <f t="shared" si="177"/>
        <v>0_0</v>
      </c>
      <c r="X117" t="str">
        <f t="shared" si="178"/>
        <v>0_0</v>
      </c>
    </row>
    <row r="118" spans="1:24" x14ac:dyDescent="0.45">
      <c r="A118">
        <f>データの貼付!A116</f>
        <v>0</v>
      </c>
      <c r="B118">
        <f>データの貼付!B116</f>
        <v>0</v>
      </c>
      <c r="C118">
        <f>データの貼付!C116</f>
        <v>0</v>
      </c>
      <c r="D118">
        <f>データの貼付!D116</f>
        <v>0</v>
      </c>
      <c r="E118">
        <f>データの貼付!F116</f>
        <v>0</v>
      </c>
      <c r="F118">
        <f>データの貼付!E116</f>
        <v>0</v>
      </c>
      <c r="G118">
        <f>データの貼付!G116</f>
        <v>0</v>
      </c>
      <c r="H118">
        <f>データの貼付!H116</f>
        <v>0</v>
      </c>
      <c r="I118">
        <f>データの貼付!I116</f>
        <v>0</v>
      </c>
      <c r="J118">
        <f>データの貼付!J116</f>
        <v>0</v>
      </c>
      <c r="K118">
        <f>データの貼付!K116</f>
        <v>0</v>
      </c>
      <c r="L118">
        <f>データの貼付!L116</f>
        <v>0</v>
      </c>
      <c r="M118">
        <f>データの貼付!M116</f>
        <v>0</v>
      </c>
      <c r="N118">
        <f>データの貼付!N116</f>
        <v>0</v>
      </c>
      <c r="R118">
        <f t="shared" si="179"/>
        <v>0</v>
      </c>
      <c r="S118">
        <f>SUM(R$4:R118)</f>
        <v>6</v>
      </c>
      <c r="T118" t="str">
        <f t="shared" si="180"/>
        <v/>
      </c>
      <c r="W118" t="str">
        <f t="shared" si="177"/>
        <v>0_0</v>
      </c>
      <c r="X118" t="str">
        <f t="shared" si="178"/>
        <v>0_0</v>
      </c>
    </row>
    <row r="119" spans="1:24" x14ac:dyDescent="0.45">
      <c r="A119">
        <f>データの貼付!A117</f>
        <v>0</v>
      </c>
      <c r="B119">
        <f>データの貼付!B117</f>
        <v>0</v>
      </c>
      <c r="C119">
        <f>データの貼付!C117</f>
        <v>0</v>
      </c>
      <c r="D119">
        <f>データの貼付!D117</f>
        <v>0</v>
      </c>
      <c r="E119">
        <f>データの貼付!F117</f>
        <v>0</v>
      </c>
      <c r="F119">
        <f>データの貼付!E117</f>
        <v>0</v>
      </c>
      <c r="G119">
        <f>データの貼付!G117</f>
        <v>0</v>
      </c>
      <c r="H119">
        <f>データの貼付!H117</f>
        <v>0</v>
      </c>
      <c r="I119">
        <f>データの貼付!I117</f>
        <v>0</v>
      </c>
      <c r="J119">
        <f>データの貼付!J117</f>
        <v>0</v>
      </c>
      <c r="K119">
        <f>データの貼付!K117</f>
        <v>0</v>
      </c>
      <c r="L119">
        <f>データの貼付!L117</f>
        <v>0</v>
      </c>
      <c r="M119">
        <f>データの貼付!M117</f>
        <v>0</v>
      </c>
      <c r="N119">
        <f>データの貼付!N117</f>
        <v>0</v>
      </c>
      <c r="R119">
        <f t="shared" si="179"/>
        <v>0</v>
      </c>
      <c r="S119">
        <f>SUM(R$4:R119)</f>
        <v>6</v>
      </c>
      <c r="T119" t="str">
        <f t="shared" si="180"/>
        <v/>
      </c>
      <c r="W119" t="str">
        <f t="shared" si="177"/>
        <v>0_0</v>
      </c>
      <c r="X119" t="str">
        <f t="shared" si="178"/>
        <v>0_0</v>
      </c>
    </row>
    <row r="120" spans="1:24" x14ac:dyDescent="0.45">
      <c r="A120">
        <f>データの貼付!A118</f>
        <v>0</v>
      </c>
      <c r="B120">
        <f>データの貼付!B118</f>
        <v>0</v>
      </c>
      <c r="C120">
        <f>データの貼付!C118</f>
        <v>0</v>
      </c>
      <c r="D120">
        <f>データの貼付!D118</f>
        <v>0</v>
      </c>
      <c r="E120">
        <f>データの貼付!F118</f>
        <v>0</v>
      </c>
      <c r="F120">
        <f>データの貼付!E118</f>
        <v>0</v>
      </c>
      <c r="G120">
        <f>データの貼付!G118</f>
        <v>0</v>
      </c>
      <c r="H120">
        <f>データの貼付!H118</f>
        <v>0</v>
      </c>
      <c r="I120">
        <f>データの貼付!I118</f>
        <v>0</v>
      </c>
      <c r="J120">
        <f>データの貼付!J118</f>
        <v>0</v>
      </c>
      <c r="K120">
        <f>データの貼付!K118</f>
        <v>0</v>
      </c>
      <c r="L120">
        <f>データの貼付!L118</f>
        <v>0</v>
      </c>
      <c r="M120">
        <f>データの貼付!M118</f>
        <v>0</v>
      </c>
      <c r="N120">
        <f>データの貼付!N118</f>
        <v>0</v>
      </c>
      <c r="R120">
        <f t="shared" si="179"/>
        <v>0</v>
      </c>
      <c r="S120">
        <f>SUM(R$4:R120)</f>
        <v>6</v>
      </c>
      <c r="T120" t="str">
        <f t="shared" si="180"/>
        <v/>
      </c>
      <c r="W120" t="str">
        <f t="shared" si="177"/>
        <v>0_0</v>
      </c>
      <c r="X120" t="str">
        <f t="shared" si="178"/>
        <v>0_0</v>
      </c>
    </row>
    <row r="121" spans="1:24" x14ac:dyDescent="0.45">
      <c r="A121">
        <f>データの貼付!A119</f>
        <v>0</v>
      </c>
      <c r="B121">
        <f>データの貼付!B119</f>
        <v>0</v>
      </c>
      <c r="C121">
        <f>データの貼付!C119</f>
        <v>0</v>
      </c>
      <c r="D121">
        <f>データの貼付!D119</f>
        <v>0</v>
      </c>
      <c r="E121">
        <f>データの貼付!F119</f>
        <v>0</v>
      </c>
      <c r="F121">
        <f>データの貼付!E119</f>
        <v>0</v>
      </c>
      <c r="G121">
        <f>データの貼付!G119</f>
        <v>0</v>
      </c>
      <c r="H121">
        <f>データの貼付!H119</f>
        <v>0</v>
      </c>
      <c r="I121">
        <f>データの貼付!I119</f>
        <v>0</v>
      </c>
      <c r="J121">
        <f>データの貼付!J119</f>
        <v>0</v>
      </c>
      <c r="K121">
        <f>データの貼付!K119</f>
        <v>0</v>
      </c>
      <c r="L121">
        <f>データの貼付!L119</f>
        <v>0</v>
      </c>
      <c r="M121">
        <f>データの貼付!M119</f>
        <v>0</v>
      </c>
      <c r="N121">
        <f>データの貼付!N119</f>
        <v>0</v>
      </c>
      <c r="R121">
        <f t="shared" si="179"/>
        <v>0</v>
      </c>
      <c r="S121">
        <f>SUM(R$4:R121)</f>
        <v>6</v>
      </c>
      <c r="T121" t="str">
        <f t="shared" si="180"/>
        <v/>
      </c>
      <c r="W121" t="str">
        <f t="shared" si="177"/>
        <v>0_0</v>
      </c>
      <c r="X121" t="str">
        <f t="shared" si="178"/>
        <v>0_0</v>
      </c>
    </row>
    <row r="122" spans="1:24" x14ac:dyDescent="0.45">
      <c r="A122">
        <f>データの貼付!A120</f>
        <v>0</v>
      </c>
      <c r="B122">
        <f>データの貼付!B120</f>
        <v>0</v>
      </c>
      <c r="C122">
        <f>データの貼付!C120</f>
        <v>0</v>
      </c>
      <c r="D122">
        <f>データの貼付!D120</f>
        <v>0</v>
      </c>
      <c r="E122">
        <f>データの貼付!F120</f>
        <v>0</v>
      </c>
      <c r="F122">
        <f>データの貼付!E120</f>
        <v>0</v>
      </c>
      <c r="G122">
        <f>データの貼付!G120</f>
        <v>0</v>
      </c>
      <c r="H122">
        <f>データの貼付!H120</f>
        <v>0</v>
      </c>
      <c r="I122">
        <f>データの貼付!I120</f>
        <v>0</v>
      </c>
      <c r="J122">
        <f>データの貼付!J120</f>
        <v>0</v>
      </c>
      <c r="K122">
        <f>データの貼付!K120</f>
        <v>0</v>
      </c>
      <c r="L122">
        <f>データの貼付!L120</f>
        <v>0</v>
      </c>
      <c r="M122">
        <f>データの貼付!M120</f>
        <v>0</v>
      </c>
      <c r="N122">
        <f>データの貼付!N120</f>
        <v>0</v>
      </c>
      <c r="R122">
        <f t="shared" si="179"/>
        <v>0</v>
      </c>
      <c r="S122">
        <f>SUM(R$4:R122)</f>
        <v>6</v>
      </c>
      <c r="T122" t="str">
        <f t="shared" si="180"/>
        <v/>
      </c>
      <c r="W122" t="str">
        <f t="shared" si="177"/>
        <v>0_0</v>
      </c>
      <c r="X122" t="str">
        <f t="shared" si="178"/>
        <v>0_0</v>
      </c>
    </row>
    <row r="123" spans="1:24" x14ac:dyDescent="0.45">
      <c r="A123">
        <f>データの貼付!A121</f>
        <v>0</v>
      </c>
      <c r="B123">
        <f>データの貼付!B121</f>
        <v>0</v>
      </c>
      <c r="C123">
        <f>データの貼付!C121</f>
        <v>0</v>
      </c>
      <c r="D123">
        <f>データの貼付!D121</f>
        <v>0</v>
      </c>
      <c r="E123">
        <f>データの貼付!F121</f>
        <v>0</v>
      </c>
      <c r="F123">
        <f>データの貼付!E121</f>
        <v>0</v>
      </c>
      <c r="G123">
        <f>データの貼付!G121</f>
        <v>0</v>
      </c>
      <c r="H123">
        <f>データの貼付!H121</f>
        <v>0</v>
      </c>
      <c r="I123">
        <f>データの貼付!I121</f>
        <v>0</v>
      </c>
      <c r="J123">
        <f>データの貼付!J121</f>
        <v>0</v>
      </c>
      <c r="K123">
        <f>データの貼付!K121</f>
        <v>0</v>
      </c>
      <c r="L123">
        <f>データの貼付!L121</f>
        <v>0</v>
      </c>
      <c r="M123">
        <f>データの貼付!M121</f>
        <v>0</v>
      </c>
      <c r="N123">
        <f>データの貼付!N121</f>
        <v>0</v>
      </c>
      <c r="R123">
        <f t="shared" si="179"/>
        <v>0</v>
      </c>
      <c r="S123">
        <f>SUM(R$4:R123)</f>
        <v>6</v>
      </c>
      <c r="T123" t="str">
        <f t="shared" si="180"/>
        <v/>
      </c>
      <c r="W123" t="str">
        <f t="shared" si="177"/>
        <v>0_0</v>
      </c>
      <c r="X123" t="str">
        <f t="shared" si="178"/>
        <v>0_0</v>
      </c>
    </row>
    <row r="124" spans="1:24" x14ac:dyDescent="0.45">
      <c r="A124">
        <f>データの貼付!A122</f>
        <v>0</v>
      </c>
      <c r="B124">
        <f>データの貼付!B122</f>
        <v>0</v>
      </c>
      <c r="C124">
        <f>データの貼付!C122</f>
        <v>0</v>
      </c>
      <c r="D124">
        <f>データの貼付!D122</f>
        <v>0</v>
      </c>
      <c r="E124">
        <f>データの貼付!F122</f>
        <v>0</v>
      </c>
      <c r="F124">
        <f>データの貼付!E122</f>
        <v>0</v>
      </c>
      <c r="G124">
        <f>データの貼付!G122</f>
        <v>0</v>
      </c>
      <c r="H124">
        <f>データの貼付!H122</f>
        <v>0</v>
      </c>
      <c r="I124">
        <f>データの貼付!I122</f>
        <v>0</v>
      </c>
      <c r="J124">
        <f>データの貼付!J122</f>
        <v>0</v>
      </c>
      <c r="K124">
        <f>データの貼付!K122</f>
        <v>0</v>
      </c>
      <c r="L124">
        <f>データの貼付!L122</f>
        <v>0</v>
      </c>
      <c r="M124">
        <f>データの貼付!M122</f>
        <v>0</v>
      </c>
      <c r="N124">
        <f>データの貼付!N122</f>
        <v>0</v>
      </c>
      <c r="R124">
        <f t="shared" si="179"/>
        <v>0</v>
      </c>
      <c r="S124">
        <f>SUM(R$4:R124)</f>
        <v>6</v>
      </c>
      <c r="T124" t="str">
        <f t="shared" si="180"/>
        <v/>
      </c>
      <c r="W124" t="str">
        <f t="shared" si="177"/>
        <v>0_0</v>
      </c>
      <c r="X124" t="str">
        <f t="shared" si="178"/>
        <v>0_0</v>
      </c>
    </row>
    <row r="125" spans="1:24" x14ac:dyDescent="0.45">
      <c r="A125">
        <f>データの貼付!A123</f>
        <v>0</v>
      </c>
      <c r="B125">
        <f>データの貼付!B123</f>
        <v>0</v>
      </c>
      <c r="C125">
        <f>データの貼付!C123</f>
        <v>0</v>
      </c>
      <c r="D125">
        <f>データの貼付!D123</f>
        <v>0</v>
      </c>
      <c r="E125">
        <f>データの貼付!F123</f>
        <v>0</v>
      </c>
      <c r="F125">
        <f>データの貼付!E123</f>
        <v>0</v>
      </c>
      <c r="G125">
        <f>データの貼付!G123</f>
        <v>0</v>
      </c>
      <c r="H125">
        <f>データの貼付!H123</f>
        <v>0</v>
      </c>
      <c r="I125">
        <f>データの貼付!I123</f>
        <v>0</v>
      </c>
      <c r="J125">
        <f>データの貼付!J123</f>
        <v>0</v>
      </c>
      <c r="K125">
        <f>データの貼付!K123</f>
        <v>0</v>
      </c>
      <c r="L125">
        <f>データの貼付!L123</f>
        <v>0</v>
      </c>
      <c r="M125">
        <f>データの貼付!M123</f>
        <v>0</v>
      </c>
      <c r="N125">
        <f>データの貼付!N123</f>
        <v>0</v>
      </c>
      <c r="R125">
        <f t="shared" si="179"/>
        <v>0</v>
      </c>
      <c r="S125">
        <f>SUM(R$4:R125)</f>
        <v>6</v>
      </c>
      <c r="T125" t="str">
        <f t="shared" si="180"/>
        <v/>
      </c>
      <c r="W125" t="str">
        <f t="shared" si="177"/>
        <v>0_0</v>
      </c>
      <c r="X125" t="str">
        <f t="shared" si="178"/>
        <v>0_0</v>
      </c>
    </row>
    <row r="126" spans="1:24" x14ac:dyDescent="0.45">
      <c r="A126">
        <f>データの貼付!A124</f>
        <v>0</v>
      </c>
      <c r="B126">
        <f>データの貼付!B124</f>
        <v>0</v>
      </c>
      <c r="C126">
        <f>データの貼付!C124</f>
        <v>0</v>
      </c>
      <c r="D126">
        <f>データの貼付!D124</f>
        <v>0</v>
      </c>
      <c r="E126">
        <f>データの貼付!F124</f>
        <v>0</v>
      </c>
      <c r="F126">
        <f>データの貼付!E124</f>
        <v>0</v>
      </c>
      <c r="G126">
        <f>データの貼付!G124</f>
        <v>0</v>
      </c>
      <c r="H126">
        <f>データの貼付!H124</f>
        <v>0</v>
      </c>
      <c r="I126">
        <f>データの貼付!I124</f>
        <v>0</v>
      </c>
      <c r="J126">
        <f>データの貼付!J124</f>
        <v>0</v>
      </c>
      <c r="K126">
        <f>データの貼付!K124</f>
        <v>0</v>
      </c>
      <c r="L126">
        <f>データの貼付!L124</f>
        <v>0</v>
      </c>
      <c r="M126">
        <f>データの貼付!M124</f>
        <v>0</v>
      </c>
      <c r="N126">
        <f>データの貼付!N124</f>
        <v>0</v>
      </c>
      <c r="R126">
        <f t="shared" si="179"/>
        <v>0</v>
      </c>
      <c r="S126">
        <f>SUM(R$4:R126)</f>
        <v>6</v>
      </c>
      <c r="T126" t="str">
        <f t="shared" si="180"/>
        <v/>
      </c>
      <c r="W126" t="str">
        <f t="shared" si="177"/>
        <v>0_0</v>
      </c>
      <c r="X126" t="str">
        <f t="shared" si="178"/>
        <v>0_0</v>
      </c>
    </row>
    <row r="127" spans="1:24" x14ac:dyDescent="0.45">
      <c r="A127">
        <f>データの貼付!A125</f>
        <v>0</v>
      </c>
      <c r="B127">
        <f>データの貼付!B125</f>
        <v>0</v>
      </c>
      <c r="C127">
        <f>データの貼付!C125</f>
        <v>0</v>
      </c>
      <c r="D127">
        <f>データの貼付!D125</f>
        <v>0</v>
      </c>
      <c r="E127">
        <f>データの貼付!F125</f>
        <v>0</v>
      </c>
      <c r="F127">
        <f>データの貼付!E125</f>
        <v>0</v>
      </c>
      <c r="G127">
        <f>データの貼付!G125</f>
        <v>0</v>
      </c>
      <c r="H127">
        <f>データの貼付!H125</f>
        <v>0</v>
      </c>
      <c r="I127">
        <f>データの貼付!I125</f>
        <v>0</v>
      </c>
      <c r="J127">
        <f>データの貼付!J125</f>
        <v>0</v>
      </c>
      <c r="K127">
        <f>データの貼付!K125</f>
        <v>0</v>
      </c>
      <c r="L127">
        <f>データの貼付!L125</f>
        <v>0</v>
      </c>
      <c r="M127">
        <f>データの貼付!M125</f>
        <v>0</v>
      </c>
      <c r="N127">
        <f>データの貼付!N125</f>
        <v>0</v>
      </c>
      <c r="R127">
        <f t="shared" si="179"/>
        <v>0</v>
      </c>
      <c r="S127">
        <f>SUM(R$4:R127)</f>
        <v>6</v>
      </c>
      <c r="T127" t="str">
        <f t="shared" si="180"/>
        <v/>
      </c>
      <c r="W127" t="str">
        <f t="shared" si="177"/>
        <v>0_0</v>
      </c>
      <c r="X127" t="str">
        <f t="shared" si="178"/>
        <v>0_0</v>
      </c>
    </row>
    <row r="128" spans="1:24" x14ac:dyDescent="0.45">
      <c r="A128">
        <f>データの貼付!A126</f>
        <v>0</v>
      </c>
      <c r="B128">
        <f>データの貼付!B126</f>
        <v>0</v>
      </c>
      <c r="C128">
        <f>データの貼付!C126</f>
        <v>0</v>
      </c>
      <c r="D128">
        <f>データの貼付!D126</f>
        <v>0</v>
      </c>
      <c r="E128">
        <f>データの貼付!F126</f>
        <v>0</v>
      </c>
      <c r="F128">
        <f>データの貼付!E126</f>
        <v>0</v>
      </c>
      <c r="G128">
        <f>データの貼付!G126</f>
        <v>0</v>
      </c>
      <c r="H128">
        <f>データの貼付!H126</f>
        <v>0</v>
      </c>
      <c r="I128">
        <f>データの貼付!I126</f>
        <v>0</v>
      </c>
      <c r="J128">
        <f>データの貼付!J126</f>
        <v>0</v>
      </c>
      <c r="K128">
        <f>データの貼付!K126</f>
        <v>0</v>
      </c>
      <c r="L128">
        <f>データの貼付!L126</f>
        <v>0</v>
      </c>
      <c r="M128">
        <f>データの貼付!M126</f>
        <v>0</v>
      </c>
      <c r="N128">
        <f>データの貼付!N126</f>
        <v>0</v>
      </c>
      <c r="R128">
        <f t="shared" si="179"/>
        <v>0</v>
      </c>
      <c r="S128">
        <f>SUM(R$4:R128)</f>
        <v>6</v>
      </c>
      <c r="T128" t="str">
        <f t="shared" si="180"/>
        <v/>
      </c>
      <c r="W128" t="str">
        <f t="shared" si="177"/>
        <v>0_0</v>
      </c>
      <c r="X128" t="str">
        <f t="shared" si="178"/>
        <v>0_0</v>
      </c>
    </row>
    <row r="129" spans="1:24" x14ac:dyDescent="0.45">
      <c r="A129">
        <f>データの貼付!A127</f>
        <v>0</v>
      </c>
      <c r="B129">
        <f>データの貼付!B127</f>
        <v>0</v>
      </c>
      <c r="C129">
        <f>データの貼付!C127</f>
        <v>0</v>
      </c>
      <c r="D129">
        <f>データの貼付!D127</f>
        <v>0</v>
      </c>
      <c r="E129">
        <f>データの貼付!F127</f>
        <v>0</v>
      </c>
      <c r="F129">
        <f>データの貼付!E127</f>
        <v>0</v>
      </c>
      <c r="G129">
        <f>データの貼付!G127</f>
        <v>0</v>
      </c>
      <c r="H129">
        <f>データの貼付!H127</f>
        <v>0</v>
      </c>
      <c r="I129">
        <f>データの貼付!I127</f>
        <v>0</v>
      </c>
      <c r="J129">
        <f>データの貼付!J127</f>
        <v>0</v>
      </c>
      <c r="K129">
        <f>データの貼付!K127</f>
        <v>0</v>
      </c>
      <c r="L129">
        <f>データの貼付!L127</f>
        <v>0</v>
      </c>
      <c r="M129">
        <f>データの貼付!M127</f>
        <v>0</v>
      </c>
      <c r="N129">
        <f>データの貼付!N127</f>
        <v>0</v>
      </c>
      <c r="R129">
        <f t="shared" si="179"/>
        <v>0</v>
      </c>
      <c r="S129">
        <f>SUM(R$4:R129)</f>
        <v>6</v>
      </c>
      <c r="T129" t="str">
        <f t="shared" si="180"/>
        <v/>
      </c>
      <c r="W129" t="str">
        <f t="shared" si="177"/>
        <v>0_0</v>
      </c>
      <c r="X129" t="str">
        <f t="shared" si="178"/>
        <v>0_0</v>
      </c>
    </row>
    <row r="130" spans="1:24" x14ac:dyDescent="0.45">
      <c r="A130">
        <f>データの貼付!A128</f>
        <v>0</v>
      </c>
      <c r="B130">
        <f>データの貼付!B128</f>
        <v>0</v>
      </c>
      <c r="C130">
        <f>データの貼付!C128</f>
        <v>0</v>
      </c>
      <c r="D130">
        <f>データの貼付!D128</f>
        <v>0</v>
      </c>
      <c r="E130">
        <f>データの貼付!F128</f>
        <v>0</v>
      </c>
      <c r="F130">
        <f>データの貼付!E128</f>
        <v>0</v>
      </c>
      <c r="G130">
        <f>データの貼付!G128</f>
        <v>0</v>
      </c>
      <c r="H130">
        <f>データの貼付!H128</f>
        <v>0</v>
      </c>
      <c r="I130">
        <f>データの貼付!I128</f>
        <v>0</v>
      </c>
      <c r="J130">
        <f>データの貼付!J128</f>
        <v>0</v>
      </c>
      <c r="K130">
        <f>データの貼付!K128</f>
        <v>0</v>
      </c>
      <c r="L130">
        <f>データの貼付!L128</f>
        <v>0</v>
      </c>
      <c r="M130">
        <f>データの貼付!M128</f>
        <v>0</v>
      </c>
      <c r="N130">
        <f>データの貼付!N128</f>
        <v>0</v>
      </c>
      <c r="R130">
        <f t="shared" si="179"/>
        <v>0</v>
      </c>
      <c r="S130">
        <f>SUM(R$4:R130)</f>
        <v>6</v>
      </c>
      <c r="T130" t="str">
        <f t="shared" si="180"/>
        <v/>
      </c>
      <c r="W130" t="str">
        <f t="shared" si="177"/>
        <v>0_0</v>
      </c>
      <c r="X130" t="str">
        <f t="shared" si="178"/>
        <v>0_0</v>
      </c>
    </row>
    <row r="131" spans="1:24" x14ac:dyDescent="0.45">
      <c r="A131">
        <f>データの貼付!A129</f>
        <v>0</v>
      </c>
      <c r="B131">
        <f>データの貼付!B129</f>
        <v>0</v>
      </c>
      <c r="C131">
        <f>データの貼付!C129</f>
        <v>0</v>
      </c>
      <c r="D131">
        <f>データの貼付!D129</f>
        <v>0</v>
      </c>
      <c r="E131">
        <f>データの貼付!F129</f>
        <v>0</v>
      </c>
      <c r="F131">
        <f>データの貼付!E129</f>
        <v>0</v>
      </c>
      <c r="G131">
        <f>データの貼付!G129</f>
        <v>0</v>
      </c>
      <c r="H131">
        <f>データの貼付!H129</f>
        <v>0</v>
      </c>
      <c r="I131">
        <f>データの貼付!I129</f>
        <v>0</v>
      </c>
      <c r="J131">
        <f>データの貼付!J129</f>
        <v>0</v>
      </c>
      <c r="K131">
        <f>データの貼付!K129</f>
        <v>0</v>
      </c>
      <c r="L131">
        <f>データの貼付!L129</f>
        <v>0</v>
      </c>
      <c r="M131">
        <f>データの貼付!M129</f>
        <v>0</v>
      </c>
      <c r="N131">
        <f>データの貼付!N129</f>
        <v>0</v>
      </c>
      <c r="R131">
        <f t="shared" si="179"/>
        <v>0</v>
      </c>
      <c r="S131">
        <f>SUM(R$4:R131)</f>
        <v>6</v>
      </c>
      <c r="T131" t="str">
        <f t="shared" si="180"/>
        <v/>
      </c>
      <c r="W131" t="str">
        <f t="shared" si="177"/>
        <v>0_0</v>
      </c>
      <c r="X131" t="str">
        <f t="shared" si="178"/>
        <v>0_0</v>
      </c>
    </row>
    <row r="132" spans="1:24" x14ac:dyDescent="0.45">
      <c r="A132">
        <f>データの貼付!A130</f>
        <v>0</v>
      </c>
      <c r="B132">
        <f>データの貼付!B130</f>
        <v>0</v>
      </c>
      <c r="C132">
        <f>データの貼付!C130</f>
        <v>0</v>
      </c>
      <c r="D132">
        <f>データの貼付!D130</f>
        <v>0</v>
      </c>
      <c r="E132">
        <f>データの貼付!F130</f>
        <v>0</v>
      </c>
      <c r="F132">
        <f>データの貼付!E130</f>
        <v>0</v>
      </c>
      <c r="G132">
        <f>データの貼付!G130</f>
        <v>0</v>
      </c>
      <c r="H132">
        <f>データの貼付!H130</f>
        <v>0</v>
      </c>
      <c r="I132">
        <f>データの貼付!I130</f>
        <v>0</v>
      </c>
      <c r="J132">
        <f>データの貼付!J130</f>
        <v>0</v>
      </c>
      <c r="K132">
        <f>データの貼付!K130</f>
        <v>0</v>
      </c>
      <c r="L132">
        <f>データの貼付!L130</f>
        <v>0</v>
      </c>
      <c r="M132">
        <f>データの貼付!M130</f>
        <v>0</v>
      </c>
      <c r="N132">
        <f>データの貼付!N130</f>
        <v>0</v>
      </c>
      <c r="R132">
        <f t="shared" si="179"/>
        <v>0</v>
      </c>
      <c r="S132">
        <f>SUM(R$4:R132)</f>
        <v>6</v>
      </c>
      <c r="T132" t="str">
        <f t="shared" si="180"/>
        <v/>
      </c>
      <c r="W132" t="str">
        <f t="shared" ref="W132:W195" si="188">E132&amp;"_"&amp;H132</f>
        <v>0_0</v>
      </c>
      <c r="X132" t="str">
        <f t="shared" ref="X132:X195" si="189">E132&amp;"_"&amp;G132</f>
        <v>0_0</v>
      </c>
    </row>
    <row r="133" spans="1:24" x14ac:dyDescent="0.45">
      <c r="A133">
        <f>データの貼付!A131</f>
        <v>0</v>
      </c>
      <c r="B133">
        <f>データの貼付!B131</f>
        <v>0</v>
      </c>
      <c r="C133">
        <f>データの貼付!C131</f>
        <v>0</v>
      </c>
      <c r="D133">
        <f>データの貼付!D131</f>
        <v>0</v>
      </c>
      <c r="E133">
        <f>データの貼付!F131</f>
        <v>0</v>
      </c>
      <c r="F133">
        <f>データの貼付!E131</f>
        <v>0</v>
      </c>
      <c r="G133">
        <f>データの貼付!G131</f>
        <v>0</v>
      </c>
      <c r="H133">
        <f>データの貼付!H131</f>
        <v>0</v>
      </c>
      <c r="I133">
        <f>データの貼付!I131</f>
        <v>0</v>
      </c>
      <c r="J133">
        <f>データの貼付!J131</f>
        <v>0</v>
      </c>
      <c r="K133">
        <f>データの貼付!K131</f>
        <v>0</v>
      </c>
      <c r="L133">
        <f>データの貼付!L131</f>
        <v>0</v>
      </c>
      <c r="M133">
        <f>データの貼付!M131</f>
        <v>0</v>
      </c>
      <c r="N133">
        <f>データの貼付!N131</f>
        <v>0</v>
      </c>
      <c r="R133">
        <f t="shared" ref="R133:R196" si="190">(D133&lt;&gt;D132)*1</f>
        <v>0</v>
      </c>
      <c r="S133">
        <f>SUM(R$4:R133)</f>
        <v>6</v>
      </c>
      <c r="T133" t="str">
        <f t="shared" ref="T133:T196" si="191">IF(S133&lt;&gt;S134,E133,"")</f>
        <v/>
      </c>
      <c r="W133" t="str">
        <f t="shared" si="188"/>
        <v>0_0</v>
      </c>
      <c r="X133" t="str">
        <f t="shared" si="189"/>
        <v>0_0</v>
      </c>
    </row>
    <row r="134" spans="1:24" x14ac:dyDescent="0.45">
      <c r="A134">
        <f>データの貼付!A132</f>
        <v>0</v>
      </c>
      <c r="B134">
        <f>データの貼付!B132</f>
        <v>0</v>
      </c>
      <c r="C134">
        <f>データの貼付!C132</f>
        <v>0</v>
      </c>
      <c r="D134">
        <f>データの貼付!D132</f>
        <v>0</v>
      </c>
      <c r="E134">
        <f>データの貼付!F132</f>
        <v>0</v>
      </c>
      <c r="F134">
        <f>データの貼付!E132</f>
        <v>0</v>
      </c>
      <c r="G134">
        <f>データの貼付!G132</f>
        <v>0</v>
      </c>
      <c r="H134">
        <f>データの貼付!H132</f>
        <v>0</v>
      </c>
      <c r="I134">
        <f>データの貼付!I132</f>
        <v>0</v>
      </c>
      <c r="J134">
        <f>データの貼付!J132</f>
        <v>0</v>
      </c>
      <c r="K134">
        <f>データの貼付!K132</f>
        <v>0</v>
      </c>
      <c r="L134">
        <f>データの貼付!L132</f>
        <v>0</v>
      </c>
      <c r="M134">
        <f>データの貼付!M132</f>
        <v>0</v>
      </c>
      <c r="N134">
        <f>データの貼付!N132</f>
        <v>0</v>
      </c>
      <c r="R134">
        <f t="shared" si="190"/>
        <v>0</v>
      </c>
      <c r="S134">
        <f>SUM(R$4:R134)</f>
        <v>6</v>
      </c>
      <c r="T134" t="str">
        <f t="shared" si="191"/>
        <v/>
      </c>
      <c r="W134" t="str">
        <f t="shared" si="188"/>
        <v>0_0</v>
      </c>
      <c r="X134" t="str">
        <f t="shared" si="189"/>
        <v>0_0</v>
      </c>
    </row>
    <row r="135" spans="1:24" x14ac:dyDescent="0.45">
      <c r="A135">
        <f>データの貼付!A133</f>
        <v>0</v>
      </c>
      <c r="B135">
        <f>データの貼付!B133</f>
        <v>0</v>
      </c>
      <c r="C135">
        <f>データの貼付!C133</f>
        <v>0</v>
      </c>
      <c r="D135">
        <f>データの貼付!D133</f>
        <v>0</v>
      </c>
      <c r="E135">
        <f>データの貼付!F133</f>
        <v>0</v>
      </c>
      <c r="F135">
        <f>データの貼付!E133</f>
        <v>0</v>
      </c>
      <c r="G135">
        <f>データの貼付!G133</f>
        <v>0</v>
      </c>
      <c r="H135">
        <f>データの貼付!H133</f>
        <v>0</v>
      </c>
      <c r="I135">
        <f>データの貼付!I133</f>
        <v>0</v>
      </c>
      <c r="J135">
        <f>データの貼付!J133</f>
        <v>0</v>
      </c>
      <c r="K135">
        <f>データの貼付!K133</f>
        <v>0</v>
      </c>
      <c r="L135">
        <f>データの貼付!L133</f>
        <v>0</v>
      </c>
      <c r="M135">
        <f>データの貼付!M133</f>
        <v>0</v>
      </c>
      <c r="N135">
        <f>データの貼付!N133</f>
        <v>0</v>
      </c>
      <c r="R135">
        <f t="shared" si="190"/>
        <v>0</v>
      </c>
      <c r="S135">
        <f>SUM(R$4:R135)</f>
        <v>6</v>
      </c>
      <c r="T135" t="str">
        <f t="shared" si="191"/>
        <v/>
      </c>
      <c r="W135" t="str">
        <f t="shared" si="188"/>
        <v>0_0</v>
      </c>
      <c r="X135" t="str">
        <f t="shared" si="189"/>
        <v>0_0</v>
      </c>
    </row>
    <row r="136" spans="1:24" x14ac:dyDescent="0.45">
      <c r="A136">
        <f>データの貼付!A134</f>
        <v>0</v>
      </c>
      <c r="B136">
        <f>データの貼付!B134</f>
        <v>0</v>
      </c>
      <c r="C136">
        <f>データの貼付!C134</f>
        <v>0</v>
      </c>
      <c r="D136">
        <f>データの貼付!D134</f>
        <v>0</v>
      </c>
      <c r="E136">
        <f>データの貼付!F134</f>
        <v>0</v>
      </c>
      <c r="F136">
        <f>データの貼付!E134</f>
        <v>0</v>
      </c>
      <c r="G136">
        <f>データの貼付!G134</f>
        <v>0</v>
      </c>
      <c r="H136">
        <f>データの貼付!H134</f>
        <v>0</v>
      </c>
      <c r="I136">
        <f>データの貼付!I134</f>
        <v>0</v>
      </c>
      <c r="J136">
        <f>データの貼付!J134</f>
        <v>0</v>
      </c>
      <c r="K136">
        <f>データの貼付!K134</f>
        <v>0</v>
      </c>
      <c r="L136">
        <f>データの貼付!L134</f>
        <v>0</v>
      </c>
      <c r="M136">
        <f>データの貼付!M134</f>
        <v>0</v>
      </c>
      <c r="N136">
        <f>データの貼付!N134</f>
        <v>0</v>
      </c>
      <c r="R136">
        <f t="shared" si="190"/>
        <v>0</v>
      </c>
      <c r="S136">
        <f>SUM(R$4:R136)</f>
        <v>6</v>
      </c>
      <c r="T136" t="str">
        <f t="shared" si="191"/>
        <v/>
      </c>
      <c r="W136" t="str">
        <f t="shared" si="188"/>
        <v>0_0</v>
      </c>
      <c r="X136" t="str">
        <f t="shared" si="189"/>
        <v>0_0</v>
      </c>
    </row>
    <row r="137" spans="1:24" x14ac:dyDescent="0.45">
      <c r="A137">
        <f>データの貼付!A135</f>
        <v>0</v>
      </c>
      <c r="B137">
        <f>データの貼付!B135</f>
        <v>0</v>
      </c>
      <c r="C137">
        <f>データの貼付!C135</f>
        <v>0</v>
      </c>
      <c r="D137">
        <f>データの貼付!D135</f>
        <v>0</v>
      </c>
      <c r="E137">
        <f>データの貼付!F135</f>
        <v>0</v>
      </c>
      <c r="F137">
        <f>データの貼付!E135</f>
        <v>0</v>
      </c>
      <c r="G137">
        <f>データの貼付!G135</f>
        <v>0</v>
      </c>
      <c r="H137">
        <f>データの貼付!H135</f>
        <v>0</v>
      </c>
      <c r="I137">
        <f>データの貼付!I135</f>
        <v>0</v>
      </c>
      <c r="J137">
        <f>データの貼付!J135</f>
        <v>0</v>
      </c>
      <c r="K137">
        <f>データの貼付!K135</f>
        <v>0</v>
      </c>
      <c r="L137">
        <f>データの貼付!L135</f>
        <v>0</v>
      </c>
      <c r="M137">
        <f>データの貼付!M135</f>
        <v>0</v>
      </c>
      <c r="N137">
        <f>データの貼付!N135</f>
        <v>0</v>
      </c>
      <c r="R137">
        <f t="shared" si="190"/>
        <v>0</v>
      </c>
      <c r="S137">
        <f>SUM(R$4:R137)</f>
        <v>6</v>
      </c>
      <c r="T137" t="str">
        <f t="shared" si="191"/>
        <v/>
      </c>
      <c r="W137" t="str">
        <f t="shared" si="188"/>
        <v>0_0</v>
      </c>
      <c r="X137" t="str">
        <f t="shared" si="189"/>
        <v>0_0</v>
      </c>
    </row>
    <row r="138" spans="1:24" x14ac:dyDescent="0.45">
      <c r="A138">
        <f>データの貼付!A136</f>
        <v>0</v>
      </c>
      <c r="B138">
        <f>データの貼付!B136</f>
        <v>0</v>
      </c>
      <c r="C138">
        <f>データの貼付!C136</f>
        <v>0</v>
      </c>
      <c r="D138">
        <f>データの貼付!D136</f>
        <v>0</v>
      </c>
      <c r="E138">
        <f>データの貼付!F136</f>
        <v>0</v>
      </c>
      <c r="F138">
        <f>データの貼付!E136</f>
        <v>0</v>
      </c>
      <c r="G138">
        <f>データの貼付!G136</f>
        <v>0</v>
      </c>
      <c r="H138">
        <f>データの貼付!H136</f>
        <v>0</v>
      </c>
      <c r="I138">
        <f>データの貼付!I136</f>
        <v>0</v>
      </c>
      <c r="J138">
        <f>データの貼付!J136</f>
        <v>0</v>
      </c>
      <c r="K138">
        <f>データの貼付!K136</f>
        <v>0</v>
      </c>
      <c r="L138">
        <f>データの貼付!L136</f>
        <v>0</v>
      </c>
      <c r="M138">
        <f>データの貼付!M136</f>
        <v>0</v>
      </c>
      <c r="N138">
        <f>データの貼付!N136</f>
        <v>0</v>
      </c>
      <c r="R138">
        <f t="shared" si="190"/>
        <v>0</v>
      </c>
      <c r="S138">
        <f>SUM(R$4:R138)</f>
        <v>6</v>
      </c>
      <c r="T138" t="str">
        <f t="shared" si="191"/>
        <v/>
      </c>
      <c r="W138" t="str">
        <f t="shared" si="188"/>
        <v>0_0</v>
      </c>
      <c r="X138" t="str">
        <f t="shared" si="189"/>
        <v>0_0</v>
      </c>
    </row>
    <row r="139" spans="1:24" x14ac:dyDescent="0.45">
      <c r="A139">
        <f>データの貼付!A137</f>
        <v>0</v>
      </c>
      <c r="B139">
        <f>データの貼付!B137</f>
        <v>0</v>
      </c>
      <c r="C139">
        <f>データの貼付!C137</f>
        <v>0</v>
      </c>
      <c r="D139">
        <f>データの貼付!D137</f>
        <v>0</v>
      </c>
      <c r="E139">
        <f>データの貼付!F137</f>
        <v>0</v>
      </c>
      <c r="F139">
        <f>データの貼付!E137</f>
        <v>0</v>
      </c>
      <c r="G139">
        <f>データの貼付!G137</f>
        <v>0</v>
      </c>
      <c r="H139">
        <f>データの貼付!H137</f>
        <v>0</v>
      </c>
      <c r="I139">
        <f>データの貼付!I137</f>
        <v>0</v>
      </c>
      <c r="J139">
        <f>データの貼付!J137</f>
        <v>0</v>
      </c>
      <c r="K139">
        <f>データの貼付!K137</f>
        <v>0</v>
      </c>
      <c r="L139">
        <f>データの貼付!L137</f>
        <v>0</v>
      </c>
      <c r="M139">
        <f>データの貼付!M137</f>
        <v>0</v>
      </c>
      <c r="N139">
        <f>データの貼付!N137</f>
        <v>0</v>
      </c>
      <c r="R139">
        <f t="shared" si="190"/>
        <v>0</v>
      </c>
      <c r="S139">
        <f>SUM(R$4:R139)</f>
        <v>6</v>
      </c>
      <c r="T139" t="str">
        <f t="shared" si="191"/>
        <v/>
      </c>
      <c r="W139" t="str">
        <f t="shared" si="188"/>
        <v>0_0</v>
      </c>
      <c r="X139" t="str">
        <f t="shared" si="189"/>
        <v>0_0</v>
      </c>
    </row>
    <row r="140" spans="1:24" x14ac:dyDescent="0.45">
      <c r="A140">
        <f>データの貼付!A138</f>
        <v>0</v>
      </c>
      <c r="B140">
        <f>データの貼付!B138</f>
        <v>0</v>
      </c>
      <c r="C140">
        <f>データの貼付!C138</f>
        <v>0</v>
      </c>
      <c r="D140">
        <f>データの貼付!D138</f>
        <v>0</v>
      </c>
      <c r="E140">
        <f>データの貼付!F138</f>
        <v>0</v>
      </c>
      <c r="F140">
        <f>データの貼付!E138</f>
        <v>0</v>
      </c>
      <c r="G140">
        <f>データの貼付!G138</f>
        <v>0</v>
      </c>
      <c r="H140">
        <f>データの貼付!H138</f>
        <v>0</v>
      </c>
      <c r="I140">
        <f>データの貼付!I138</f>
        <v>0</v>
      </c>
      <c r="J140">
        <f>データの貼付!J138</f>
        <v>0</v>
      </c>
      <c r="K140">
        <f>データの貼付!K138</f>
        <v>0</v>
      </c>
      <c r="L140">
        <f>データの貼付!L138</f>
        <v>0</v>
      </c>
      <c r="M140">
        <f>データの貼付!M138</f>
        <v>0</v>
      </c>
      <c r="N140">
        <f>データの貼付!N138</f>
        <v>0</v>
      </c>
      <c r="R140">
        <f t="shared" si="190"/>
        <v>0</v>
      </c>
      <c r="S140">
        <f>SUM(R$4:R140)</f>
        <v>6</v>
      </c>
      <c r="T140" t="str">
        <f t="shared" si="191"/>
        <v/>
      </c>
      <c r="W140" t="str">
        <f t="shared" si="188"/>
        <v>0_0</v>
      </c>
      <c r="X140" t="str">
        <f t="shared" si="189"/>
        <v>0_0</v>
      </c>
    </row>
    <row r="141" spans="1:24" x14ac:dyDescent="0.45">
      <c r="A141">
        <f>データの貼付!A139</f>
        <v>0</v>
      </c>
      <c r="B141">
        <f>データの貼付!B139</f>
        <v>0</v>
      </c>
      <c r="C141">
        <f>データの貼付!C139</f>
        <v>0</v>
      </c>
      <c r="D141">
        <f>データの貼付!D139</f>
        <v>0</v>
      </c>
      <c r="E141">
        <f>データの貼付!F139</f>
        <v>0</v>
      </c>
      <c r="F141">
        <f>データの貼付!E139</f>
        <v>0</v>
      </c>
      <c r="G141">
        <f>データの貼付!G139</f>
        <v>0</v>
      </c>
      <c r="H141">
        <f>データの貼付!H139</f>
        <v>0</v>
      </c>
      <c r="I141">
        <f>データの貼付!I139</f>
        <v>0</v>
      </c>
      <c r="J141">
        <f>データの貼付!J139</f>
        <v>0</v>
      </c>
      <c r="K141">
        <f>データの貼付!K139</f>
        <v>0</v>
      </c>
      <c r="L141">
        <f>データの貼付!L139</f>
        <v>0</v>
      </c>
      <c r="M141">
        <f>データの貼付!M139</f>
        <v>0</v>
      </c>
      <c r="N141">
        <f>データの貼付!N139</f>
        <v>0</v>
      </c>
      <c r="R141">
        <f t="shared" si="190"/>
        <v>0</v>
      </c>
      <c r="S141">
        <f>SUM(R$4:R141)</f>
        <v>6</v>
      </c>
      <c r="T141" t="str">
        <f t="shared" si="191"/>
        <v/>
      </c>
      <c r="W141" t="str">
        <f t="shared" si="188"/>
        <v>0_0</v>
      </c>
      <c r="X141" t="str">
        <f t="shared" si="189"/>
        <v>0_0</v>
      </c>
    </row>
    <row r="142" spans="1:24" x14ac:dyDescent="0.45">
      <c r="A142">
        <f>データの貼付!A140</f>
        <v>0</v>
      </c>
      <c r="B142">
        <f>データの貼付!B140</f>
        <v>0</v>
      </c>
      <c r="C142">
        <f>データの貼付!C140</f>
        <v>0</v>
      </c>
      <c r="D142">
        <f>データの貼付!D140</f>
        <v>0</v>
      </c>
      <c r="E142">
        <f>データの貼付!F140</f>
        <v>0</v>
      </c>
      <c r="F142">
        <f>データの貼付!E140</f>
        <v>0</v>
      </c>
      <c r="G142">
        <f>データの貼付!G140</f>
        <v>0</v>
      </c>
      <c r="H142">
        <f>データの貼付!H140</f>
        <v>0</v>
      </c>
      <c r="I142">
        <f>データの貼付!I140</f>
        <v>0</v>
      </c>
      <c r="J142">
        <f>データの貼付!J140</f>
        <v>0</v>
      </c>
      <c r="K142">
        <f>データの貼付!K140</f>
        <v>0</v>
      </c>
      <c r="L142">
        <f>データの貼付!L140</f>
        <v>0</v>
      </c>
      <c r="M142">
        <f>データの貼付!M140</f>
        <v>0</v>
      </c>
      <c r="N142">
        <f>データの貼付!N140</f>
        <v>0</v>
      </c>
      <c r="R142">
        <f t="shared" si="190"/>
        <v>0</v>
      </c>
      <c r="S142">
        <f>SUM(R$4:R142)</f>
        <v>6</v>
      </c>
      <c r="T142" t="str">
        <f t="shared" si="191"/>
        <v/>
      </c>
      <c r="W142" t="str">
        <f t="shared" si="188"/>
        <v>0_0</v>
      </c>
      <c r="X142" t="str">
        <f t="shared" si="189"/>
        <v>0_0</v>
      </c>
    </row>
    <row r="143" spans="1:24" x14ac:dyDescent="0.45">
      <c r="A143">
        <f>データの貼付!A141</f>
        <v>0</v>
      </c>
      <c r="B143">
        <f>データの貼付!B141</f>
        <v>0</v>
      </c>
      <c r="C143">
        <f>データの貼付!C141</f>
        <v>0</v>
      </c>
      <c r="D143">
        <f>データの貼付!D141</f>
        <v>0</v>
      </c>
      <c r="E143">
        <f>データの貼付!F141</f>
        <v>0</v>
      </c>
      <c r="F143">
        <f>データの貼付!E141</f>
        <v>0</v>
      </c>
      <c r="G143">
        <f>データの貼付!G141</f>
        <v>0</v>
      </c>
      <c r="H143">
        <f>データの貼付!H141</f>
        <v>0</v>
      </c>
      <c r="I143">
        <f>データの貼付!I141</f>
        <v>0</v>
      </c>
      <c r="J143">
        <f>データの貼付!J141</f>
        <v>0</v>
      </c>
      <c r="K143">
        <f>データの貼付!K141</f>
        <v>0</v>
      </c>
      <c r="L143">
        <f>データの貼付!L141</f>
        <v>0</v>
      </c>
      <c r="M143">
        <f>データの貼付!M141</f>
        <v>0</v>
      </c>
      <c r="N143">
        <f>データの貼付!N141</f>
        <v>0</v>
      </c>
      <c r="R143">
        <f t="shared" si="190"/>
        <v>0</v>
      </c>
      <c r="S143">
        <f>SUM(R$4:R143)</f>
        <v>6</v>
      </c>
      <c r="T143" t="str">
        <f t="shared" si="191"/>
        <v/>
      </c>
      <c r="W143" t="str">
        <f t="shared" si="188"/>
        <v>0_0</v>
      </c>
      <c r="X143" t="str">
        <f t="shared" si="189"/>
        <v>0_0</v>
      </c>
    </row>
    <row r="144" spans="1:24" x14ac:dyDescent="0.45">
      <c r="A144">
        <f>データの貼付!A142</f>
        <v>0</v>
      </c>
      <c r="B144">
        <f>データの貼付!B142</f>
        <v>0</v>
      </c>
      <c r="C144">
        <f>データの貼付!C142</f>
        <v>0</v>
      </c>
      <c r="D144">
        <f>データの貼付!D142</f>
        <v>0</v>
      </c>
      <c r="E144">
        <f>データの貼付!F142</f>
        <v>0</v>
      </c>
      <c r="F144">
        <f>データの貼付!E142</f>
        <v>0</v>
      </c>
      <c r="G144">
        <f>データの貼付!G142</f>
        <v>0</v>
      </c>
      <c r="H144">
        <f>データの貼付!H142</f>
        <v>0</v>
      </c>
      <c r="I144">
        <f>データの貼付!I142</f>
        <v>0</v>
      </c>
      <c r="J144">
        <f>データの貼付!J142</f>
        <v>0</v>
      </c>
      <c r="K144">
        <f>データの貼付!K142</f>
        <v>0</v>
      </c>
      <c r="L144">
        <f>データの貼付!L142</f>
        <v>0</v>
      </c>
      <c r="M144">
        <f>データの貼付!M142</f>
        <v>0</v>
      </c>
      <c r="N144">
        <f>データの貼付!N142</f>
        <v>0</v>
      </c>
      <c r="R144">
        <f t="shared" si="190"/>
        <v>0</v>
      </c>
      <c r="S144">
        <f>SUM(R$4:R144)</f>
        <v>6</v>
      </c>
      <c r="T144" t="str">
        <f t="shared" si="191"/>
        <v/>
      </c>
      <c r="W144" t="str">
        <f t="shared" si="188"/>
        <v>0_0</v>
      </c>
      <c r="X144" t="str">
        <f t="shared" si="189"/>
        <v>0_0</v>
      </c>
    </row>
    <row r="145" spans="1:24" x14ac:dyDescent="0.45">
      <c r="A145">
        <f>データの貼付!A143</f>
        <v>0</v>
      </c>
      <c r="B145">
        <f>データの貼付!B143</f>
        <v>0</v>
      </c>
      <c r="C145">
        <f>データの貼付!C143</f>
        <v>0</v>
      </c>
      <c r="D145">
        <f>データの貼付!D143</f>
        <v>0</v>
      </c>
      <c r="E145">
        <f>データの貼付!F143</f>
        <v>0</v>
      </c>
      <c r="F145">
        <f>データの貼付!E143</f>
        <v>0</v>
      </c>
      <c r="G145">
        <f>データの貼付!G143</f>
        <v>0</v>
      </c>
      <c r="H145">
        <f>データの貼付!H143</f>
        <v>0</v>
      </c>
      <c r="I145">
        <f>データの貼付!I143</f>
        <v>0</v>
      </c>
      <c r="J145">
        <f>データの貼付!J143</f>
        <v>0</v>
      </c>
      <c r="K145">
        <f>データの貼付!K143</f>
        <v>0</v>
      </c>
      <c r="L145">
        <f>データの貼付!L143</f>
        <v>0</v>
      </c>
      <c r="M145">
        <f>データの貼付!M143</f>
        <v>0</v>
      </c>
      <c r="N145">
        <f>データの貼付!N143</f>
        <v>0</v>
      </c>
      <c r="R145">
        <f t="shared" si="190"/>
        <v>0</v>
      </c>
      <c r="S145">
        <f>SUM(R$4:R145)</f>
        <v>6</v>
      </c>
      <c r="T145" t="str">
        <f t="shared" si="191"/>
        <v/>
      </c>
      <c r="W145" t="str">
        <f t="shared" si="188"/>
        <v>0_0</v>
      </c>
      <c r="X145" t="str">
        <f t="shared" si="189"/>
        <v>0_0</v>
      </c>
    </row>
    <row r="146" spans="1:24" x14ac:dyDescent="0.45">
      <c r="A146">
        <f>データの貼付!A144</f>
        <v>0</v>
      </c>
      <c r="B146">
        <f>データの貼付!B144</f>
        <v>0</v>
      </c>
      <c r="C146">
        <f>データの貼付!C144</f>
        <v>0</v>
      </c>
      <c r="D146">
        <f>データの貼付!D144</f>
        <v>0</v>
      </c>
      <c r="E146">
        <f>データの貼付!F144</f>
        <v>0</v>
      </c>
      <c r="F146">
        <f>データの貼付!E144</f>
        <v>0</v>
      </c>
      <c r="G146">
        <f>データの貼付!G144</f>
        <v>0</v>
      </c>
      <c r="H146">
        <f>データの貼付!H144</f>
        <v>0</v>
      </c>
      <c r="I146">
        <f>データの貼付!I144</f>
        <v>0</v>
      </c>
      <c r="J146">
        <f>データの貼付!J144</f>
        <v>0</v>
      </c>
      <c r="K146">
        <f>データの貼付!K144</f>
        <v>0</v>
      </c>
      <c r="L146">
        <f>データの貼付!L144</f>
        <v>0</v>
      </c>
      <c r="M146">
        <f>データの貼付!M144</f>
        <v>0</v>
      </c>
      <c r="N146">
        <f>データの貼付!N144</f>
        <v>0</v>
      </c>
      <c r="R146">
        <f t="shared" si="190"/>
        <v>0</v>
      </c>
      <c r="S146">
        <f>SUM(R$4:R146)</f>
        <v>6</v>
      </c>
      <c r="T146" t="str">
        <f t="shared" si="191"/>
        <v/>
      </c>
      <c r="W146" t="str">
        <f t="shared" si="188"/>
        <v>0_0</v>
      </c>
      <c r="X146" t="str">
        <f t="shared" si="189"/>
        <v>0_0</v>
      </c>
    </row>
    <row r="147" spans="1:24" x14ac:dyDescent="0.45">
      <c r="A147">
        <f>データの貼付!A145</f>
        <v>0</v>
      </c>
      <c r="B147">
        <f>データの貼付!B145</f>
        <v>0</v>
      </c>
      <c r="C147">
        <f>データの貼付!C145</f>
        <v>0</v>
      </c>
      <c r="D147">
        <f>データの貼付!D145</f>
        <v>0</v>
      </c>
      <c r="E147">
        <f>データの貼付!F145</f>
        <v>0</v>
      </c>
      <c r="F147">
        <f>データの貼付!E145</f>
        <v>0</v>
      </c>
      <c r="G147">
        <f>データの貼付!G145</f>
        <v>0</v>
      </c>
      <c r="H147">
        <f>データの貼付!H145</f>
        <v>0</v>
      </c>
      <c r="I147">
        <f>データの貼付!I145</f>
        <v>0</v>
      </c>
      <c r="J147">
        <f>データの貼付!J145</f>
        <v>0</v>
      </c>
      <c r="K147">
        <f>データの貼付!K145</f>
        <v>0</v>
      </c>
      <c r="L147">
        <f>データの貼付!L145</f>
        <v>0</v>
      </c>
      <c r="M147">
        <f>データの貼付!M145</f>
        <v>0</v>
      </c>
      <c r="N147">
        <f>データの貼付!N145</f>
        <v>0</v>
      </c>
      <c r="R147">
        <f t="shared" si="190"/>
        <v>0</v>
      </c>
      <c r="S147">
        <f>SUM(R$4:R147)</f>
        <v>6</v>
      </c>
      <c r="T147" t="str">
        <f t="shared" si="191"/>
        <v/>
      </c>
      <c r="W147" t="str">
        <f t="shared" si="188"/>
        <v>0_0</v>
      </c>
      <c r="X147" t="str">
        <f t="shared" si="189"/>
        <v>0_0</v>
      </c>
    </row>
    <row r="148" spans="1:24" x14ac:dyDescent="0.45">
      <c r="A148">
        <f>データの貼付!A146</f>
        <v>0</v>
      </c>
      <c r="B148">
        <f>データの貼付!B146</f>
        <v>0</v>
      </c>
      <c r="C148">
        <f>データの貼付!C146</f>
        <v>0</v>
      </c>
      <c r="D148">
        <f>データの貼付!D146</f>
        <v>0</v>
      </c>
      <c r="E148">
        <f>データの貼付!F146</f>
        <v>0</v>
      </c>
      <c r="F148">
        <f>データの貼付!E146</f>
        <v>0</v>
      </c>
      <c r="G148">
        <f>データの貼付!G146</f>
        <v>0</v>
      </c>
      <c r="H148">
        <f>データの貼付!H146</f>
        <v>0</v>
      </c>
      <c r="I148">
        <f>データの貼付!I146</f>
        <v>0</v>
      </c>
      <c r="J148">
        <f>データの貼付!J146</f>
        <v>0</v>
      </c>
      <c r="K148">
        <f>データの貼付!K146</f>
        <v>0</v>
      </c>
      <c r="L148">
        <f>データの貼付!L146</f>
        <v>0</v>
      </c>
      <c r="M148">
        <f>データの貼付!M146</f>
        <v>0</v>
      </c>
      <c r="N148">
        <f>データの貼付!N146</f>
        <v>0</v>
      </c>
      <c r="R148">
        <f t="shared" si="190"/>
        <v>0</v>
      </c>
      <c r="S148">
        <f>SUM(R$4:R148)</f>
        <v>6</v>
      </c>
      <c r="T148" t="str">
        <f t="shared" si="191"/>
        <v/>
      </c>
      <c r="W148" t="str">
        <f t="shared" si="188"/>
        <v>0_0</v>
      </c>
      <c r="X148" t="str">
        <f t="shared" si="189"/>
        <v>0_0</v>
      </c>
    </row>
    <row r="149" spans="1:24" x14ac:dyDescent="0.45">
      <c r="A149">
        <f>データの貼付!A147</f>
        <v>0</v>
      </c>
      <c r="B149">
        <f>データの貼付!B147</f>
        <v>0</v>
      </c>
      <c r="C149">
        <f>データの貼付!C147</f>
        <v>0</v>
      </c>
      <c r="D149">
        <f>データの貼付!D147</f>
        <v>0</v>
      </c>
      <c r="E149">
        <f>データの貼付!F147</f>
        <v>0</v>
      </c>
      <c r="F149">
        <f>データの貼付!E147</f>
        <v>0</v>
      </c>
      <c r="G149">
        <f>データの貼付!G147</f>
        <v>0</v>
      </c>
      <c r="H149">
        <f>データの貼付!H147</f>
        <v>0</v>
      </c>
      <c r="I149">
        <f>データの貼付!I147</f>
        <v>0</v>
      </c>
      <c r="J149">
        <f>データの貼付!J147</f>
        <v>0</v>
      </c>
      <c r="K149">
        <f>データの貼付!K147</f>
        <v>0</v>
      </c>
      <c r="L149">
        <f>データの貼付!L147</f>
        <v>0</v>
      </c>
      <c r="M149">
        <f>データの貼付!M147</f>
        <v>0</v>
      </c>
      <c r="N149">
        <f>データの貼付!N147</f>
        <v>0</v>
      </c>
      <c r="R149">
        <f t="shared" si="190"/>
        <v>0</v>
      </c>
      <c r="S149">
        <f>SUM(R$4:R149)</f>
        <v>6</v>
      </c>
      <c r="T149" t="str">
        <f t="shared" si="191"/>
        <v/>
      </c>
      <c r="W149" t="str">
        <f t="shared" si="188"/>
        <v>0_0</v>
      </c>
      <c r="X149" t="str">
        <f t="shared" si="189"/>
        <v>0_0</v>
      </c>
    </row>
    <row r="150" spans="1:24" x14ac:dyDescent="0.45">
      <c r="A150">
        <f>データの貼付!A148</f>
        <v>0</v>
      </c>
      <c r="B150">
        <f>データの貼付!B148</f>
        <v>0</v>
      </c>
      <c r="C150">
        <f>データの貼付!C148</f>
        <v>0</v>
      </c>
      <c r="D150">
        <f>データの貼付!D148</f>
        <v>0</v>
      </c>
      <c r="E150">
        <f>データの貼付!F148</f>
        <v>0</v>
      </c>
      <c r="F150">
        <f>データの貼付!E148</f>
        <v>0</v>
      </c>
      <c r="G150">
        <f>データの貼付!G148</f>
        <v>0</v>
      </c>
      <c r="H150">
        <f>データの貼付!H148</f>
        <v>0</v>
      </c>
      <c r="I150">
        <f>データの貼付!I148</f>
        <v>0</v>
      </c>
      <c r="J150">
        <f>データの貼付!J148</f>
        <v>0</v>
      </c>
      <c r="K150">
        <f>データの貼付!K148</f>
        <v>0</v>
      </c>
      <c r="L150">
        <f>データの貼付!L148</f>
        <v>0</v>
      </c>
      <c r="M150">
        <f>データの貼付!M148</f>
        <v>0</v>
      </c>
      <c r="N150">
        <f>データの貼付!N148</f>
        <v>0</v>
      </c>
      <c r="R150">
        <f t="shared" si="190"/>
        <v>0</v>
      </c>
      <c r="S150">
        <f>SUM(R$4:R150)</f>
        <v>6</v>
      </c>
      <c r="T150" t="str">
        <f t="shared" si="191"/>
        <v/>
      </c>
      <c r="W150" t="str">
        <f t="shared" si="188"/>
        <v>0_0</v>
      </c>
      <c r="X150" t="str">
        <f t="shared" si="189"/>
        <v>0_0</v>
      </c>
    </row>
    <row r="151" spans="1:24" x14ac:dyDescent="0.45">
      <c r="A151">
        <f>データの貼付!A149</f>
        <v>0</v>
      </c>
      <c r="B151">
        <f>データの貼付!B149</f>
        <v>0</v>
      </c>
      <c r="C151">
        <f>データの貼付!C149</f>
        <v>0</v>
      </c>
      <c r="D151">
        <f>データの貼付!D149</f>
        <v>0</v>
      </c>
      <c r="E151">
        <f>データの貼付!F149</f>
        <v>0</v>
      </c>
      <c r="F151">
        <f>データの貼付!E149</f>
        <v>0</v>
      </c>
      <c r="G151">
        <f>データの貼付!G149</f>
        <v>0</v>
      </c>
      <c r="H151">
        <f>データの貼付!H149</f>
        <v>0</v>
      </c>
      <c r="I151">
        <f>データの貼付!I149</f>
        <v>0</v>
      </c>
      <c r="J151">
        <f>データの貼付!J149</f>
        <v>0</v>
      </c>
      <c r="K151">
        <f>データの貼付!K149</f>
        <v>0</v>
      </c>
      <c r="L151">
        <f>データの貼付!L149</f>
        <v>0</v>
      </c>
      <c r="M151">
        <f>データの貼付!M149</f>
        <v>0</v>
      </c>
      <c r="N151">
        <f>データの貼付!N149</f>
        <v>0</v>
      </c>
      <c r="R151">
        <f t="shared" si="190"/>
        <v>0</v>
      </c>
      <c r="S151">
        <f>SUM(R$4:R151)</f>
        <v>6</v>
      </c>
      <c r="T151" t="str">
        <f t="shared" si="191"/>
        <v/>
      </c>
      <c r="W151" t="str">
        <f t="shared" si="188"/>
        <v>0_0</v>
      </c>
      <c r="X151" t="str">
        <f t="shared" si="189"/>
        <v>0_0</v>
      </c>
    </row>
    <row r="152" spans="1:24" x14ac:dyDescent="0.45">
      <c r="A152">
        <f>データの貼付!A150</f>
        <v>0</v>
      </c>
      <c r="B152">
        <f>データの貼付!B150</f>
        <v>0</v>
      </c>
      <c r="C152">
        <f>データの貼付!C150</f>
        <v>0</v>
      </c>
      <c r="D152">
        <f>データの貼付!D150</f>
        <v>0</v>
      </c>
      <c r="E152">
        <f>データの貼付!F150</f>
        <v>0</v>
      </c>
      <c r="F152">
        <f>データの貼付!E150</f>
        <v>0</v>
      </c>
      <c r="G152">
        <f>データの貼付!G150</f>
        <v>0</v>
      </c>
      <c r="H152">
        <f>データの貼付!H150</f>
        <v>0</v>
      </c>
      <c r="I152">
        <f>データの貼付!I150</f>
        <v>0</v>
      </c>
      <c r="J152">
        <f>データの貼付!J150</f>
        <v>0</v>
      </c>
      <c r="K152">
        <f>データの貼付!K150</f>
        <v>0</v>
      </c>
      <c r="L152">
        <f>データの貼付!L150</f>
        <v>0</v>
      </c>
      <c r="M152">
        <f>データの貼付!M150</f>
        <v>0</v>
      </c>
      <c r="N152">
        <f>データの貼付!N150</f>
        <v>0</v>
      </c>
      <c r="R152">
        <f t="shared" si="190"/>
        <v>0</v>
      </c>
      <c r="S152">
        <f>SUM(R$4:R152)</f>
        <v>6</v>
      </c>
      <c r="T152" t="str">
        <f t="shared" si="191"/>
        <v/>
      </c>
      <c r="W152" t="str">
        <f t="shared" si="188"/>
        <v>0_0</v>
      </c>
      <c r="X152" t="str">
        <f t="shared" si="189"/>
        <v>0_0</v>
      </c>
    </row>
    <row r="153" spans="1:24" x14ac:dyDescent="0.45">
      <c r="A153">
        <f>データの貼付!A151</f>
        <v>0</v>
      </c>
      <c r="B153">
        <f>データの貼付!B151</f>
        <v>0</v>
      </c>
      <c r="C153">
        <f>データの貼付!C151</f>
        <v>0</v>
      </c>
      <c r="D153">
        <f>データの貼付!D151</f>
        <v>0</v>
      </c>
      <c r="E153">
        <f>データの貼付!F151</f>
        <v>0</v>
      </c>
      <c r="F153">
        <f>データの貼付!E151</f>
        <v>0</v>
      </c>
      <c r="G153">
        <f>データの貼付!G151</f>
        <v>0</v>
      </c>
      <c r="H153">
        <f>データの貼付!H151</f>
        <v>0</v>
      </c>
      <c r="I153">
        <f>データの貼付!I151</f>
        <v>0</v>
      </c>
      <c r="J153">
        <f>データの貼付!J151</f>
        <v>0</v>
      </c>
      <c r="K153">
        <f>データの貼付!K151</f>
        <v>0</v>
      </c>
      <c r="L153">
        <f>データの貼付!L151</f>
        <v>0</v>
      </c>
      <c r="M153">
        <f>データの貼付!M151</f>
        <v>0</v>
      </c>
      <c r="N153">
        <f>データの貼付!N151</f>
        <v>0</v>
      </c>
      <c r="R153">
        <f t="shared" si="190"/>
        <v>0</v>
      </c>
      <c r="S153">
        <f>SUM(R$4:R153)</f>
        <v>6</v>
      </c>
      <c r="T153" t="str">
        <f t="shared" si="191"/>
        <v/>
      </c>
      <c r="W153" t="str">
        <f t="shared" si="188"/>
        <v>0_0</v>
      </c>
      <c r="X153" t="str">
        <f t="shared" si="189"/>
        <v>0_0</v>
      </c>
    </row>
    <row r="154" spans="1:24" x14ac:dyDescent="0.45">
      <c r="A154">
        <f>データの貼付!A152</f>
        <v>0</v>
      </c>
      <c r="B154">
        <f>データの貼付!B152</f>
        <v>0</v>
      </c>
      <c r="C154">
        <f>データの貼付!C152</f>
        <v>0</v>
      </c>
      <c r="D154">
        <f>データの貼付!D152</f>
        <v>0</v>
      </c>
      <c r="E154">
        <f>データの貼付!F152</f>
        <v>0</v>
      </c>
      <c r="F154">
        <f>データの貼付!E152</f>
        <v>0</v>
      </c>
      <c r="G154">
        <f>データの貼付!G152</f>
        <v>0</v>
      </c>
      <c r="H154">
        <f>データの貼付!H152</f>
        <v>0</v>
      </c>
      <c r="I154">
        <f>データの貼付!I152</f>
        <v>0</v>
      </c>
      <c r="J154">
        <f>データの貼付!J152</f>
        <v>0</v>
      </c>
      <c r="K154">
        <f>データの貼付!K152</f>
        <v>0</v>
      </c>
      <c r="L154">
        <f>データの貼付!L152</f>
        <v>0</v>
      </c>
      <c r="M154">
        <f>データの貼付!M152</f>
        <v>0</v>
      </c>
      <c r="N154">
        <f>データの貼付!N152</f>
        <v>0</v>
      </c>
      <c r="R154">
        <f t="shared" si="190"/>
        <v>0</v>
      </c>
      <c r="S154">
        <f>SUM(R$4:R154)</f>
        <v>6</v>
      </c>
      <c r="T154" t="str">
        <f t="shared" si="191"/>
        <v/>
      </c>
      <c r="W154" t="str">
        <f t="shared" si="188"/>
        <v>0_0</v>
      </c>
      <c r="X154" t="str">
        <f t="shared" si="189"/>
        <v>0_0</v>
      </c>
    </row>
    <row r="155" spans="1:24" x14ac:dyDescent="0.45">
      <c r="A155">
        <f>データの貼付!A153</f>
        <v>0</v>
      </c>
      <c r="B155">
        <f>データの貼付!B153</f>
        <v>0</v>
      </c>
      <c r="C155">
        <f>データの貼付!C153</f>
        <v>0</v>
      </c>
      <c r="D155">
        <f>データの貼付!D153</f>
        <v>0</v>
      </c>
      <c r="E155">
        <f>データの貼付!F153</f>
        <v>0</v>
      </c>
      <c r="F155">
        <f>データの貼付!E153</f>
        <v>0</v>
      </c>
      <c r="G155">
        <f>データの貼付!G153</f>
        <v>0</v>
      </c>
      <c r="H155">
        <f>データの貼付!H153</f>
        <v>0</v>
      </c>
      <c r="I155">
        <f>データの貼付!I153</f>
        <v>0</v>
      </c>
      <c r="J155">
        <f>データの貼付!J153</f>
        <v>0</v>
      </c>
      <c r="K155">
        <f>データの貼付!K153</f>
        <v>0</v>
      </c>
      <c r="L155">
        <f>データの貼付!L153</f>
        <v>0</v>
      </c>
      <c r="M155">
        <f>データの貼付!M153</f>
        <v>0</v>
      </c>
      <c r="N155">
        <f>データの貼付!N153</f>
        <v>0</v>
      </c>
      <c r="R155">
        <f t="shared" si="190"/>
        <v>0</v>
      </c>
      <c r="S155">
        <f>SUM(R$4:R155)</f>
        <v>6</v>
      </c>
      <c r="T155" t="str">
        <f t="shared" si="191"/>
        <v/>
      </c>
      <c r="W155" t="str">
        <f t="shared" si="188"/>
        <v>0_0</v>
      </c>
      <c r="X155" t="str">
        <f t="shared" si="189"/>
        <v>0_0</v>
      </c>
    </row>
    <row r="156" spans="1:24" x14ac:dyDescent="0.45">
      <c r="A156">
        <f>データの貼付!A154</f>
        <v>0</v>
      </c>
      <c r="B156">
        <f>データの貼付!B154</f>
        <v>0</v>
      </c>
      <c r="C156">
        <f>データの貼付!C154</f>
        <v>0</v>
      </c>
      <c r="D156">
        <f>データの貼付!D154</f>
        <v>0</v>
      </c>
      <c r="E156">
        <f>データの貼付!F154</f>
        <v>0</v>
      </c>
      <c r="F156">
        <f>データの貼付!E154</f>
        <v>0</v>
      </c>
      <c r="G156">
        <f>データの貼付!G154</f>
        <v>0</v>
      </c>
      <c r="H156">
        <f>データの貼付!H154</f>
        <v>0</v>
      </c>
      <c r="I156">
        <f>データの貼付!I154</f>
        <v>0</v>
      </c>
      <c r="J156">
        <f>データの貼付!J154</f>
        <v>0</v>
      </c>
      <c r="K156">
        <f>データの貼付!K154</f>
        <v>0</v>
      </c>
      <c r="L156">
        <f>データの貼付!L154</f>
        <v>0</v>
      </c>
      <c r="M156">
        <f>データの貼付!M154</f>
        <v>0</v>
      </c>
      <c r="N156">
        <f>データの貼付!N154</f>
        <v>0</v>
      </c>
      <c r="R156">
        <f t="shared" si="190"/>
        <v>0</v>
      </c>
      <c r="S156">
        <f>SUM(R$4:R156)</f>
        <v>6</v>
      </c>
      <c r="T156" t="str">
        <f t="shared" si="191"/>
        <v/>
      </c>
      <c r="W156" t="str">
        <f t="shared" si="188"/>
        <v>0_0</v>
      </c>
      <c r="X156" t="str">
        <f t="shared" si="189"/>
        <v>0_0</v>
      </c>
    </row>
    <row r="157" spans="1:24" x14ac:dyDescent="0.45">
      <c r="A157">
        <f>データの貼付!A155</f>
        <v>0</v>
      </c>
      <c r="B157">
        <f>データの貼付!B155</f>
        <v>0</v>
      </c>
      <c r="C157">
        <f>データの貼付!C155</f>
        <v>0</v>
      </c>
      <c r="D157">
        <f>データの貼付!D155</f>
        <v>0</v>
      </c>
      <c r="E157">
        <f>データの貼付!F155</f>
        <v>0</v>
      </c>
      <c r="F157">
        <f>データの貼付!E155</f>
        <v>0</v>
      </c>
      <c r="G157">
        <f>データの貼付!G155</f>
        <v>0</v>
      </c>
      <c r="H157">
        <f>データの貼付!H155</f>
        <v>0</v>
      </c>
      <c r="I157">
        <f>データの貼付!I155</f>
        <v>0</v>
      </c>
      <c r="J157">
        <f>データの貼付!J155</f>
        <v>0</v>
      </c>
      <c r="K157">
        <f>データの貼付!K155</f>
        <v>0</v>
      </c>
      <c r="L157">
        <f>データの貼付!L155</f>
        <v>0</v>
      </c>
      <c r="M157">
        <f>データの貼付!M155</f>
        <v>0</v>
      </c>
      <c r="N157">
        <f>データの貼付!N155</f>
        <v>0</v>
      </c>
      <c r="R157">
        <f t="shared" si="190"/>
        <v>0</v>
      </c>
      <c r="S157">
        <f>SUM(R$4:R157)</f>
        <v>6</v>
      </c>
      <c r="T157" t="str">
        <f t="shared" si="191"/>
        <v/>
      </c>
      <c r="W157" t="str">
        <f t="shared" si="188"/>
        <v>0_0</v>
      </c>
      <c r="X157" t="str">
        <f t="shared" si="189"/>
        <v>0_0</v>
      </c>
    </row>
    <row r="158" spans="1:24" x14ac:dyDescent="0.45">
      <c r="A158">
        <f>データの貼付!A156</f>
        <v>0</v>
      </c>
      <c r="B158">
        <f>データの貼付!B156</f>
        <v>0</v>
      </c>
      <c r="C158">
        <f>データの貼付!C156</f>
        <v>0</v>
      </c>
      <c r="D158">
        <f>データの貼付!D156</f>
        <v>0</v>
      </c>
      <c r="E158">
        <f>データの貼付!F156</f>
        <v>0</v>
      </c>
      <c r="F158">
        <f>データの貼付!E156</f>
        <v>0</v>
      </c>
      <c r="G158">
        <f>データの貼付!G156</f>
        <v>0</v>
      </c>
      <c r="H158">
        <f>データの貼付!H156</f>
        <v>0</v>
      </c>
      <c r="I158">
        <f>データの貼付!I156</f>
        <v>0</v>
      </c>
      <c r="J158">
        <f>データの貼付!J156</f>
        <v>0</v>
      </c>
      <c r="K158">
        <f>データの貼付!K156</f>
        <v>0</v>
      </c>
      <c r="L158">
        <f>データの貼付!L156</f>
        <v>0</v>
      </c>
      <c r="M158">
        <f>データの貼付!M156</f>
        <v>0</v>
      </c>
      <c r="N158">
        <f>データの貼付!N156</f>
        <v>0</v>
      </c>
      <c r="R158">
        <f t="shared" si="190"/>
        <v>0</v>
      </c>
      <c r="S158">
        <f>SUM(R$4:R158)</f>
        <v>6</v>
      </c>
      <c r="T158" t="str">
        <f t="shared" si="191"/>
        <v/>
      </c>
      <c r="W158" t="str">
        <f t="shared" si="188"/>
        <v>0_0</v>
      </c>
      <c r="X158" t="str">
        <f t="shared" si="189"/>
        <v>0_0</v>
      </c>
    </row>
    <row r="159" spans="1:24" x14ac:dyDescent="0.45">
      <c r="A159">
        <f>データの貼付!A157</f>
        <v>0</v>
      </c>
      <c r="B159">
        <f>データの貼付!B157</f>
        <v>0</v>
      </c>
      <c r="C159">
        <f>データの貼付!C157</f>
        <v>0</v>
      </c>
      <c r="D159">
        <f>データの貼付!D157</f>
        <v>0</v>
      </c>
      <c r="E159">
        <f>データの貼付!F157</f>
        <v>0</v>
      </c>
      <c r="F159">
        <f>データの貼付!E157</f>
        <v>0</v>
      </c>
      <c r="G159">
        <f>データの貼付!G157</f>
        <v>0</v>
      </c>
      <c r="H159">
        <f>データの貼付!H157</f>
        <v>0</v>
      </c>
      <c r="I159">
        <f>データの貼付!I157</f>
        <v>0</v>
      </c>
      <c r="J159">
        <f>データの貼付!J157</f>
        <v>0</v>
      </c>
      <c r="K159">
        <f>データの貼付!K157</f>
        <v>0</v>
      </c>
      <c r="L159">
        <f>データの貼付!L157</f>
        <v>0</v>
      </c>
      <c r="M159">
        <f>データの貼付!M157</f>
        <v>0</v>
      </c>
      <c r="N159">
        <f>データの貼付!N157</f>
        <v>0</v>
      </c>
      <c r="R159">
        <f t="shared" si="190"/>
        <v>0</v>
      </c>
      <c r="S159">
        <f>SUM(R$4:R159)</f>
        <v>6</v>
      </c>
      <c r="T159" t="str">
        <f t="shared" si="191"/>
        <v/>
      </c>
      <c r="W159" t="str">
        <f t="shared" si="188"/>
        <v>0_0</v>
      </c>
      <c r="X159" t="str">
        <f t="shared" si="189"/>
        <v>0_0</v>
      </c>
    </row>
    <row r="160" spans="1:24" x14ac:dyDescent="0.45">
      <c r="A160">
        <f>データの貼付!A158</f>
        <v>0</v>
      </c>
      <c r="B160">
        <f>データの貼付!B158</f>
        <v>0</v>
      </c>
      <c r="C160">
        <f>データの貼付!C158</f>
        <v>0</v>
      </c>
      <c r="D160">
        <f>データの貼付!D158</f>
        <v>0</v>
      </c>
      <c r="E160">
        <f>データの貼付!F158</f>
        <v>0</v>
      </c>
      <c r="F160">
        <f>データの貼付!E158</f>
        <v>0</v>
      </c>
      <c r="G160">
        <f>データの貼付!G158</f>
        <v>0</v>
      </c>
      <c r="H160">
        <f>データの貼付!H158</f>
        <v>0</v>
      </c>
      <c r="I160">
        <f>データの貼付!I158</f>
        <v>0</v>
      </c>
      <c r="J160">
        <f>データの貼付!J158</f>
        <v>0</v>
      </c>
      <c r="K160">
        <f>データの貼付!K158</f>
        <v>0</v>
      </c>
      <c r="L160">
        <f>データの貼付!L158</f>
        <v>0</v>
      </c>
      <c r="M160">
        <f>データの貼付!M158</f>
        <v>0</v>
      </c>
      <c r="N160">
        <f>データの貼付!N158</f>
        <v>0</v>
      </c>
      <c r="R160">
        <f t="shared" si="190"/>
        <v>0</v>
      </c>
      <c r="S160">
        <f>SUM(R$4:R160)</f>
        <v>6</v>
      </c>
      <c r="T160" t="str">
        <f t="shared" si="191"/>
        <v/>
      </c>
      <c r="W160" t="str">
        <f t="shared" si="188"/>
        <v>0_0</v>
      </c>
      <c r="X160" t="str">
        <f t="shared" si="189"/>
        <v>0_0</v>
      </c>
    </row>
    <row r="161" spans="1:24" x14ac:dyDescent="0.45">
      <c r="A161">
        <f>データの貼付!A159</f>
        <v>0</v>
      </c>
      <c r="B161">
        <f>データの貼付!B159</f>
        <v>0</v>
      </c>
      <c r="C161">
        <f>データの貼付!C159</f>
        <v>0</v>
      </c>
      <c r="D161">
        <f>データの貼付!D159</f>
        <v>0</v>
      </c>
      <c r="E161">
        <f>データの貼付!F159</f>
        <v>0</v>
      </c>
      <c r="F161">
        <f>データの貼付!E159</f>
        <v>0</v>
      </c>
      <c r="G161">
        <f>データの貼付!G159</f>
        <v>0</v>
      </c>
      <c r="H161">
        <f>データの貼付!H159</f>
        <v>0</v>
      </c>
      <c r="I161">
        <f>データの貼付!I159</f>
        <v>0</v>
      </c>
      <c r="J161">
        <f>データの貼付!J159</f>
        <v>0</v>
      </c>
      <c r="K161">
        <f>データの貼付!K159</f>
        <v>0</v>
      </c>
      <c r="L161">
        <f>データの貼付!L159</f>
        <v>0</v>
      </c>
      <c r="M161">
        <f>データの貼付!M159</f>
        <v>0</v>
      </c>
      <c r="N161">
        <f>データの貼付!N159</f>
        <v>0</v>
      </c>
      <c r="R161">
        <f t="shared" si="190"/>
        <v>0</v>
      </c>
      <c r="S161">
        <f>SUM(R$4:R161)</f>
        <v>6</v>
      </c>
      <c r="T161" t="str">
        <f t="shared" si="191"/>
        <v/>
      </c>
      <c r="W161" t="str">
        <f t="shared" si="188"/>
        <v>0_0</v>
      </c>
      <c r="X161" t="str">
        <f t="shared" si="189"/>
        <v>0_0</v>
      </c>
    </row>
    <row r="162" spans="1:24" x14ac:dyDescent="0.45">
      <c r="A162">
        <f>データの貼付!A160</f>
        <v>0</v>
      </c>
      <c r="B162">
        <f>データの貼付!B160</f>
        <v>0</v>
      </c>
      <c r="C162">
        <f>データの貼付!C160</f>
        <v>0</v>
      </c>
      <c r="D162">
        <f>データの貼付!D160</f>
        <v>0</v>
      </c>
      <c r="E162">
        <f>データの貼付!F160</f>
        <v>0</v>
      </c>
      <c r="F162">
        <f>データの貼付!E160</f>
        <v>0</v>
      </c>
      <c r="G162">
        <f>データの貼付!G160</f>
        <v>0</v>
      </c>
      <c r="H162">
        <f>データの貼付!H160</f>
        <v>0</v>
      </c>
      <c r="I162">
        <f>データの貼付!I160</f>
        <v>0</v>
      </c>
      <c r="J162">
        <f>データの貼付!J160</f>
        <v>0</v>
      </c>
      <c r="K162">
        <f>データの貼付!K160</f>
        <v>0</v>
      </c>
      <c r="L162">
        <f>データの貼付!L160</f>
        <v>0</v>
      </c>
      <c r="M162">
        <f>データの貼付!M160</f>
        <v>0</v>
      </c>
      <c r="N162">
        <f>データの貼付!N160</f>
        <v>0</v>
      </c>
      <c r="R162">
        <f t="shared" si="190"/>
        <v>0</v>
      </c>
      <c r="S162">
        <f>SUM(R$4:R162)</f>
        <v>6</v>
      </c>
      <c r="T162" t="str">
        <f t="shared" si="191"/>
        <v/>
      </c>
      <c r="W162" t="str">
        <f t="shared" si="188"/>
        <v>0_0</v>
      </c>
      <c r="X162" t="str">
        <f t="shared" si="189"/>
        <v>0_0</v>
      </c>
    </row>
    <row r="163" spans="1:24" x14ac:dyDescent="0.45">
      <c r="A163">
        <f>データの貼付!A161</f>
        <v>0</v>
      </c>
      <c r="B163">
        <f>データの貼付!B161</f>
        <v>0</v>
      </c>
      <c r="C163">
        <f>データの貼付!C161</f>
        <v>0</v>
      </c>
      <c r="D163">
        <f>データの貼付!D161</f>
        <v>0</v>
      </c>
      <c r="E163">
        <f>データの貼付!F161</f>
        <v>0</v>
      </c>
      <c r="F163">
        <f>データの貼付!E161</f>
        <v>0</v>
      </c>
      <c r="G163">
        <f>データの貼付!G161</f>
        <v>0</v>
      </c>
      <c r="H163">
        <f>データの貼付!H161</f>
        <v>0</v>
      </c>
      <c r="I163">
        <f>データの貼付!I161</f>
        <v>0</v>
      </c>
      <c r="J163">
        <f>データの貼付!J161</f>
        <v>0</v>
      </c>
      <c r="K163">
        <f>データの貼付!K161</f>
        <v>0</v>
      </c>
      <c r="L163">
        <f>データの貼付!L161</f>
        <v>0</v>
      </c>
      <c r="M163">
        <f>データの貼付!M161</f>
        <v>0</v>
      </c>
      <c r="N163">
        <f>データの貼付!N161</f>
        <v>0</v>
      </c>
      <c r="R163">
        <f t="shared" si="190"/>
        <v>0</v>
      </c>
      <c r="S163">
        <f>SUM(R$4:R163)</f>
        <v>6</v>
      </c>
      <c r="T163" t="str">
        <f t="shared" si="191"/>
        <v/>
      </c>
      <c r="W163" t="str">
        <f t="shared" si="188"/>
        <v>0_0</v>
      </c>
      <c r="X163" t="str">
        <f t="shared" si="189"/>
        <v>0_0</v>
      </c>
    </row>
    <row r="164" spans="1:24" x14ac:dyDescent="0.45">
      <c r="A164">
        <f>データの貼付!A162</f>
        <v>0</v>
      </c>
      <c r="B164">
        <f>データの貼付!B162</f>
        <v>0</v>
      </c>
      <c r="C164">
        <f>データの貼付!C162</f>
        <v>0</v>
      </c>
      <c r="D164">
        <f>データの貼付!D162</f>
        <v>0</v>
      </c>
      <c r="E164">
        <f>データの貼付!F162</f>
        <v>0</v>
      </c>
      <c r="F164">
        <f>データの貼付!E162</f>
        <v>0</v>
      </c>
      <c r="G164">
        <f>データの貼付!G162</f>
        <v>0</v>
      </c>
      <c r="H164">
        <f>データの貼付!H162</f>
        <v>0</v>
      </c>
      <c r="I164">
        <f>データの貼付!I162</f>
        <v>0</v>
      </c>
      <c r="J164">
        <f>データの貼付!J162</f>
        <v>0</v>
      </c>
      <c r="K164">
        <f>データの貼付!K162</f>
        <v>0</v>
      </c>
      <c r="L164">
        <f>データの貼付!L162</f>
        <v>0</v>
      </c>
      <c r="M164">
        <f>データの貼付!M162</f>
        <v>0</v>
      </c>
      <c r="N164">
        <f>データの貼付!N162</f>
        <v>0</v>
      </c>
      <c r="R164">
        <f t="shared" si="190"/>
        <v>0</v>
      </c>
      <c r="S164">
        <f>SUM(R$4:R164)</f>
        <v>6</v>
      </c>
      <c r="T164" t="str">
        <f t="shared" si="191"/>
        <v/>
      </c>
      <c r="W164" t="str">
        <f t="shared" si="188"/>
        <v>0_0</v>
      </c>
      <c r="X164" t="str">
        <f t="shared" si="189"/>
        <v>0_0</v>
      </c>
    </row>
    <row r="165" spans="1:24" x14ac:dyDescent="0.45">
      <c r="A165">
        <f>データの貼付!A163</f>
        <v>0</v>
      </c>
      <c r="B165">
        <f>データの貼付!B163</f>
        <v>0</v>
      </c>
      <c r="C165">
        <f>データの貼付!C163</f>
        <v>0</v>
      </c>
      <c r="D165">
        <f>データの貼付!D163</f>
        <v>0</v>
      </c>
      <c r="E165">
        <f>データの貼付!F163</f>
        <v>0</v>
      </c>
      <c r="F165">
        <f>データの貼付!E163</f>
        <v>0</v>
      </c>
      <c r="G165">
        <f>データの貼付!G163</f>
        <v>0</v>
      </c>
      <c r="H165">
        <f>データの貼付!H163</f>
        <v>0</v>
      </c>
      <c r="I165">
        <f>データの貼付!I163</f>
        <v>0</v>
      </c>
      <c r="J165">
        <f>データの貼付!J163</f>
        <v>0</v>
      </c>
      <c r="K165">
        <f>データの貼付!K163</f>
        <v>0</v>
      </c>
      <c r="L165">
        <f>データの貼付!L163</f>
        <v>0</v>
      </c>
      <c r="M165">
        <f>データの貼付!M163</f>
        <v>0</v>
      </c>
      <c r="N165">
        <f>データの貼付!N163</f>
        <v>0</v>
      </c>
      <c r="R165">
        <f t="shared" si="190"/>
        <v>0</v>
      </c>
      <c r="S165">
        <f>SUM(R$4:R165)</f>
        <v>6</v>
      </c>
      <c r="T165" t="str">
        <f t="shared" si="191"/>
        <v/>
      </c>
      <c r="W165" t="str">
        <f t="shared" si="188"/>
        <v>0_0</v>
      </c>
      <c r="X165" t="str">
        <f t="shared" si="189"/>
        <v>0_0</v>
      </c>
    </row>
    <row r="166" spans="1:24" x14ac:dyDescent="0.45">
      <c r="A166">
        <f>データの貼付!A164</f>
        <v>0</v>
      </c>
      <c r="B166">
        <f>データの貼付!B164</f>
        <v>0</v>
      </c>
      <c r="C166">
        <f>データの貼付!C164</f>
        <v>0</v>
      </c>
      <c r="D166">
        <f>データの貼付!D164</f>
        <v>0</v>
      </c>
      <c r="E166">
        <f>データの貼付!F164</f>
        <v>0</v>
      </c>
      <c r="F166">
        <f>データの貼付!E164</f>
        <v>0</v>
      </c>
      <c r="G166">
        <f>データの貼付!G164</f>
        <v>0</v>
      </c>
      <c r="H166">
        <f>データの貼付!H164</f>
        <v>0</v>
      </c>
      <c r="I166">
        <f>データの貼付!I164</f>
        <v>0</v>
      </c>
      <c r="J166">
        <f>データの貼付!J164</f>
        <v>0</v>
      </c>
      <c r="K166">
        <f>データの貼付!K164</f>
        <v>0</v>
      </c>
      <c r="L166">
        <f>データの貼付!L164</f>
        <v>0</v>
      </c>
      <c r="M166">
        <f>データの貼付!M164</f>
        <v>0</v>
      </c>
      <c r="N166">
        <f>データの貼付!N164</f>
        <v>0</v>
      </c>
      <c r="R166">
        <f t="shared" si="190"/>
        <v>0</v>
      </c>
      <c r="S166">
        <f>SUM(R$4:R166)</f>
        <v>6</v>
      </c>
      <c r="T166" t="str">
        <f t="shared" si="191"/>
        <v/>
      </c>
      <c r="W166" t="str">
        <f t="shared" si="188"/>
        <v>0_0</v>
      </c>
      <c r="X166" t="str">
        <f t="shared" si="189"/>
        <v>0_0</v>
      </c>
    </row>
    <row r="167" spans="1:24" x14ac:dyDescent="0.45">
      <c r="A167">
        <f>データの貼付!A165</f>
        <v>0</v>
      </c>
      <c r="B167">
        <f>データの貼付!B165</f>
        <v>0</v>
      </c>
      <c r="C167">
        <f>データの貼付!C165</f>
        <v>0</v>
      </c>
      <c r="D167">
        <f>データの貼付!D165</f>
        <v>0</v>
      </c>
      <c r="E167">
        <f>データの貼付!F165</f>
        <v>0</v>
      </c>
      <c r="F167">
        <f>データの貼付!E165</f>
        <v>0</v>
      </c>
      <c r="G167">
        <f>データの貼付!G165</f>
        <v>0</v>
      </c>
      <c r="H167">
        <f>データの貼付!H165</f>
        <v>0</v>
      </c>
      <c r="I167">
        <f>データの貼付!I165</f>
        <v>0</v>
      </c>
      <c r="J167">
        <f>データの貼付!J165</f>
        <v>0</v>
      </c>
      <c r="K167">
        <f>データの貼付!K165</f>
        <v>0</v>
      </c>
      <c r="L167">
        <f>データの貼付!L165</f>
        <v>0</v>
      </c>
      <c r="M167">
        <f>データの貼付!M165</f>
        <v>0</v>
      </c>
      <c r="N167">
        <f>データの貼付!N165</f>
        <v>0</v>
      </c>
      <c r="R167">
        <f t="shared" si="190"/>
        <v>0</v>
      </c>
      <c r="S167">
        <f>SUM(R$4:R167)</f>
        <v>6</v>
      </c>
      <c r="T167" t="str">
        <f t="shared" si="191"/>
        <v/>
      </c>
      <c r="W167" t="str">
        <f t="shared" si="188"/>
        <v>0_0</v>
      </c>
      <c r="X167" t="str">
        <f t="shared" si="189"/>
        <v>0_0</v>
      </c>
    </row>
    <row r="168" spans="1:24" x14ac:dyDescent="0.45">
      <c r="A168">
        <f>データの貼付!A166</f>
        <v>0</v>
      </c>
      <c r="B168">
        <f>データの貼付!B166</f>
        <v>0</v>
      </c>
      <c r="C168">
        <f>データの貼付!C166</f>
        <v>0</v>
      </c>
      <c r="D168">
        <f>データの貼付!D166</f>
        <v>0</v>
      </c>
      <c r="E168">
        <f>データの貼付!F166</f>
        <v>0</v>
      </c>
      <c r="F168">
        <f>データの貼付!E166</f>
        <v>0</v>
      </c>
      <c r="G168">
        <f>データの貼付!G166</f>
        <v>0</v>
      </c>
      <c r="H168">
        <f>データの貼付!H166</f>
        <v>0</v>
      </c>
      <c r="I168">
        <f>データの貼付!I166</f>
        <v>0</v>
      </c>
      <c r="J168">
        <f>データの貼付!J166</f>
        <v>0</v>
      </c>
      <c r="K168">
        <f>データの貼付!K166</f>
        <v>0</v>
      </c>
      <c r="L168">
        <f>データの貼付!L166</f>
        <v>0</v>
      </c>
      <c r="M168">
        <f>データの貼付!M166</f>
        <v>0</v>
      </c>
      <c r="N168">
        <f>データの貼付!N166</f>
        <v>0</v>
      </c>
      <c r="R168">
        <f t="shared" si="190"/>
        <v>0</v>
      </c>
      <c r="S168">
        <f>SUM(R$4:R168)</f>
        <v>6</v>
      </c>
      <c r="T168" t="str">
        <f t="shared" si="191"/>
        <v/>
      </c>
      <c r="W168" t="str">
        <f t="shared" si="188"/>
        <v>0_0</v>
      </c>
      <c r="X168" t="str">
        <f t="shared" si="189"/>
        <v>0_0</v>
      </c>
    </row>
    <row r="169" spans="1:24" x14ac:dyDescent="0.45">
      <c r="A169">
        <f>データの貼付!A167</f>
        <v>0</v>
      </c>
      <c r="B169">
        <f>データの貼付!B167</f>
        <v>0</v>
      </c>
      <c r="C169">
        <f>データの貼付!C167</f>
        <v>0</v>
      </c>
      <c r="D169">
        <f>データの貼付!D167</f>
        <v>0</v>
      </c>
      <c r="E169">
        <f>データの貼付!F167</f>
        <v>0</v>
      </c>
      <c r="F169">
        <f>データの貼付!E167</f>
        <v>0</v>
      </c>
      <c r="G169">
        <f>データの貼付!G167</f>
        <v>0</v>
      </c>
      <c r="H169">
        <f>データの貼付!H167</f>
        <v>0</v>
      </c>
      <c r="I169">
        <f>データの貼付!I167</f>
        <v>0</v>
      </c>
      <c r="J169">
        <f>データの貼付!J167</f>
        <v>0</v>
      </c>
      <c r="K169">
        <f>データの貼付!K167</f>
        <v>0</v>
      </c>
      <c r="L169">
        <f>データの貼付!L167</f>
        <v>0</v>
      </c>
      <c r="M169">
        <f>データの貼付!M167</f>
        <v>0</v>
      </c>
      <c r="N169">
        <f>データの貼付!N167</f>
        <v>0</v>
      </c>
      <c r="R169">
        <f t="shared" si="190"/>
        <v>0</v>
      </c>
      <c r="S169">
        <f>SUM(R$4:R169)</f>
        <v>6</v>
      </c>
      <c r="T169" t="str">
        <f t="shared" si="191"/>
        <v/>
      </c>
      <c r="W169" t="str">
        <f t="shared" si="188"/>
        <v>0_0</v>
      </c>
      <c r="X169" t="str">
        <f t="shared" si="189"/>
        <v>0_0</v>
      </c>
    </row>
    <row r="170" spans="1:24" x14ac:dyDescent="0.45">
      <c r="A170">
        <f>データの貼付!A168</f>
        <v>0</v>
      </c>
      <c r="B170">
        <f>データの貼付!B168</f>
        <v>0</v>
      </c>
      <c r="C170">
        <f>データの貼付!C168</f>
        <v>0</v>
      </c>
      <c r="D170">
        <f>データの貼付!D168</f>
        <v>0</v>
      </c>
      <c r="E170">
        <f>データの貼付!F168</f>
        <v>0</v>
      </c>
      <c r="F170">
        <f>データの貼付!E168</f>
        <v>0</v>
      </c>
      <c r="G170">
        <f>データの貼付!G168</f>
        <v>0</v>
      </c>
      <c r="H170">
        <f>データの貼付!H168</f>
        <v>0</v>
      </c>
      <c r="I170">
        <f>データの貼付!I168</f>
        <v>0</v>
      </c>
      <c r="J170">
        <f>データの貼付!J168</f>
        <v>0</v>
      </c>
      <c r="K170">
        <f>データの貼付!K168</f>
        <v>0</v>
      </c>
      <c r="L170">
        <f>データの貼付!L168</f>
        <v>0</v>
      </c>
      <c r="M170">
        <f>データの貼付!M168</f>
        <v>0</v>
      </c>
      <c r="N170">
        <f>データの貼付!N168</f>
        <v>0</v>
      </c>
      <c r="R170">
        <f t="shared" si="190"/>
        <v>0</v>
      </c>
      <c r="S170">
        <f>SUM(R$4:R170)</f>
        <v>6</v>
      </c>
      <c r="T170" t="str">
        <f t="shared" si="191"/>
        <v/>
      </c>
      <c r="W170" t="str">
        <f t="shared" si="188"/>
        <v>0_0</v>
      </c>
      <c r="X170" t="str">
        <f t="shared" si="189"/>
        <v>0_0</v>
      </c>
    </row>
    <row r="171" spans="1:24" x14ac:dyDescent="0.45">
      <c r="A171">
        <f>データの貼付!A169</f>
        <v>0</v>
      </c>
      <c r="B171">
        <f>データの貼付!B169</f>
        <v>0</v>
      </c>
      <c r="C171">
        <f>データの貼付!C169</f>
        <v>0</v>
      </c>
      <c r="D171">
        <f>データの貼付!D169</f>
        <v>0</v>
      </c>
      <c r="E171">
        <f>データの貼付!F169</f>
        <v>0</v>
      </c>
      <c r="F171">
        <f>データの貼付!E169</f>
        <v>0</v>
      </c>
      <c r="G171">
        <f>データの貼付!G169</f>
        <v>0</v>
      </c>
      <c r="H171">
        <f>データの貼付!H169</f>
        <v>0</v>
      </c>
      <c r="I171">
        <f>データの貼付!I169</f>
        <v>0</v>
      </c>
      <c r="J171">
        <f>データの貼付!J169</f>
        <v>0</v>
      </c>
      <c r="K171">
        <f>データの貼付!K169</f>
        <v>0</v>
      </c>
      <c r="L171">
        <f>データの貼付!L169</f>
        <v>0</v>
      </c>
      <c r="M171">
        <f>データの貼付!M169</f>
        <v>0</v>
      </c>
      <c r="N171">
        <f>データの貼付!N169</f>
        <v>0</v>
      </c>
      <c r="R171">
        <f t="shared" si="190"/>
        <v>0</v>
      </c>
      <c r="S171">
        <f>SUM(R$4:R171)</f>
        <v>6</v>
      </c>
      <c r="T171" t="str">
        <f t="shared" si="191"/>
        <v/>
      </c>
      <c r="W171" t="str">
        <f t="shared" si="188"/>
        <v>0_0</v>
      </c>
      <c r="X171" t="str">
        <f t="shared" si="189"/>
        <v>0_0</v>
      </c>
    </row>
    <row r="172" spans="1:24" x14ac:dyDescent="0.45">
      <c r="A172">
        <f>データの貼付!A170</f>
        <v>0</v>
      </c>
      <c r="B172">
        <f>データの貼付!B170</f>
        <v>0</v>
      </c>
      <c r="C172">
        <f>データの貼付!C170</f>
        <v>0</v>
      </c>
      <c r="D172">
        <f>データの貼付!D170</f>
        <v>0</v>
      </c>
      <c r="E172">
        <f>データの貼付!F170</f>
        <v>0</v>
      </c>
      <c r="F172">
        <f>データの貼付!E170</f>
        <v>0</v>
      </c>
      <c r="G172">
        <f>データの貼付!G170</f>
        <v>0</v>
      </c>
      <c r="H172">
        <f>データの貼付!H170</f>
        <v>0</v>
      </c>
      <c r="I172">
        <f>データの貼付!I170</f>
        <v>0</v>
      </c>
      <c r="J172">
        <f>データの貼付!J170</f>
        <v>0</v>
      </c>
      <c r="K172">
        <f>データの貼付!K170</f>
        <v>0</v>
      </c>
      <c r="L172">
        <f>データの貼付!L170</f>
        <v>0</v>
      </c>
      <c r="M172">
        <f>データの貼付!M170</f>
        <v>0</v>
      </c>
      <c r="N172">
        <f>データの貼付!N170</f>
        <v>0</v>
      </c>
      <c r="R172">
        <f t="shared" si="190"/>
        <v>0</v>
      </c>
      <c r="S172">
        <f>SUM(R$4:R172)</f>
        <v>6</v>
      </c>
      <c r="T172" t="str">
        <f t="shared" si="191"/>
        <v/>
      </c>
      <c r="W172" t="str">
        <f t="shared" si="188"/>
        <v>0_0</v>
      </c>
      <c r="X172" t="str">
        <f t="shared" si="189"/>
        <v>0_0</v>
      </c>
    </row>
    <row r="173" spans="1:24" x14ac:dyDescent="0.45">
      <c r="A173">
        <f>データの貼付!A171</f>
        <v>0</v>
      </c>
      <c r="B173">
        <f>データの貼付!B171</f>
        <v>0</v>
      </c>
      <c r="C173">
        <f>データの貼付!C171</f>
        <v>0</v>
      </c>
      <c r="D173">
        <f>データの貼付!D171</f>
        <v>0</v>
      </c>
      <c r="E173">
        <f>データの貼付!F171</f>
        <v>0</v>
      </c>
      <c r="F173">
        <f>データの貼付!E171</f>
        <v>0</v>
      </c>
      <c r="G173">
        <f>データの貼付!G171</f>
        <v>0</v>
      </c>
      <c r="H173">
        <f>データの貼付!H171</f>
        <v>0</v>
      </c>
      <c r="I173">
        <f>データの貼付!I171</f>
        <v>0</v>
      </c>
      <c r="J173">
        <f>データの貼付!J171</f>
        <v>0</v>
      </c>
      <c r="K173">
        <f>データの貼付!K171</f>
        <v>0</v>
      </c>
      <c r="L173">
        <f>データの貼付!L171</f>
        <v>0</v>
      </c>
      <c r="M173">
        <f>データの貼付!M171</f>
        <v>0</v>
      </c>
      <c r="N173">
        <f>データの貼付!N171</f>
        <v>0</v>
      </c>
      <c r="R173">
        <f t="shared" si="190"/>
        <v>0</v>
      </c>
      <c r="S173">
        <f>SUM(R$4:R173)</f>
        <v>6</v>
      </c>
      <c r="T173" t="str">
        <f t="shared" si="191"/>
        <v/>
      </c>
      <c r="W173" t="str">
        <f t="shared" si="188"/>
        <v>0_0</v>
      </c>
      <c r="X173" t="str">
        <f t="shared" si="189"/>
        <v>0_0</v>
      </c>
    </row>
    <row r="174" spans="1:24" x14ac:dyDescent="0.45">
      <c r="A174">
        <f>データの貼付!A172</f>
        <v>0</v>
      </c>
      <c r="B174">
        <f>データの貼付!B172</f>
        <v>0</v>
      </c>
      <c r="C174">
        <f>データの貼付!C172</f>
        <v>0</v>
      </c>
      <c r="D174">
        <f>データの貼付!D172</f>
        <v>0</v>
      </c>
      <c r="E174">
        <f>データの貼付!F172</f>
        <v>0</v>
      </c>
      <c r="F174">
        <f>データの貼付!E172</f>
        <v>0</v>
      </c>
      <c r="G174">
        <f>データの貼付!G172</f>
        <v>0</v>
      </c>
      <c r="H174">
        <f>データの貼付!H172</f>
        <v>0</v>
      </c>
      <c r="I174">
        <f>データの貼付!I172</f>
        <v>0</v>
      </c>
      <c r="J174">
        <f>データの貼付!J172</f>
        <v>0</v>
      </c>
      <c r="K174">
        <f>データの貼付!K172</f>
        <v>0</v>
      </c>
      <c r="L174">
        <f>データの貼付!L172</f>
        <v>0</v>
      </c>
      <c r="M174">
        <f>データの貼付!M172</f>
        <v>0</v>
      </c>
      <c r="N174">
        <f>データの貼付!N172</f>
        <v>0</v>
      </c>
      <c r="R174">
        <f t="shared" si="190"/>
        <v>0</v>
      </c>
      <c r="S174">
        <f>SUM(R$4:R174)</f>
        <v>6</v>
      </c>
      <c r="T174" t="str">
        <f t="shared" si="191"/>
        <v/>
      </c>
      <c r="W174" t="str">
        <f t="shared" si="188"/>
        <v>0_0</v>
      </c>
      <c r="X174" t="str">
        <f t="shared" si="189"/>
        <v>0_0</v>
      </c>
    </row>
    <row r="175" spans="1:24" x14ac:dyDescent="0.45">
      <c r="A175">
        <f>データの貼付!A173</f>
        <v>0</v>
      </c>
      <c r="B175">
        <f>データの貼付!B173</f>
        <v>0</v>
      </c>
      <c r="C175">
        <f>データの貼付!C173</f>
        <v>0</v>
      </c>
      <c r="D175">
        <f>データの貼付!D173</f>
        <v>0</v>
      </c>
      <c r="E175">
        <f>データの貼付!F173</f>
        <v>0</v>
      </c>
      <c r="F175">
        <f>データの貼付!E173</f>
        <v>0</v>
      </c>
      <c r="G175">
        <f>データの貼付!G173</f>
        <v>0</v>
      </c>
      <c r="H175">
        <f>データの貼付!H173</f>
        <v>0</v>
      </c>
      <c r="I175">
        <f>データの貼付!I173</f>
        <v>0</v>
      </c>
      <c r="J175">
        <f>データの貼付!J173</f>
        <v>0</v>
      </c>
      <c r="K175">
        <f>データの貼付!K173</f>
        <v>0</v>
      </c>
      <c r="L175">
        <f>データの貼付!L173</f>
        <v>0</v>
      </c>
      <c r="M175">
        <f>データの貼付!M173</f>
        <v>0</v>
      </c>
      <c r="N175">
        <f>データの貼付!N173</f>
        <v>0</v>
      </c>
      <c r="R175">
        <f t="shared" si="190"/>
        <v>0</v>
      </c>
      <c r="S175">
        <f>SUM(R$4:R175)</f>
        <v>6</v>
      </c>
      <c r="T175" t="str">
        <f t="shared" si="191"/>
        <v/>
      </c>
      <c r="W175" t="str">
        <f t="shared" si="188"/>
        <v>0_0</v>
      </c>
      <c r="X175" t="str">
        <f t="shared" si="189"/>
        <v>0_0</v>
      </c>
    </row>
    <row r="176" spans="1:24" x14ac:dyDescent="0.45">
      <c r="A176">
        <f>データの貼付!A174</f>
        <v>0</v>
      </c>
      <c r="B176">
        <f>データの貼付!B174</f>
        <v>0</v>
      </c>
      <c r="C176">
        <f>データの貼付!C174</f>
        <v>0</v>
      </c>
      <c r="D176">
        <f>データの貼付!D174</f>
        <v>0</v>
      </c>
      <c r="E176">
        <f>データの貼付!F174</f>
        <v>0</v>
      </c>
      <c r="F176">
        <f>データの貼付!E174</f>
        <v>0</v>
      </c>
      <c r="G176">
        <f>データの貼付!G174</f>
        <v>0</v>
      </c>
      <c r="H176">
        <f>データの貼付!H174</f>
        <v>0</v>
      </c>
      <c r="I176">
        <f>データの貼付!I174</f>
        <v>0</v>
      </c>
      <c r="J176">
        <f>データの貼付!J174</f>
        <v>0</v>
      </c>
      <c r="K176">
        <f>データの貼付!K174</f>
        <v>0</v>
      </c>
      <c r="L176">
        <f>データの貼付!L174</f>
        <v>0</v>
      </c>
      <c r="M176">
        <f>データの貼付!M174</f>
        <v>0</v>
      </c>
      <c r="N176">
        <f>データの貼付!N174</f>
        <v>0</v>
      </c>
      <c r="R176">
        <f t="shared" si="190"/>
        <v>0</v>
      </c>
      <c r="S176">
        <f>SUM(R$4:R176)</f>
        <v>6</v>
      </c>
      <c r="T176" t="str">
        <f t="shared" si="191"/>
        <v/>
      </c>
      <c r="W176" t="str">
        <f t="shared" si="188"/>
        <v>0_0</v>
      </c>
      <c r="X176" t="str">
        <f t="shared" si="189"/>
        <v>0_0</v>
      </c>
    </row>
    <row r="177" spans="1:24" x14ac:dyDescent="0.45">
      <c r="A177">
        <f>データの貼付!A175</f>
        <v>0</v>
      </c>
      <c r="B177">
        <f>データの貼付!B175</f>
        <v>0</v>
      </c>
      <c r="C177">
        <f>データの貼付!C175</f>
        <v>0</v>
      </c>
      <c r="D177">
        <f>データの貼付!D175</f>
        <v>0</v>
      </c>
      <c r="E177">
        <f>データの貼付!F175</f>
        <v>0</v>
      </c>
      <c r="F177">
        <f>データの貼付!E175</f>
        <v>0</v>
      </c>
      <c r="G177">
        <f>データの貼付!G175</f>
        <v>0</v>
      </c>
      <c r="H177">
        <f>データの貼付!H175</f>
        <v>0</v>
      </c>
      <c r="I177">
        <f>データの貼付!I175</f>
        <v>0</v>
      </c>
      <c r="J177">
        <f>データの貼付!J175</f>
        <v>0</v>
      </c>
      <c r="K177">
        <f>データの貼付!K175</f>
        <v>0</v>
      </c>
      <c r="L177">
        <f>データの貼付!L175</f>
        <v>0</v>
      </c>
      <c r="M177">
        <f>データの貼付!M175</f>
        <v>0</v>
      </c>
      <c r="N177">
        <f>データの貼付!N175</f>
        <v>0</v>
      </c>
      <c r="R177">
        <f t="shared" si="190"/>
        <v>0</v>
      </c>
      <c r="S177">
        <f>SUM(R$4:R177)</f>
        <v>6</v>
      </c>
      <c r="T177" t="str">
        <f t="shared" si="191"/>
        <v/>
      </c>
      <c r="W177" t="str">
        <f t="shared" si="188"/>
        <v>0_0</v>
      </c>
      <c r="X177" t="str">
        <f t="shared" si="189"/>
        <v>0_0</v>
      </c>
    </row>
    <row r="178" spans="1:24" x14ac:dyDescent="0.45">
      <c r="A178">
        <f>データの貼付!A176</f>
        <v>0</v>
      </c>
      <c r="B178">
        <f>データの貼付!B176</f>
        <v>0</v>
      </c>
      <c r="C178">
        <f>データの貼付!C176</f>
        <v>0</v>
      </c>
      <c r="D178">
        <f>データの貼付!D176</f>
        <v>0</v>
      </c>
      <c r="E178">
        <f>データの貼付!F176</f>
        <v>0</v>
      </c>
      <c r="F178">
        <f>データの貼付!E176</f>
        <v>0</v>
      </c>
      <c r="G178">
        <f>データの貼付!G176</f>
        <v>0</v>
      </c>
      <c r="H178">
        <f>データの貼付!H176</f>
        <v>0</v>
      </c>
      <c r="I178">
        <f>データの貼付!I176</f>
        <v>0</v>
      </c>
      <c r="J178">
        <f>データの貼付!J176</f>
        <v>0</v>
      </c>
      <c r="K178">
        <f>データの貼付!K176</f>
        <v>0</v>
      </c>
      <c r="L178">
        <f>データの貼付!L176</f>
        <v>0</v>
      </c>
      <c r="M178">
        <f>データの貼付!M176</f>
        <v>0</v>
      </c>
      <c r="N178">
        <f>データの貼付!N176</f>
        <v>0</v>
      </c>
      <c r="R178">
        <f t="shared" si="190"/>
        <v>0</v>
      </c>
      <c r="S178">
        <f>SUM(R$4:R178)</f>
        <v>6</v>
      </c>
      <c r="T178" t="str">
        <f t="shared" si="191"/>
        <v/>
      </c>
      <c r="W178" t="str">
        <f t="shared" si="188"/>
        <v>0_0</v>
      </c>
      <c r="X178" t="str">
        <f t="shared" si="189"/>
        <v>0_0</v>
      </c>
    </row>
    <row r="179" spans="1:24" x14ac:dyDescent="0.45">
      <c r="A179">
        <f>データの貼付!A177</f>
        <v>0</v>
      </c>
      <c r="B179">
        <f>データの貼付!B177</f>
        <v>0</v>
      </c>
      <c r="C179">
        <f>データの貼付!C177</f>
        <v>0</v>
      </c>
      <c r="D179">
        <f>データの貼付!D177</f>
        <v>0</v>
      </c>
      <c r="E179">
        <f>データの貼付!F177</f>
        <v>0</v>
      </c>
      <c r="F179">
        <f>データの貼付!E177</f>
        <v>0</v>
      </c>
      <c r="G179">
        <f>データの貼付!G177</f>
        <v>0</v>
      </c>
      <c r="H179">
        <f>データの貼付!H177</f>
        <v>0</v>
      </c>
      <c r="I179">
        <f>データの貼付!I177</f>
        <v>0</v>
      </c>
      <c r="J179">
        <f>データの貼付!J177</f>
        <v>0</v>
      </c>
      <c r="K179">
        <f>データの貼付!K177</f>
        <v>0</v>
      </c>
      <c r="L179">
        <f>データの貼付!L177</f>
        <v>0</v>
      </c>
      <c r="M179">
        <f>データの貼付!M177</f>
        <v>0</v>
      </c>
      <c r="N179">
        <f>データの貼付!N177</f>
        <v>0</v>
      </c>
      <c r="R179">
        <f t="shared" si="190"/>
        <v>0</v>
      </c>
      <c r="S179">
        <f>SUM(R$4:R179)</f>
        <v>6</v>
      </c>
      <c r="T179" t="str">
        <f t="shared" si="191"/>
        <v/>
      </c>
      <c r="W179" t="str">
        <f t="shared" si="188"/>
        <v>0_0</v>
      </c>
      <c r="X179" t="str">
        <f t="shared" si="189"/>
        <v>0_0</v>
      </c>
    </row>
    <row r="180" spans="1:24" x14ac:dyDescent="0.45">
      <c r="A180">
        <f>データの貼付!A178</f>
        <v>0</v>
      </c>
      <c r="B180">
        <f>データの貼付!B178</f>
        <v>0</v>
      </c>
      <c r="C180">
        <f>データの貼付!C178</f>
        <v>0</v>
      </c>
      <c r="D180">
        <f>データの貼付!D178</f>
        <v>0</v>
      </c>
      <c r="E180">
        <f>データの貼付!F178</f>
        <v>0</v>
      </c>
      <c r="F180">
        <f>データの貼付!E178</f>
        <v>0</v>
      </c>
      <c r="G180">
        <f>データの貼付!G178</f>
        <v>0</v>
      </c>
      <c r="H180">
        <f>データの貼付!H178</f>
        <v>0</v>
      </c>
      <c r="I180">
        <f>データの貼付!I178</f>
        <v>0</v>
      </c>
      <c r="J180">
        <f>データの貼付!J178</f>
        <v>0</v>
      </c>
      <c r="K180">
        <f>データの貼付!K178</f>
        <v>0</v>
      </c>
      <c r="L180">
        <f>データの貼付!L178</f>
        <v>0</v>
      </c>
      <c r="M180">
        <f>データの貼付!M178</f>
        <v>0</v>
      </c>
      <c r="N180">
        <f>データの貼付!N178</f>
        <v>0</v>
      </c>
      <c r="R180">
        <f t="shared" si="190"/>
        <v>0</v>
      </c>
      <c r="S180">
        <f>SUM(R$4:R180)</f>
        <v>6</v>
      </c>
      <c r="T180" t="str">
        <f t="shared" si="191"/>
        <v/>
      </c>
      <c r="W180" t="str">
        <f t="shared" si="188"/>
        <v>0_0</v>
      </c>
      <c r="X180" t="str">
        <f t="shared" si="189"/>
        <v>0_0</v>
      </c>
    </row>
    <row r="181" spans="1:24" x14ac:dyDescent="0.45">
      <c r="A181">
        <f>データの貼付!A179</f>
        <v>0</v>
      </c>
      <c r="B181">
        <f>データの貼付!B179</f>
        <v>0</v>
      </c>
      <c r="C181">
        <f>データの貼付!C179</f>
        <v>0</v>
      </c>
      <c r="D181">
        <f>データの貼付!D179</f>
        <v>0</v>
      </c>
      <c r="E181">
        <f>データの貼付!F179</f>
        <v>0</v>
      </c>
      <c r="F181">
        <f>データの貼付!E179</f>
        <v>0</v>
      </c>
      <c r="G181">
        <f>データの貼付!G179</f>
        <v>0</v>
      </c>
      <c r="H181">
        <f>データの貼付!H179</f>
        <v>0</v>
      </c>
      <c r="I181">
        <f>データの貼付!I179</f>
        <v>0</v>
      </c>
      <c r="J181">
        <f>データの貼付!J179</f>
        <v>0</v>
      </c>
      <c r="K181">
        <f>データの貼付!K179</f>
        <v>0</v>
      </c>
      <c r="L181">
        <f>データの貼付!L179</f>
        <v>0</v>
      </c>
      <c r="M181">
        <f>データの貼付!M179</f>
        <v>0</v>
      </c>
      <c r="N181">
        <f>データの貼付!N179</f>
        <v>0</v>
      </c>
      <c r="R181">
        <f t="shared" si="190"/>
        <v>0</v>
      </c>
      <c r="S181">
        <f>SUM(R$4:R181)</f>
        <v>6</v>
      </c>
      <c r="T181" t="str">
        <f t="shared" si="191"/>
        <v/>
      </c>
      <c r="W181" t="str">
        <f t="shared" si="188"/>
        <v>0_0</v>
      </c>
      <c r="X181" t="str">
        <f t="shared" si="189"/>
        <v>0_0</v>
      </c>
    </row>
    <row r="182" spans="1:24" x14ac:dyDescent="0.45">
      <c r="A182">
        <f>データの貼付!A180</f>
        <v>0</v>
      </c>
      <c r="B182">
        <f>データの貼付!B180</f>
        <v>0</v>
      </c>
      <c r="C182">
        <f>データの貼付!C180</f>
        <v>0</v>
      </c>
      <c r="D182">
        <f>データの貼付!D180</f>
        <v>0</v>
      </c>
      <c r="E182">
        <f>データの貼付!F180</f>
        <v>0</v>
      </c>
      <c r="F182">
        <f>データの貼付!E180</f>
        <v>0</v>
      </c>
      <c r="G182">
        <f>データの貼付!G180</f>
        <v>0</v>
      </c>
      <c r="H182">
        <f>データの貼付!H180</f>
        <v>0</v>
      </c>
      <c r="I182">
        <f>データの貼付!I180</f>
        <v>0</v>
      </c>
      <c r="J182">
        <f>データの貼付!J180</f>
        <v>0</v>
      </c>
      <c r="K182">
        <f>データの貼付!K180</f>
        <v>0</v>
      </c>
      <c r="L182">
        <f>データの貼付!L180</f>
        <v>0</v>
      </c>
      <c r="M182">
        <f>データの貼付!M180</f>
        <v>0</v>
      </c>
      <c r="N182">
        <f>データの貼付!N180</f>
        <v>0</v>
      </c>
      <c r="R182">
        <f t="shared" si="190"/>
        <v>0</v>
      </c>
      <c r="S182">
        <f>SUM(R$4:R182)</f>
        <v>6</v>
      </c>
      <c r="T182" t="str">
        <f t="shared" si="191"/>
        <v/>
      </c>
      <c r="W182" t="str">
        <f t="shared" si="188"/>
        <v>0_0</v>
      </c>
      <c r="X182" t="str">
        <f t="shared" si="189"/>
        <v>0_0</v>
      </c>
    </row>
    <row r="183" spans="1:24" x14ac:dyDescent="0.45">
      <c r="A183">
        <f>データの貼付!A181</f>
        <v>0</v>
      </c>
      <c r="B183">
        <f>データの貼付!B181</f>
        <v>0</v>
      </c>
      <c r="C183">
        <f>データの貼付!C181</f>
        <v>0</v>
      </c>
      <c r="D183">
        <f>データの貼付!D181</f>
        <v>0</v>
      </c>
      <c r="E183">
        <f>データの貼付!F181</f>
        <v>0</v>
      </c>
      <c r="F183">
        <f>データの貼付!E181</f>
        <v>0</v>
      </c>
      <c r="G183">
        <f>データの貼付!G181</f>
        <v>0</v>
      </c>
      <c r="H183">
        <f>データの貼付!H181</f>
        <v>0</v>
      </c>
      <c r="I183">
        <f>データの貼付!I181</f>
        <v>0</v>
      </c>
      <c r="J183">
        <f>データの貼付!J181</f>
        <v>0</v>
      </c>
      <c r="K183">
        <f>データの貼付!K181</f>
        <v>0</v>
      </c>
      <c r="L183">
        <f>データの貼付!L181</f>
        <v>0</v>
      </c>
      <c r="M183">
        <f>データの貼付!M181</f>
        <v>0</v>
      </c>
      <c r="N183">
        <f>データの貼付!N181</f>
        <v>0</v>
      </c>
      <c r="R183">
        <f t="shared" si="190"/>
        <v>0</v>
      </c>
      <c r="S183">
        <f>SUM(R$4:R183)</f>
        <v>6</v>
      </c>
      <c r="T183" t="str">
        <f t="shared" si="191"/>
        <v/>
      </c>
      <c r="W183" t="str">
        <f t="shared" si="188"/>
        <v>0_0</v>
      </c>
      <c r="X183" t="str">
        <f t="shared" si="189"/>
        <v>0_0</v>
      </c>
    </row>
    <row r="184" spans="1:24" x14ac:dyDescent="0.45">
      <c r="A184">
        <f>データの貼付!A182</f>
        <v>0</v>
      </c>
      <c r="B184">
        <f>データの貼付!B182</f>
        <v>0</v>
      </c>
      <c r="C184">
        <f>データの貼付!C182</f>
        <v>0</v>
      </c>
      <c r="D184">
        <f>データの貼付!D182</f>
        <v>0</v>
      </c>
      <c r="E184">
        <f>データの貼付!F182</f>
        <v>0</v>
      </c>
      <c r="F184">
        <f>データの貼付!E182</f>
        <v>0</v>
      </c>
      <c r="G184">
        <f>データの貼付!G182</f>
        <v>0</v>
      </c>
      <c r="H184">
        <f>データの貼付!H182</f>
        <v>0</v>
      </c>
      <c r="I184">
        <f>データの貼付!I182</f>
        <v>0</v>
      </c>
      <c r="J184">
        <f>データの貼付!J182</f>
        <v>0</v>
      </c>
      <c r="K184">
        <f>データの貼付!K182</f>
        <v>0</v>
      </c>
      <c r="L184">
        <f>データの貼付!L182</f>
        <v>0</v>
      </c>
      <c r="M184">
        <f>データの貼付!M182</f>
        <v>0</v>
      </c>
      <c r="N184">
        <f>データの貼付!N182</f>
        <v>0</v>
      </c>
      <c r="R184">
        <f t="shared" si="190"/>
        <v>0</v>
      </c>
      <c r="S184">
        <f>SUM(R$4:R184)</f>
        <v>6</v>
      </c>
      <c r="T184" t="str">
        <f t="shared" si="191"/>
        <v/>
      </c>
      <c r="W184" t="str">
        <f t="shared" si="188"/>
        <v>0_0</v>
      </c>
      <c r="X184" t="str">
        <f t="shared" si="189"/>
        <v>0_0</v>
      </c>
    </row>
    <row r="185" spans="1:24" x14ac:dyDescent="0.45">
      <c r="A185">
        <f>データの貼付!A183</f>
        <v>0</v>
      </c>
      <c r="B185">
        <f>データの貼付!B183</f>
        <v>0</v>
      </c>
      <c r="C185">
        <f>データの貼付!C183</f>
        <v>0</v>
      </c>
      <c r="D185">
        <f>データの貼付!D183</f>
        <v>0</v>
      </c>
      <c r="E185">
        <f>データの貼付!F183</f>
        <v>0</v>
      </c>
      <c r="F185">
        <f>データの貼付!E183</f>
        <v>0</v>
      </c>
      <c r="G185">
        <f>データの貼付!G183</f>
        <v>0</v>
      </c>
      <c r="H185">
        <f>データの貼付!H183</f>
        <v>0</v>
      </c>
      <c r="I185">
        <f>データの貼付!I183</f>
        <v>0</v>
      </c>
      <c r="J185">
        <f>データの貼付!J183</f>
        <v>0</v>
      </c>
      <c r="K185">
        <f>データの貼付!K183</f>
        <v>0</v>
      </c>
      <c r="L185">
        <f>データの貼付!L183</f>
        <v>0</v>
      </c>
      <c r="M185">
        <f>データの貼付!M183</f>
        <v>0</v>
      </c>
      <c r="N185">
        <f>データの貼付!N183</f>
        <v>0</v>
      </c>
      <c r="R185">
        <f t="shared" si="190"/>
        <v>0</v>
      </c>
      <c r="S185">
        <f>SUM(R$4:R185)</f>
        <v>6</v>
      </c>
      <c r="T185" t="str">
        <f t="shared" si="191"/>
        <v/>
      </c>
      <c r="W185" t="str">
        <f t="shared" si="188"/>
        <v>0_0</v>
      </c>
      <c r="X185" t="str">
        <f t="shared" si="189"/>
        <v>0_0</v>
      </c>
    </row>
    <row r="186" spans="1:24" x14ac:dyDescent="0.45">
      <c r="A186">
        <f>データの貼付!A184</f>
        <v>0</v>
      </c>
      <c r="B186">
        <f>データの貼付!B184</f>
        <v>0</v>
      </c>
      <c r="C186">
        <f>データの貼付!C184</f>
        <v>0</v>
      </c>
      <c r="D186">
        <f>データの貼付!D184</f>
        <v>0</v>
      </c>
      <c r="E186">
        <f>データの貼付!F184</f>
        <v>0</v>
      </c>
      <c r="F186">
        <f>データの貼付!E184</f>
        <v>0</v>
      </c>
      <c r="G186">
        <f>データの貼付!G184</f>
        <v>0</v>
      </c>
      <c r="H186">
        <f>データの貼付!H184</f>
        <v>0</v>
      </c>
      <c r="I186">
        <f>データの貼付!I184</f>
        <v>0</v>
      </c>
      <c r="J186">
        <f>データの貼付!J184</f>
        <v>0</v>
      </c>
      <c r="K186">
        <f>データの貼付!K184</f>
        <v>0</v>
      </c>
      <c r="L186">
        <f>データの貼付!L184</f>
        <v>0</v>
      </c>
      <c r="M186">
        <f>データの貼付!M184</f>
        <v>0</v>
      </c>
      <c r="N186">
        <f>データの貼付!N184</f>
        <v>0</v>
      </c>
      <c r="R186">
        <f t="shared" si="190"/>
        <v>0</v>
      </c>
      <c r="S186">
        <f>SUM(R$4:R186)</f>
        <v>6</v>
      </c>
      <c r="T186" t="str">
        <f t="shared" si="191"/>
        <v/>
      </c>
      <c r="W186" t="str">
        <f t="shared" si="188"/>
        <v>0_0</v>
      </c>
      <c r="X186" t="str">
        <f t="shared" si="189"/>
        <v>0_0</v>
      </c>
    </row>
    <row r="187" spans="1:24" x14ac:dyDescent="0.45">
      <c r="A187">
        <f>データの貼付!A185</f>
        <v>0</v>
      </c>
      <c r="B187">
        <f>データの貼付!B185</f>
        <v>0</v>
      </c>
      <c r="C187">
        <f>データの貼付!C185</f>
        <v>0</v>
      </c>
      <c r="D187">
        <f>データの貼付!D185</f>
        <v>0</v>
      </c>
      <c r="E187">
        <f>データの貼付!F185</f>
        <v>0</v>
      </c>
      <c r="F187">
        <f>データの貼付!E185</f>
        <v>0</v>
      </c>
      <c r="G187">
        <f>データの貼付!G185</f>
        <v>0</v>
      </c>
      <c r="H187">
        <f>データの貼付!H185</f>
        <v>0</v>
      </c>
      <c r="I187">
        <f>データの貼付!I185</f>
        <v>0</v>
      </c>
      <c r="J187">
        <f>データの貼付!J185</f>
        <v>0</v>
      </c>
      <c r="K187">
        <f>データの貼付!K185</f>
        <v>0</v>
      </c>
      <c r="L187">
        <f>データの貼付!L185</f>
        <v>0</v>
      </c>
      <c r="M187">
        <f>データの貼付!M185</f>
        <v>0</v>
      </c>
      <c r="N187">
        <f>データの貼付!N185</f>
        <v>0</v>
      </c>
      <c r="R187">
        <f t="shared" si="190"/>
        <v>0</v>
      </c>
      <c r="S187">
        <f>SUM(R$4:R187)</f>
        <v>6</v>
      </c>
      <c r="T187" t="str">
        <f t="shared" si="191"/>
        <v/>
      </c>
      <c r="W187" t="str">
        <f t="shared" si="188"/>
        <v>0_0</v>
      </c>
      <c r="X187" t="str">
        <f t="shared" si="189"/>
        <v>0_0</v>
      </c>
    </row>
    <row r="188" spans="1:24" x14ac:dyDescent="0.45">
      <c r="A188">
        <f>データの貼付!A186</f>
        <v>0</v>
      </c>
      <c r="B188">
        <f>データの貼付!B186</f>
        <v>0</v>
      </c>
      <c r="C188">
        <f>データの貼付!C186</f>
        <v>0</v>
      </c>
      <c r="D188">
        <f>データの貼付!D186</f>
        <v>0</v>
      </c>
      <c r="E188">
        <f>データの貼付!F186</f>
        <v>0</v>
      </c>
      <c r="F188">
        <f>データの貼付!E186</f>
        <v>0</v>
      </c>
      <c r="G188">
        <f>データの貼付!G186</f>
        <v>0</v>
      </c>
      <c r="H188">
        <f>データの貼付!H186</f>
        <v>0</v>
      </c>
      <c r="I188">
        <f>データの貼付!I186</f>
        <v>0</v>
      </c>
      <c r="J188">
        <f>データの貼付!J186</f>
        <v>0</v>
      </c>
      <c r="K188">
        <f>データの貼付!K186</f>
        <v>0</v>
      </c>
      <c r="L188">
        <f>データの貼付!L186</f>
        <v>0</v>
      </c>
      <c r="M188">
        <f>データの貼付!M186</f>
        <v>0</v>
      </c>
      <c r="N188">
        <f>データの貼付!N186</f>
        <v>0</v>
      </c>
      <c r="R188">
        <f t="shared" si="190"/>
        <v>0</v>
      </c>
      <c r="S188">
        <f>SUM(R$4:R188)</f>
        <v>6</v>
      </c>
      <c r="T188" t="str">
        <f t="shared" si="191"/>
        <v/>
      </c>
      <c r="W188" t="str">
        <f t="shared" si="188"/>
        <v>0_0</v>
      </c>
      <c r="X188" t="str">
        <f t="shared" si="189"/>
        <v>0_0</v>
      </c>
    </row>
    <row r="189" spans="1:24" x14ac:dyDescent="0.45">
      <c r="A189">
        <f>データの貼付!A187</f>
        <v>0</v>
      </c>
      <c r="B189">
        <f>データの貼付!B187</f>
        <v>0</v>
      </c>
      <c r="C189">
        <f>データの貼付!C187</f>
        <v>0</v>
      </c>
      <c r="D189">
        <f>データの貼付!D187</f>
        <v>0</v>
      </c>
      <c r="E189">
        <f>データの貼付!F187</f>
        <v>0</v>
      </c>
      <c r="F189">
        <f>データの貼付!E187</f>
        <v>0</v>
      </c>
      <c r="G189">
        <f>データの貼付!G187</f>
        <v>0</v>
      </c>
      <c r="H189">
        <f>データの貼付!H187</f>
        <v>0</v>
      </c>
      <c r="I189">
        <f>データの貼付!I187</f>
        <v>0</v>
      </c>
      <c r="J189">
        <f>データの貼付!J187</f>
        <v>0</v>
      </c>
      <c r="K189">
        <f>データの貼付!K187</f>
        <v>0</v>
      </c>
      <c r="L189">
        <f>データの貼付!L187</f>
        <v>0</v>
      </c>
      <c r="M189">
        <f>データの貼付!M187</f>
        <v>0</v>
      </c>
      <c r="N189">
        <f>データの貼付!N187</f>
        <v>0</v>
      </c>
      <c r="R189">
        <f t="shared" si="190"/>
        <v>0</v>
      </c>
      <c r="S189">
        <f>SUM(R$4:R189)</f>
        <v>6</v>
      </c>
      <c r="T189" t="str">
        <f t="shared" si="191"/>
        <v/>
      </c>
      <c r="W189" t="str">
        <f t="shared" si="188"/>
        <v>0_0</v>
      </c>
      <c r="X189" t="str">
        <f t="shared" si="189"/>
        <v>0_0</v>
      </c>
    </row>
    <row r="190" spans="1:24" x14ac:dyDescent="0.45">
      <c r="A190">
        <f>データの貼付!A188</f>
        <v>0</v>
      </c>
      <c r="B190">
        <f>データの貼付!B188</f>
        <v>0</v>
      </c>
      <c r="C190">
        <f>データの貼付!C188</f>
        <v>0</v>
      </c>
      <c r="D190">
        <f>データの貼付!D188</f>
        <v>0</v>
      </c>
      <c r="E190">
        <f>データの貼付!F188</f>
        <v>0</v>
      </c>
      <c r="F190">
        <f>データの貼付!E188</f>
        <v>0</v>
      </c>
      <c r="G190">
        <f>データの貼付!G188</f>
        <v>0</v>
      </c>
      <c r="H190">
        <f>データの貼付!H188</f>
        <v>0</v>
      </c>
      <c r="I190">
        <f>データの貼付!I188</f>
        <v>0</v>
      </c>
      <c r="J190">
        <f>データの貼付!J188</f>
        <v>0</v>
      </c>
      <c r="K190">
        <f>データの貼付!K188</f>
        <v>0</v>
      </c>
      <c r="L190">
        <f>データの貼付!L188</f>
        <v>0</v>
      </c>
      <c r="M190">
        <f>データの貼付!M188</f>
        <v>0</v>
      </c>
      <c r="N190">
        <f>データの貼付!N188</f>
        <v>0</v>
      </c>
      <c r="R190">
        <f t="shared" si="190"/>
        <v>0</v>
      </c>
      <c r="S190">
        <f>SUM(R$4:R190)</f>
        <v>6</v>
      </c>
      <c r="T190" t="str">
        <f t="shared" si="191"/>
        <v/>
      </c>
      <c r="W190" t="str">
        <f t="shared" si="188"/>
        <v>0_0</v>
      </c>
      <c r="X190" t="str">
        <f t="shared" si="189"/>
        <v>0_0</v>
      </c>
    </row>
    <row r="191" spans="1:24" x14ac:dyDescent="0.45">
      <c r="A191">
        <f>データの貼付!A189</f>
        <v>0</v>
      </c>
      <c r="B191">
        <f>データの貼付!B189</f>
        <v>0</v>
      </c>
      <c r="C191">
        <f>データの貼付!C189</f>
        <v>0</v>
      </c>
      <c r="D191">
        <f>データの貼付!D189</f>
        <v>0</v>
      </c>
      <c r="E191">
        <f>データの貼付!F189</f>
        <v>0</v>
      </c>
      <c r="F191">
        <f>データの貼付!E189</f>
        <v>0</v>
      </c>
      <c r="G191">
        <f>データの貼付!G189</f>
        <v>0</v>
      </c>
      <c r="H191">
        <f>データの貼付!H189</f>
        <v>0</v>
      </c>
      <c r="I191">
        <f>データの貼付!I189</f>
        <v>0</v>
      </c>
      <c r="J191">
        <f>データの貼付!J189</f>
        <v>0</v>
      </c>
      <c r="K191">
        <f>データの貼付!K189</f>
        <v>0</v>
      </c>
      <c r="L191">
        <f>データの貼付!L189</f>
        <v>0</v>
      </c>
      <c r="M191">
        <f>データの貼付!M189</f>
        <v>0</v>
      </c>
      <c r="N191">
        <f>データの貼付!N189</f>
        <v>0</v>
      </c>
      <c r="R191">
        <f t="shared" si="190"/>
        <v>0</v>
      </c>
      <c r="S191">
        <f>SUM(R$4:R191)</f>
        <v>6</v>
      </c>
      <c r="T191" t="str">
        <f t="shared" si="191"/>
        <v/>
      </c>
      <c r="W191" t="str">
        <f t="shared" si="188"/>
        <v>0_0</v>
      </c>
      <c r="X191" t="str">
        <f t="shared" si="189"/>
        <v>0_0</v>
      </c>
    </row>
    <row r="192" spans="1:24" x14ac:dyDescent="0.45">
      <c r="A192">
        <f>データの貼付!A190</f>
        <v>0</v>
      </c>
      <c r="B192">
        <f>データの貼付!B190</f>
        <v>0</v>
      </c>
      <c r="C192">
        <f>データの貼付!C190</f>
        <v>0</v>
      </c>
      <c r="D192">
        <f>データの貼付!D190</f>
        <v>0</v>
      </c>
      <c r="E192">
        <f>データの貼付!F190</f>
        <v>0</v>
      </c>
      <c r="F192">
        <f>データの貼付!E190</f>
        <v>0</v>
      </c>
      <c r="G192">
        <f>データの貼付!G190</f>
        <v>0</v>
      </c>
      <c r="H192">
        <f>データの貼付!H190</f>
        <v>0</v>
      </c>
      <c r="I192">
        <f>データの貼付!I190</f>
        <v>0</v>
      </c>
      <c r="J192">
        <f>データの貼付!J190</f>
        <v>0</v>
      </c>
      <c r="K192">
        <f>データの貼付!K190</f>
        <v>0</v>
      </c>
      <c r="L192">
        <f>データの貼付!L190</f>
        <v>0</v>
      </c>
      <c r="M192">
        <f>データの貼付!M190</f>
        <v>0</v>
      </c>
      <c r="N192">
        <f>データの貼付!N190</f>
        <v>0</v>
      </c>
      <c r="R192">
        <f t="shared" si="190"/>
        <v>0</v>
      </c>
      <c r="S192">
        <f>SUM(R$4:R192)</f>
        <v>6</v>
      </c>
      <c r="T192" t="str">
        <f t="shared" si="191"/>
        <v/>
      </c>
      <c r="W192" t="str">
        <f t="shared" si="188"/>
        <v>0_0</v>
      </c>
      <c r="X192" t="str">
        <f t="shared" si="189"/>
        <v>0_0</v>
      </c>
    </row>
    <row r="193" spans="1:24" x14ac:dyDescent="0.45">
      <c r="A193">
        <f>データの貼付!A191</f>
        <v>0</v>
      </c>
      <c r="B193">
        <f>データの貼付!B191</f>
        <v>0</v>
      </c>
      <c r="C193">
        <f>データの貼付!C191</f>
        <v>0</v>
      </c>
      <c r="D193">
        <f>データの貼付!D191</f>
        <v>0</v>
      </c>
      <c r="E193">
        <f>データの貼付!F191</f>
        <v>0</v>
      </c>
      <c r="F193">
        <f>データの貼付!E191</f>
        <v>0</v>
      </c>
      <c r="G193">
        <f>データの貼付!G191</f>
        <v>0</v>
      </c>
      <c r="H193">
        <f>データの貼付!H191</f>
        <v>0</v>
      </c>
      <c r="I193">
        <f>データの貼付!I191</f>
        <v>0</v>
      </c>
      <c r="J193">
        <f>データの貼付!J191</f>
        <v>0</v>
      </c>
      <c r="K193">
        <f>データの貼付!K191</f>
        <v>0</v>
      </c>
      <c r="L193">
        <f>データの貼付!L191</f>
        <v>0</v>
      </c>
      <c r="M193">
        <f>データの貼付!M191</f>
        <v>0</v>
      </c>
      <c r="N193">
        <f>データの貼付!N191</f>
        <v>0</v>
      </c>
      <c r="R193">
        <f t="shared" si="190"/>
        <v>0</v>
      </c>
      <c r="S193">
        <f>SUM(R$4:R193)</f>
        <v>6</v>
      </c>
      <c r="T193" t="str">
        <f t="shared" si="191"/>
        <v/>
      </c>
      <c r="W193" t="str">
        <f t="shared" si="188"/>
        <v>0_0</v>
      </c>
      <c r="X193" t="str">
        <f t="shared" si="189"/>
        <v>0_0</v>
      </c>
    </row>
    <row r="194" spans="1:24" x14ac:dyDescent="0.45">
      <c r="A194">
        <f>データの貼付!A192</f>
        <v>0</v>
      </c>
      <c r="B194">
        <f>データの貼付!B192</f>
        <v>0</v>
      </c>
      <c r="C194">
        <f>データの貼付!C192</f>
        <v>0</v>
      </c>
      <c r="D194">
        <f>データの貼付!D192</f>
        <v>0</v>
      </c>
      <c r="E194">
        <f>データの貼付!F192</f>
        <v>0</v>
      </c>
      <c r="F194">
        <f>データの貼付!E192</f>
        <v>0</v>
      </c>
      <c r="G194">
        <f>データの貼付!G192</f>
        <v>0</v>
      </c>
      <c r="H194">
        <f>データの貼付!H192</f>
        <v>0</v>
      </c>
      <c r="I194">
        <f>データの貼付!I192</f>
        <v>0</v>
      </c>
      <c r="J194">
        <f>データの貼付!J192</f>
        <v>0</v>
      </c>
      <c r="K194">
        <f>データの貼付!K192</f>
        <v>0</v>
      </c>
      <c r="L194">
        <f>データの貼付!L192</f>
        <v>0</v>
      </c>
      <c r="M194">
        <f>データの貼付!M192</f>
        <v>0</v>
      </c>
      <c r="N194">
        <f>データの貼付!N192</f>
        <v>0</v>
      </c>
      <c r="R194">
        <f t="shared" si="190"/>
        <v>0</v>
      </c>
      <c r="S194">
        <f>SUM(R$4:R194)</f>
        <v>6</v>
      </c>
      <c r="T194" t="str">
        <f t="shared" si="191"/>
        <v/>
      </c>
      <c r="W194" t="str">
        <f t="shared" si="188"/>
        <v>0_0</v>
      </c>
      <c r="X194" t="str">
        <f t="shared" si="189"/>
        <v>0_0</v>
      </c>
    </row>
    <row r="195" spans="1:24" x14ac:dyDescent="0.45">
      <c r="A195">
        <f>データの貼付!A193</f>
        <v>0</v>
      </c>
      <c r="B195">
        <f>データの貼付!B193</f>
        <v>0</v>
      </c>
      <c r="C195">
        <f>データの貼付!C193</f>
        <v>0</v>
      </c>
      <c r="D195">
        <f>データの貼付!D193</f>
        <v>0</v>
      </c>
      <c r="E195">
        <f>データの貼付!F193</f>
        <v>0</v>
      </c>
      <c r="F195">
        <f>データの貼付!E193</f>
        <v>0</v>
      </c>
      <c r="G195">
        <f>データの貼付!G193</f>
        <v>0</v>
      </c>
      <c r="H195">
        <f>データの貼付!H193</f>
        <v>0</v>
      </c>
      <c r="I195">
        <f>データの貼付!I193</f>
        <v>0</v>
      </c>
      <c r="J195">
        <f>データの貼付!J193</f>
        <v>0</v>
      </c>
      <c r="K195">
        <f>データの貼付!K193</f>
        <v>0</v>
      </c>
      <c r="L195">
        <f>データの貼付!L193</f>
        <v>0</v>
      </c>
      <c r="M195">
        <f>データの貼付!M193</f>
        <v>0</v>
      </c>
      <c r="N195">
        <f>データの貼付!N193</f>
        <v>0</v>
      </c>
      <c r="R195">
        <f t="shared" si="190"/>
        <v>0</v>
      </c>
      <c r="S195">
        <f>SUM(R$4:R195)</f>
        <v>6</v>
      </c>
      <c r="T195" t="str">
        <f t="shared" si="191"/>
        <v/>
      </c>
      <c r="W195" t="str">
        <f t="shared" si="188"/>
        <v>0_0</v>
      </c>
      <c r="X195" t="str">
        <f t="shared" si="189"/>
        <v>0_0</v>
      </c>
    </row>
    <row r="196" spans="1:24" x14ac:dyDescent="0.45">
      <c r="A196">
        <f>データの貼付!A194</f>
        <v>0</v>
      </c>
      <c r="B196">
        <f>データの貼付!B194</f>
        <v>0</v>
      </c>
      <c r="C196">
        <f>データの貼付!C194</f>
        <v>0</v>
      </c>
      <c r="D196">
        <f>データの貼付!D194</f>
        <v>0</v>
      </c>
      <c r="E196">
        <f>データの貼付!F194</f>
        <v>0</v>
      </c>
      <c r="F196">
        <f>データの貼付!E194</f>
        <v>0</v>
      </c>
      <c r="G196">
        <f>データの貼付!G194</f>
        <v>0</v>
      </c>
      <c r="H196">
        <f>データの貼付!H194</f>
        <v>0</v>
      </c>
      <c r="I196">
        <f>データの貼付!I194</f>
        <v>0</v>
      </c>
      <c r="J196">
        <f>データの貼付!J194</f>
        <v>0</v>
      </c>
      <c r="K196">
        <f>データの貼付!K194</f>
        <v>0</v>
      </c>
      <c r="L196">
        <f>データの貼付!L194</f>
        <v>0</v>
      </c>
      <c r="M196">
        <f>データの貼付!M194</f>
        <v>0</v>
      </c>
      <c r="N196">
        <f>データの貼付!N194</f>
        <v>0</v>
      </c>
      <c r="R196">
        <f t="shared" si="190"/>
        <v>0</v>
      </c>
      <c r="S196">
        <f>SUM(R$4:R196)</f>
        <v>6</v>
      </c>
      <c r="T196" t="str">
        <f t="shared" si="191"/>
        <v/>
      </c>
      <c r="W196" t="str">
        <f t="shared" ref="W196:W200" si="192">E196&amp;"_"&amp;H196</f>
        <v>0_0</v>
      </c>
      <c r="X196" t="str">
        <f t="shared" ref="X196:X200" si="193">E196&amp;"_"&amp;G196</f>
        <v>0_0</v>
      </c>
    </row>
    <row r="197" spans="1:24" x14ac:dyDescent="0.45">
      <c r="A197">
        <f>データの貼付!A195</f>
        <v>0</v>
      </c>
      <c r="B197">
        <f>データの貼付!B195</f>
        <v>0</v>
      </c>
      <c r="C197">
        <f>データの貼付!C195</f>
        <v>0</v>
      </c>
      <c r="D197">
        <f>データの貼付!D195</f>
        <v>0</v>
      </c>
      <c r="E197">
        <f>データの貼付!F195</f>
        <v>0</v>
      </c>
      <c r="F197">
        <f>データの貼付!E195</f>
        <v>0</v>
      </c>
      <c r="G197">
        <f>データの貼付!G195</f>
        <v>0</v>
      </c>
      <c r="H197">
        <f>データの貼付!H195</f>
        <v>0</v>
      </c>
      <c r="I197">
        <f>データの貼付!I195</f>
        <v>0</v>
      </c>
      <c r="J197">
        <f>データの貼付!J195</f>
        <v>0</v>
      </c>
      <c r="K197">
        <f>データの貼付!K195</f>
        <v>0</v>
      </c>
      <c r="L197">
        <f>データの貼付!L195</f>
        <v>0</v>
      </c>
      <c r="M197">
        <f>データの貼付!M195</f>
        <v>0</v>
      </c>
      <c r="N197">
        <f>データの貼付!N195</f>
        <v>0</v>
      </c>
      <c r="R197">
        <f t="shared" ref="R197:R200" si="194">(D197&lt;&gt;D196)*1</f>
        <v>0</v>
      </c>
      <c r="S197">
        <f>SUM(R$4:R197)</f>
        <v>6</v>
      </c>
      <c r="T197" t="str">
        <f t="shared" ref="T197:T200" si="195">IF(S197&lt;&gt;S198,E197,"")</f>
        <v/>
      </c>
      <c r="W197" t="str">
        <f t="shared" si="192"/>
        <v>0_0</v>
      </c>
      <c r="X197" t="str">
        <f t="shared" si="193"/>
        <v>0_0</v>
      </c>
    </row>
    <row r="198" spans="1:24" x14ac:dyDescent="0.45">
      <c r="A198">
        <f>データの貼付!A196</f>
        <v>0</v>
      </c>
      <c r="B198">
        <f>データの貼付!B196</f>
        <v>0</v>
      </c>
      <c r="C198">
        <f>データの貼付!C196</f>
        <v>0</v>
      </c>
      <c r="D198">
        <f>データの貼付!D196</f>
        <v>0</v>
      </c>
      <c r="E198">
        <f>データの貼付!F196</f>
        <v>0</v>
      </c>
      <c r="F198">
        <f>データの貼付!E196</f>
        <v>0</v>
      </c>
      <c r="G198">
        <f>データの貼付!G196</f>
        <v>0</v>
      </c>
      <c r="H198">
        <f>データの貼付!H196</f>
        <v>0</v>
      </c>
      <c r="I198">
        <f>データの貼付!I196</f>
        <v>0</v>
      </c>
      <c r="J198">
        <f>データの貼付!J196</f>
        <v>0</v>
      </c>
      <c r="K198">
        <f>データの貼付!K196</f>
        <v>0</v>
      </c>
      <c r="L198">
        <f>データの貼付!L196</f>
        <v>0</v>
      </c>
      <c r="M198">
        <f>データの貼付!M196</f>
        <v>0</v>
      </c>
      <c r="N198">
        <f>データの貼付!N196</f>
        <v>0</v>
      </c>
      <c r="R198">
        <f t="shared" si="194"/>
        <v>0</v>
      </c>
      <c r="S198">
        <f>SUM(R$4:R198)</f>
        <v>6</v>
      </c>
      <c r="T198" t="str">
        <f t="shared" si="195"/>
        <v/>
      </c>
      <c r="W198" t="str">
        <f t="shared" si="192"/>
        <v>0_0</v>
      </c>
      <c r="X198" t="str">
        <f t="shared" si="193"/>
        <v>0_0</v>
      </c>
    </row>
    <row r="199" spans="1:24" x14ac:dyDescent="0.45">
      <c r="A199">
        <f>データの貼付!A197</f>
        <v>0</v>
      </c>
      <c r="B199">
        <f>データの貼付!B197</f>
        <v>0</v>
      </c>
      <c r="C199">
        <f>データの貼付!C197</f>
        <v>0</v>
      </c>
      <c r="D199">
        <f>データの貼付!D197</f>
        <v>0</v>
      </c>
      <c r="E199">
        <f>データの貼付!F197</f>
        <v>0</v>
      </c>
      <c r="F199">
        <f>データの貼付!E197</f>
        <v>0</v>
      </c>
      <c r="G199">
        <f>データの貼付!G197</f>
        <v>0</v>
      </c>
      <c r="H199">
        <f>データの貼付!H197</f>
        <v>0</v>
      </c>
      <c r="I199">
        <f>データの貼付!I197</f>
        <v>0</v>
      </c>
      <c r="J199">
        <f>データの貼付!J197</f>
        <v>0</v>
      </c>
      <c r="K199">
        <f>データの貼付!K197</f>
        <v>0</v>
      </c>
      <c r="L199">
        <f>データの貼付!L197</f>
        <v>0</v>
      </c>
      <c r="M199">
        <f>データの貼付!M197</f>
        <v>0</v>
      </c>
      <c r="N199">
        <f>データの貼付!N197</f>
        <v>0</v>
      </c>
      <c r="R199">
        <f t="shared" si="194"/>
        <v>0</v>
      </c>
      <c r="S199">
        <f>SUM(R$4:R199)</f>
        <v>6</v>
      </c>
      <c r="T199" t="str">
        <f t="shared" si="195"/>
        <v/>
      </c>
      <c r="W199" t="str">
        <f t="shared" si="192"/>
        <v>0_0</v>
      </c>
      <c r="X199" t="str">
        <f t="shared" si="193"/>
        <v>0_0</v>
      </c>
    </row>
    <row r="200" spans="1:24" x14ac:dyDescent="0.45">
      <c r="A200">
        <f>データの貼付!A198</f>
        <v>0</v>
      </c>
      <c r="B200">
        <f>データの貼付!B198</f>
        <v>0</v>
      </c>
      <c r="C200">
        <f>データの貼付!C198</f>
        <v>0</v>
      </c>
      <c r="D200">
        <f>データの貼付!D198</f>
        <v>0</v>
      </c>
      <c r="E200">
        <f>データの貼付!F198</f>
        <v>0</v>
      </c>
      <c r="F200">
        <f>データの貼付!E198</f>
        <v>0</v>
      </c>
      <c r="G200">
        <f>データの貼付!G198</f>
        <v>0</v>
      </c>
      <c r="H200">
        <f>データの貼付!H198</f>
        <v>0</v>
      </c>
      <c r="I200">
        <f>データの貼付!I198</f>
        <v>0</v>
      </c>
      <c r="J200">
        <f>データの貼付!J198</f>
        <v>0</v>
      </c>
      <c r="K200">
        <f>データの貼付!K198</f>
        <v>0</v>
      </c>
      <c r="L200">
        <f>データの貼付!L198</f>
        <v>0</v>
      </c>
      <c r="M200">
        <f>データの貼付!M198</f>
        <v>0</v>
      </c>
      <c r="N200">
        <f>データの貼付!N198</f>
        <v>0</v>
      </c>
      <c r="R200">
        <f t="shared" si="194"/>
        <v>0</v>
      </c>
      <c r="S200">
        <f>SUM(R$4:R200)</f>
        <v>6</v>
      </c>
      <c r="T200">
        <f t="shared" si="195"/>
        <v>0</v>
      </c>
      <c r="W200" t="str">
        <f t="shared" si="192"/>
        <v>0_0</v>
      </c>
      <c r="X200" t="str">
        <f t="shared" si="193"/>
        <v>0_0</v>
      </c>
    </row>
    <row r="201" spans="1:24" x14ac:dyDescent="0.45">
      <c r="A201">
        <f>データの貼付!A199</f>
        <v>0</v>
      </c>
      <c r="B201">
        <f>データの貼付!B199</f>
        <v>0</v>
      </c>
      <c r="C201">
        <f>データの貼付!C199</f>
        <v>0</v>
      </c>
      <c r="D201">
        <f>データの貼付!D199</f>
        <v>0</v>
      </c>
      <c r="E201">
        <f>データの貼付!F199</f>
        <v>0</v>
      </c>
      <c r="F201">
        <f>データの貼付!E199</f>
        <v>0</v>
      </c>
      <c r="G201">
        <f>データの貼付!G199</f>
        <v>0</v>
      </c>
      <c r="H201">
        <f>データの貼付!H199</f>
        <v>0</v>
      </c>
      <c r="I201">
        <f>データの貼付!I199</f>
        <v>0</v>
      </c>
      <c r="J201">
        <f>データの貼付!J199</f>
        <v>0</v>
      </c>
      <c r="K201">
        <f>データの貼付!K199</f>
        <v>0</v>
      </c>
      <c r="L201">
        <f>データの貼付!L199</f>
        <v>0</v>
      </c>
      <c r="M201">
        <f>データの貼付!M199</f>
        <v>0</v>
      </c>
      <c r="N201">
        <f>データの貼付!N199</f>
        <v>0</v>
      </c>
    </row>
    <row r="202" spans="1:24" x14ac:dyDescent="0.45">
      <c r="A202">
        <f>データの貼付!A200</f>
        <v>0</v>
      </c>
      <c r="B202">
        <f>データの貼付!B200</f>
        <v>0</v>
      </c>
      <c r="C202">
        <f>データの貼付!C200</f>
        <v>0</v>
      </c>
      <c r="D202">
        <f>データの貼付!D200</f>
        <v>0</v>
      </c>
      <c r="E202">
        <f>データの貼付!F200</f>
        <v>0</v>
      </c>
      <c r="F202">
        <f>データの貼付!E200</f>
        <v>0</v>
      </c>
      <c r="G202">
        <f>データの貼付!G200</f>
        <v>0</v>
      </c>
      <c r="H202">
        <f>データの貼付!H200</f>
        <v>0</v>
      </c>
      <c r="I202">
        <f>データの貼付!I200</f>
        <v>0</v>
      </c>
      <c r="J202">
        <f>データの貼付!J200</f>
        <v>0</v>
      </c>
      <c r="K202">
        <f>データの貼付!K200</f>
        <v>0</v>
      </c>
      <c r="L202">
        <f>データの貼付!L200</f>
        <v>0</v>
      </c>
      <c r="M202">
        <f>データの貼付!M200</f>
        <v>0</v>
      </c>
      <c r="N202">
        <f>データの貼付!N200</f>
        <v>0</v>
      </c>
    </row>
    <row r="203" spans="1:24" x14ac:dyDescent="0.45">
      <c r="A203">
        <f>データの貼付!A201</f>
        <v>0</v>
      </c>
      <c r="B203">
        <f>データの貼付!B201</f>
        <v>0</v>
      </c>
      <c r="C203">
        <f>データの貼付!C201</f>
        <v>0</v>
      </c>
      <c r="D203">
        <f>データの貼付!D201</f>
        <v>0</v>
      </c>
      <c r="E203">
        <f>データの貼付!F201</f>
        <v>0</v>
      </c>
      <c r="F203">
        <f>データの貼付!E201</f>
        <v>0</v>
      </c>
      <c r="G203">
        <f>データの貼付!G201</f>
        <v>0</v>
      </c>
      <c r="H203">
        <f>データの貼付!H201</f>
        <v>0</v>
      </c>
      <c r="I203">
        <f>データの貼付!I201</f>
        <v>0</v>
      </c>
      <c r="J203">
        <f>データの貼付!J201</f>
        <v>0</v>
      </c>
      <c r="K203">
        <f>データの貼付!K201</f>
        <v>0</v>
      </c>
      <c r="L203">
        <f>データの貼付!L201</f>
        <v>0</v>
      </c>
      <c r="M203">
        <f>データの貼付!M201</f>
        <v>0</v>
      </c>
      <c r="N203">
        <f>データの貼付!N201</f>
        <v>0</v>
      </c>
    </row>
    <row r="204" spans="1:24" x14ac:dyDescent="0.45">
      <c r="A204">
        <f>データの貼付!A202</f>
        <v>0</v>
      </c>
      <c r="B204">
        <f>データの貼付!B202</f>
        <v>0</v>
      </c>
      <c r="C204">
        <f>データの貼付!C202</f>
        <v>0</v>
      </c>
      <c r="D204">
        <f>データの貼付!D202</f>
        <v>0</v>
      </c>
      <c r="E204">
        <f>データの貼付!F202</f>
        <v>0</v>
      </c>
      <c r="F204">
        <f>データの貼付!E202</f>
        <v>0</v>
      </c>
      <c r="G204">
        <f>データの貼付!G202</f>
        <v>0</v>
      </c>
      <c r="H204">
        <f>データの貼付!H202</f>
        <v>0</v>
      </c>
      <c r="I204">
        <f>データの貼付!I202</f>
        <v>0</v>
      </c>
      <c r="J204">
        <f>データの貼付!J202</f>
        <v>0</v>
      </c>
      <c r="K204">
        <f>データの貼付!K202</f>
        <v>0</v>
      </c>
      <c r="L204">
        <f>データの貼付!L202</f>
        <v>0</v>
      </c>
      <c r="M204">
        <f>データの貼付!M202</f>
        <v>0</v>
      </c>
      <c r="N204">
        <f>データの貼付!N202</f>
        <v>0</v>
      </c>
    </row>
    <row r="205" spans="1:24" x14ac:dyDescent="0.45">
      <c r="A205">
        <f>データの貼付!A203</f>
        <v>0</v>
      </c>
      <c r="B205">
        <f>データの貼付!B203</f>
        <v>0</v>
      </c>
      <c r="C205">
        <f>データの貼付!C203</f>
        <v>0</v>
      </c>
      <c r="D205">
        <f>データの貼付!D203</f>
        <v>0</v>
      </c>
      <c r="E205">
        <f>データの貼付!F203</f>
        <v>0</v>
      </c>
      <c r="F205">
        <f>データの貼付!E203</f>
        <v>0</v>
      </c>
      <c r="G205">
        <f>データの貼付!G203</f>
        <v>0</v>
      </c>
      <c r="H205">
        <f>データの貼付!H203</f>
        <v>0</v>
      </c>
      <c r="I205">
        <f>データの貼付!I203</f>
        <v>0</v>
      </c>
      <c r="J205">
        <f>データの貼付!J203</f>
        <v>0</v>
      </c>
      <c r="K205">
        <f>データの貼付!K203</f>
        <v>0</v>
      </c>
      <c r="L205">
        <f>データの貼付!L203</f>
        <v>0</v>
      </c>
      <c r="M205">
        <f>データの貼付!M203</f>
        <v>0</v>
      </c>
      <c r="N205">
        <f>データの貼付!N203</f>
        <v>0</v>
      </c>
    </row>
    <row r="206" spans="1:24" x14ac:dyDescent="0.45">
      <c r="A206">
        <f>データの貼付!A204</f>
        <v>0</v>
      </c>
      <c r="B206">
        <f>データの貼付!B204</f>
        <v>0</v>
      </c>
      <c r="C206">
        <f>データの貼付!C204</f>
        <v>0</v>
      </c>
      <c r="D206">
        <f>データの貼付!D204</f>
        <v>0</v>
      </c>
      <c r="E206">
        <f>データの貼付!F204</f>
        <v>0</v>
      </c>
      <c r="F206">
        <f>データの貼付!E204</f>
        <v>0</v>
      </c>
      <c r="G206">
        <f>データの貼付!G204</f>
        <v>0</v>
      </c>
      <c r="H206">
        <f>データの貼付!H204</f>
        <v>0</v>
      </c>
      <c r="I206">
        <f>データの貼付!I204</f>
        <v>0</v>
      </c>
      <c r="J206">
        <f>データの貼付!J204</f>
        <v>0</v>
      </c>
      <c r="K206">
        <f>データの貼付!K204</f>
        <v>0</v>
      </c>
      <c r="L206">
        <f>データの貼付!L204</f>
        <v>0</v>
      </c>
      <c r="M206">
        <f>データの貼付!M204</f>
        <v>0</v>
      </c>
      <c r="N206">
        <f>データの貼付!N204</f>
        <v>0</v>
      </c>
    </row>
    <row r="207" spans="1:24" x14ac:dyDescent="0.45">
      <c r="A207">
        <f>データの貼付!A205</f>
        <v>0</v>
      </c>
      <c r="B207">
        <f>データの貼付!B205</f>
        <v>0</v>
      </c>
      <c r="C207">
        <f>データの貼付!C205</f>
        <v>0</v>
      </c>
      <c r="D207">
        <f>データの貼付!D205</f>
        <v>0</v>
      </c>
      <c r="E207">
        <f>データの貼付!F205</f>
        <v>0</v>
      </c>
      <c r="F207">
        <f>データの貼付!E205</f>
        <v>0</v>
      </c>
      <c r="G207">
        <f>データの貼付!G205</f>
        <v>0</v>
      </c>
      <c r="H207">
        <f>データの貼付!H205</f>
        <v>0</v>
      </c>
      <c r="I207">
        <f>データの貼付!I205</f>
        <v>0</v>
      </c>
      <c r="J207">
        <f>データの貼付!J205</f>
        <v>0</v>
      </c>
      <c r="K207">
        <f>データの貼付!K205</f>
        <v>0</v>
      </c>
      <c r="L207">
        <f>データの貼付!L205</f>
        <v>0</v>
      </c>
      <c r="M207">
        <f>データの貼付!M205</f>
        <v>0</v>
      </c>
      <c r="N207">
        <f>データの貼付!N205</f>
        <v>0</v>
      </c>
    </row>
    <row r="208" spans="1:24" x14ac:dyDescent="0.45">
      <c r="A208">
        <f>データの貼付!A206</f>
        <v>0</v>
      </c>
      <c r="B208">
        <f>データの貼付!B206</f>
        <v>0</v>
      </c>
      <c r="C208">
        <f>データの貼付!C206</f>
        <v>0</v>
      </c>
      <c r="D208">
        <f>データの貼付!D206</f>
        <v>0</v>
      </c>
      <c r="E208">
        <f>データの貼付!F206</f>
        <v>0</v>
      </c>
      <c r="F208">
        <f>データの貼付!E206</f>
        <v>0</v>
      </c>
      <c r="G208">
        <f>データの貼付!G206</f>
        <v>0</v>
      </c>
      <c r="H208">
        <f>データの貼付!H206</f>
        <v>0</v>
      </c>
      <c r="I208">
        <f>データの貼付!I206</f>
        <v>0</v>
      </c>
      <c r="J208">
        <f>データの貼付!J206</f>
        <v>0</v>
      </c>
      <c r="K208">
        <f>データの貼付!K206</f>
        <v>0</v>
      </c>
      <c r="L208">
        <f>データの貼付!L206</f>
        <v>0</v>
      </c>
      <c r="M208">
        <f>データの貼付!M206</f>
        <v>0</v>
      </c>
      <c r="N208">
        <f>データの貼付!N206</f>
        <v>0</v>
      </c>
    </row>
    <row r="209" spans="1:14" x14ac:dyDescent="0.45">
      <c r="A209">
        <f>データの貼付!A207</f>
        <v>0</v>
      </c>
      <c r="B209">
        <f>データの貼付!B207</f>
        <v>0</v>
      </c>
      <c r="C209">
        <f>データの貼付!C207</f>
        <v>0</v>
      </c>
      <c r="D209">
        <f>データの貼付!D207</f>
        <v>0</v>
      </c>
      <c r="E209">
        <f>データの貼付!F207</f>
        <v>0</v>
      </c>
      <c r="F209">
        <f>データの貼付!E207</f>
        <v>0</v>
      </c>
      <c r="G209">
        <f>データの貼付!G207</f>
        <v>0</v>
      </c>
      <c r="H209">
        <f>データの貼付!H207</f>
        <v>0</v>
      </c>
      <c r="I209">
        <f>データの貼付!I207</f>
        <v>0</v>
      </c>
      <c r="J209">
        <f>データの貼付!J207</f>
        <v>0</v>
      </c>
      <c r="K209">
        <f>データの貼付!K207</f>
        <v>0</v>
      </c>
      <c r="L209">
        <f>データの貼付!L207</f>
        <v>0</v>
      </c>
      <c r="M209">
        <f>データの貼付!M207</f>
        <v>0</v>
      </c>
      <c r="N209">
        <f>データの貼付!N207</f>
        <v>0</v>
      </c>
    </row>
    <row r="210" spans="1:14" x14ac:dyDescent="0.45">
      <c r="A210">
        <f>データの貼付!A208</f>
        <v>0</v>
      </c>
      <c r="B210">
        <f>データの貼付!B208</f>
        <v>0</v>
      </c>
      <c r="C210">
        <f>データの貼付!C208</f>
        <v>0</v>
      </c>
      <c r="D210">
        <f>データの貼付!D208</f>
        <v>0</v>
      </c>
      <c r="E210">
        <f>データの貼付!F208</f>
        <v>0</v>
      </c>
      <c r="F210">
        <f>データの貼付!E208</f>
        <v>0</v>
      </c>
      <c r="G210">
        <f>データの貼付!G208</f>
        <v>0</v>
      </c>
      <c r="H210">
        <f>データの貼付!H208</f>
        <v>0</v>
      </c>
      <c r="I210">
        <f>データの貼付!I208</f>
        <v>0</v>
      </c>
      <c r="J210">
        <f>データの貼付!J208</f>
        <v>0</v>
      </c>
      <c r="K210">
        <f>データの貼付!K208</f>
        <v>0</v>
      </c>
      <c r="L210">
        <f>データの貼付!L208</f>
        <v>0</v>
      </c>
      <c r="M210">
        <f>データの貼付!M208</f>
        <v>0</v>
      </c>
      <c r="N210">
        <f>データの貼付!N208</f>
        <v>0</v>
      </c>
    </row>
    <row r="211" spans="1:14" x14ac:dyDescent="0.45">
      <c r="A211">
        <f>データの貼付!A209</f>
        <v>0</v>
      </c>
      <c r="B211">
        <f>データの貼付!B209</f>
        <v>0</v>
      </c>
      <c r="C211">
        <f>データの貼付!C209</f>
        <v>0</v>
      </c>
      <c r="D211">
        <f>データの貼付!D209</f>
        <v>0</v>
      </c>
      <c r="E211">
        <f>データの貼付!F209</f>
        <v>0</v>
      </c>
      <c r="F211">
        <f>データの貼付!E209</f>
        <v>0</v>
      </c>
      <c r="G211">
        <f>データの貼付!G209</f>
        <v>0</v>
      </c>
      <c r="H211">
        <f>データの貼付!H209</f>
        <v>0</v>
      </c>
      <c r="I211">
        <f>データの貼付!I209</f>
        <v>0</v>
      </c>
      <c r="J211">
        <f>データの貼付!J209</f>
        <v>0</v>
      </c>
      <c r="K211">
        <f>データの貼付!K209</f>
        <v>0</v>
      </c>
      <c r="L211">
        <f>データの貼付!L209</f>
        <v>0</v>
      </c>
      <c r="M211">
        <f>データの貼付!M209</f>
        <v>0</v>
      </c>
      <c r="N211">
        <f>データの貼付!N209</f>
        <v>0</v>
      </c>
    </row>
    <row r="212" spans="1:14" x14ac:dyDescent="0.45">
      <c r="A212">
        <f>データの貼付!A210</f>
        <v>0</v>
      </c>
      <c r="B212">
        <f>データの貼付!B210</f>
        <v>0</v>
      </c>
      <c r="C212">
        <f>データの貼付!C210</f>
        <v>0</v>
      </c>
      <c r="D212">
        <f>データの貼付!D210</f>
        <v>0</v>
      </c>
      <c r="E212">
        <f>データの貼付!F210</f>
        <v>0</v>
      </c>
      <c r="F212">
        <f>データの貼付!E210</f>
        <v>0</v>
      </c>
      <c r="G212">
        <f>データの貼付!G210</f>
        <v>0</v>
      </c>
      <c r="H212">
        <f>データの貼付!H210</f>
        <v>0</v>
      </c>
      <c r="I212">
        <f>データの貼付!I210</f>
        <v>0</v>
      </c>
      <c r="J212">
        <f>データの貼付!J210</f>
        <v>0</v>
      </c>
      <c r="K212">
        <f>データの貼付!K210</f>
        <v>0</v>
      </c>
      <c r="L212">
        <f>データの貼付!L210</f>
        <v>0</v>
      </c>
      <c r="M212">
        <f>データの貼付!M210</f>
        <v>0</v>
      </c>
      <c r="N212">
        <f>データの貼付!N210</f>
        <v>0</v>
      </c>
    </row>
  </sheetData>
  <phoneticPr fontId="18"/>
  <conditionalFormatting sqref="AA9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{697159A7-791D-4CF2-8721-A67B552A56C3}</x14:id>
        </ext>
      </extLst>
    </cfRule>
  </conditionalFormatting>
  <conditionalFormatting sqref="V2:Y2">
    <cfRule type="expression" priority="1">
      <formula>INDEX($AV$5:$BB$40,$AD$2,$AC$2)=INDEX($BD$5:$BJ$40,$AD$2,$AC$2)</formula>
    </cfRule>
  </conditionalFormatting>
  <pageMargins left="0.7" right="0.7" top="0.75" bottom="0.75" header="0.3" footer="0.3"/>
  <pageSetup paperSize="9"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97159A7-791D-4CF2-8721-A67B552A56C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AA9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8F14B-CEA4-4948-A2C6-C961DB939E93}">
  <sheetPr codeName="Sheet2"/>
  <dimension ref="B1:AS59"/>
  <sheetViews>
    <sheetView showGridLines="0" tabSelected="1" zoomScale="60" zoomScaleNormal="60" workbookViewId="0">
      <selection activeCell="H20" sqref="H20"/>
    </sheetView>
  </sheetViews>
  <sheetFormatPr defaultRowHeight="18" x14ac:dyDescent="0.45"/>
  <cols>
    <col min="1" max="1" width="2.3984375" customWidth="1"/>
    <col min="2" max="2" width="15.3984375" customWidth="1"/>
    <col min="3" max="4" width="11.09765625" customWidth="1"/>
    <col min="5" max="5" width="3.19921875" customWidth="1"/>
    <col min="6" max="12" width="3.69921875" customWidth="1"/>
    <col min="13" max="13" width="4.3984375" customWidth="1"/>
    <col min="14" max="17" width="5.69921875" customWidth="1"/>
    <col min="18" max="18" width="8.69921875" customWidth="1"/>
    <col min="19" max="19" width="4.5" customWidth="1"/>
    <col min="20" max="20" width="9.19921875" customWidth="1"/>
    <col min="21" max="21" width="7.19921875" customWidth="1"/>
    <col min="22" max="22" width="7.5" customWidth="1"/>
    <col min="23" max="23" width="3.796875" customWidth="1"/>
    <col min="24" max="27" width="5.296875" customWidth="1"/>
    <col min="28" max="28" width="11.19921875" customWidth="1"/>
    <col min="29" max="29" width="5.296875" customWidth="1"/>
    <col min="30" max="30" width="9.59765625" customWidth="1"/>
    <col min="31" max="31" width="7.09765625" customWidth="1"/>
    <col min="32" max="32" width="8.3984375" customWidth="1"/>
  </cols>
  <sheetData>
    <row r="1" spans="2:32" ht="26.4" x14ac:dyDescent="0.45">
      <c r="C1" s="42" t="s">
        <v>86</v>
      </c>
      <c r="D1" s="42" t="s">
        <v>86</v>
      </c>
      <c r="L1">
        <v>20</v>
      </c>
      <c r="T1" s="26" t="s">
        <v>85</v>
      </c>
      <c r="U1" s="26" t="str">
        <f>INDEX(A1:L40,L1,L2)</f>
        <v>FE</v>
      </c>
    </row>
    <row r="2" spans="2:32" ht="26.4" x14ac:dyDescent="0.45">
      <c r="B2" s="28">
        <f>cal!Z7</f>
        <v>1.4003182870370369E-2</v>
      </c>
      <c r="C2" s="29" t="str">
        <f>cal!A4</f>
        <v>FENG Tianwei</v>
      </c>
      <c r="D2" s="30" t="str">
        <f>cal!A6</f>
        <v>KIHARA Miyuu</v>
      </c>
      <c r="L2">
        <v>8</v>
      </c>
      <c r="T2" s="62" t="s">
        <v>68</v>
      </c>
      <c r="U2" s="62" t="str">
        <f>cal!Z12</f>
        <v>#06</v>
      </c>
    </row>
    <row r="3" spans="2:32" ht="18.45" customHeight="1" thickBot="1" x14ac:dyDescent="0.5">
      <c r="F3" t="s">
        <v>23</v>
      </c>
      <c r="N3" s="26" t="s">
        <v>65</v>
      </c>
      <c r="X3" s="26" t="s">
        <v>65</v>
      </c>
    </row>
    <row r="4" spans="2:32" ht="18.45" customHeight="1" thickBot="1" x14ac:dyDescent="0.5">
      <c r="B4" s="25" t="s">
        <v>23</v>
      </c>
      <c r="C4" s="51">
        <f>cal!Z5</f>
        <v>0</v>
      </c>
      <c r="D4" s="55">
        <f>cal!Z6</f>
        <v>2</v>
      </c>
      <c r="F4" s="22">
        <v>1</v>
      </c>
      <c r="G4" s="23">
        <v>2</v>
      </c>
      <c r="H4" s="23">
        <v>3</v>
      </c>
      <c r="I4" s="23">
        <v>4</v>
      </c>
      <c r="J4" s="23">
        <v>5</v>
      </c>
      <c r="K4" s="23">
        <v>6</v>
      </c>
      <c r="L4" s="24">
        <v>7</v>
      </c>
      <c r="N4" s="25" t="str">
        <f>IF(D1="L",D2,"")</f>
        <v/>
      </c>
      <c r="O4" s="61"/>
      <c r="P4" s="25"/>
      <c r="Q4" s="64" t="str">
        <f>IF(D1="R",D2,"")</f>
        <v>KIHARA Miyuu</v>
      </c>
      <c r="R4" s="26"/>
      <c r="S4" s="32"/>
      <c r="U4" s="55" t="str">
        <f>cal!HH20</f>
        <v>Gain</v>
      </c>
      <c r="V4" s="55" t="str">
        <f>cal!HI20</f>
        <v>Loose</v>
      </c>
      <c r="X4" s="25" t="str">
        <f>IF(C1="L",C2,"")</f>
        <v/>
      </c>
      <c r="Y4" s="61"/>
      <c r="Z4" s="25"/>
      <c r="AA4" s="63" t="str">
        <f>IF(C1="R",C2,"")</f>
        <v>FENG Tianwei</v>
      </c>
      <c r="AE4" s="50" t="str">
        <f>cal!HH1</f>
        <v>Gain</v>
      </c>
      <c r="AF4" s="50" t="str">
        <f>cal!HI1</f>
        <v>Loose</v>
      </c>
    </row>
    <row r="5" spans="2:32" ht="18.45" customHeight="1" x14ac:dyDescent="0.45">
      <c r="B5" s="25" t="s">
        <v>24</v>
      </c>
      <c r="C5" s="51">
        <f>cal!AA5</f>
        <v>11</v>
      </c>
      <c r="D5" s="55">
        <f>cal!AA6</f>
        <v>5</v>
      </c>
      <c r="F5" s="13" t="str">
        <f>IF(TYPE(LEFT(cal!AV5,2))=16,"",LEFT(cal!AV5,2))</f>
        <v>KI</v>
      </c>
      <c r="G5" s="14" t="str">
        <f>IF(TYPE(LEFT(cal!AW5,2))=16,"",LEFT(cal!AW5,2))</f>
        <v>KI</v>
      </c>
      <c r="H5" s="14" t="str">
        <f>IF(TYPE(LEFT(cal!AX5,2))=16,"",LEFT(cal!AX5,2))</f>
        <v>KI</v>
      </c>
      <c r="I5" s="14" t="str">
        <f>IF(TYPE(LEFT(cal!AY5,2))=16,"",LEFT(cal!AY5,2))</f>
        <v>KI</v>
      </c>
      <c r="J5" s="14" t="str">
        <f>IF(TYPE(LEFT(cal!AZ5,2))=16,"",LEFT(cal!AZ5,2))</f>
        <v>KI</v>
      </c>
      <c r="K5" s="14" t="str">
        <f>IF(TYPE(LEFT(cal!BA5,2))=16,"",LEFT(cal!BA5,2))</f>
        <v>SL</v>
      </c>
      <c r="L5" s="15" t="str">
        <f>IF(TYPE(LEFT(cal!BB5,2))=16,"",LEFT(cal!BB5,2))</f>
        <v/>
      </c>
      <c r="N5" s="76" t="str">
        <f>cal!HK18</f>
        <v>ネット</v>
      </c>
      <c r="O5" s="77"/>
      <c r="P5" s="77"/>
      <c r="Q5" s="78"/>
      <c r="R5" s="31" t="str">
        <f>cal!HE2</f>
        <v>Chiquita</v>
      </c>
      <c r="S5" s="31">
        <f>cal!HF21</f>
        <v>0</v>
      </c>
      <c r="T5" s="35" t="str">
        <f>"("&amp;INT(cal!HF21/SUM(cal!HF$21:HF$28)*100)&amp;"%)"</f>
        <v>(0%)</v>
      </c>
      <c r="U5" s="31">
        <f>cal!HH21</f>
        <v>0</v>
      </c>
      <c r="V5" s="31">
        <f>cal!HI21</f>
        <v>0</v>
      </c>
      <c r="X5" s="82" t="str">
        <f>cal!HK13</f>
        <v>ネット</v>
      </c>
      <c r="Y5" s="83"/>
      <c r="Z5" s="83"/>
      <c r="AA5" s="84"/>
      <c r="AB5" s="33" t="str">
        <f>cal!HE21</f>
        <v>Chiquita</v>
      </c>
      <c r="AC5" s="33">
        <f>cal!HF2</f>
        <v>1</v>
      </c>
      <c r="AD5" s="36" t="str">
        <f>"("&amp;INT(cal!HF2/SUM(cal!HF$2:HF$9)*100)&amp;"%)"</f>
        <v>(12%)</v>
      </c>
      <c r="AE5" s="36">
        <f>cal!HH2</f>
        <v>0</v>
      </c>
      <c r="AF5" s="36">
        <f>cal!HI2</f>
        <v>1</v>
      </c>
    </row>
    <row r="6" spans="2:32" ht="18.45" customHeight="1" x14ac:dyDescent="0.45">
      <c r="C6" s="52"/>
      <c r="D6" s="56"/>
      <c r="F6" s="16" t="str">
        <f>IF(TYPE(LEFT(cal!AV6,2))=16,"",LEFT(cal!AV6,2))</f>
        <v>FE</v>
      </c>
      <c r="G6" s="17" t="str">
        <f>IF(TYPE(LEFT(cal!AW6,2))=16,"",LEFT(cal!AW6,2))</f>
        <v>KI</v>
      </c>
      <c r="H6" s="17" t="str">
        <f>IF(TYPE(LEFT(cal!AX6,2))=16,"",LEFT(cal!AX6,2))</f>
        <v>KI</v>
      </c>
      <c r="I6" s="17" t="str">
        <f>IF(TYPE(LEFT(cal!AY6,2))=16,"",LEFT(cal!AY6,2))</f>
        <v>FE</v>
      </c>
      <c r="J6" s="17" t="str">
        <f>IF(TYPE(LEFT(cal!AZ6,2))=16,"",LEFT(cal!AZ6,2))</f>
        <v>KI</v>
      </c>
      <c r="K6" s="17" t="str">
        <f>IF(TYPE(LEFT(cal!BA6,2))=16,"",LEFT(cal!BA6,2))</f>
        <v/>
      </c>
      <c r="L6" s="18" t="str">
        <f>IF(TYPE(LEFT(cal!BB6,2))=16,"",LEFT(cal!BB6,2))</f>
        <v/>
      </c>
      <c r="N6" s="79">
        <f>cal!HL18</f>
        <v>1</v>
      </c>
      <c r="O6" s="80"/>
      <c r="P6" s="80"/>
      <c r="Q6" s="81"/>
      <c r="R6" s="31" t="str">
        <f>cal!HE3</f>
        <v>Flick</v>
      </c>
      <c r="S6" s="31">
        <f>cal!HF22</f>
        <v>0</v>
      </c>
      <c r="T6" s="35" t="str">
        <f>"("&amp;INT(cal!HF22/SUM(cal!HF$21:HF$28)*100)&amp;"%)"</f>
        <v>(0%)</v>
      </c>
      <c r="U6" s="31">
        <f>cal!HH22</f>
        <v>0</v>
      </c>
      <c r="V6" s="31">
        <f>cal!HI22</f>
        <v>0</v>
      </c>
      <c r="X6" s="85">
        <f>cal!HL13</f>
        <v>1</v>
      </c>
      <c r="Y6" s="86"/>
      <c r="Z6" s="86"/>
      <c r="AA6" s="87"/>
      <c r="AB6" s="33" t="str">
        <f>cal!HE22</f>
        <v>Flick</v>
      </c>
      <c r="AC6" s="33">
        <f>cal!HF3</f>
        <v>0</v>
      </c>
      <c r="AD6" s="36" t="str">
        <f>"("&amp;INT(cal!HF3/SUM(cal!HF$2:HF$9)*100)&amp;"%)"</f>
        <v>(0%)</v>
      </c>
      <c r="AE6" s="36">
        <f>cal!HH3</f>
        <v>0</v>
      </c>
      <c r="AF6" s="36">
        <f>cal!HI3</f>
        <v>0</v>
      </c>
    </row>
    <row r="7" spans="2:32" ht="18.45" customHeight="1" x14ac:dyDescent="0.45">
      <c r="B7" s="25" t="s">
        <v>70</v>
      </c>
      <c r="C7" s="51">
        <f>IF(TYPE(cal!Z21)=16,"",cal!Z21)</f>
        <v>4</v>
      </c>
      <c r="D7" s="55">
        <f>IF(TYPE(cal!AA21)=16,"",cal!AA21)</f>
        <v>11</v>
      </c>
      <c r="F7" s="16" t="str">
        <f>IF(TYPE(LEFT(cal!AV7,2))=16,"",LEFT(cal!AV7,2))</f>
        <v>KI</v>
      </c>
      <c r="G7" s="17" t="str">
        <f>IF(TYPE(LEFT(cal!AW7,2))=16,"",LEFT(cal!AW7,2))</f>
        <v>KI</v>
      </c>
      <c r="H7" s="17" t="str">
        <f>IF(TYPE(LEFT(cal!AX7,2))=16,"",LEFT(cal!AX7,2))</f>
        <v>KI</v>
      </c>
      <c r="I7" s="17" t="str">
        <f>IF(TYPE(LEFT(cal!AY7,2))=16,"",LEFT(cal!AY7,2))</f>
        <v>FE</v>
      </c>
      <c r="J7" s="17" t="str">
        <f>IF(TYPE(LEFT(cal!AZ7,2))=16,"",LEFT(cal!AZ7,2))</f>
        <v>FE</v>
      </c>
      <c r="K7" s="17" t="str">
        <f>IF(TYPE(LEFT(cal!BA7,2))=16,"",LEFT(cal!BA7,2))</f>
        <v/>
      </c>
      <c r="L7" s="18" t="str">
        <f>IF(TYPE(LEFT(cal!BB7,2))=16,"",LEFT(cal!BB7,2))</f>
        <v/>
      </c>
      <c r="N7" s="74">
        <f>cal!HM21</f>
        <v>1</v>
      </c>
      <c r="O7" s="74">
        <f>cal!HN21</f>
        <v>1</v>
      </c>
      <c r="P7" s="74">
        <f>cal!HO21</f>
        <v>1</v>
      </c>
      <c r="Q7" s="74">
        <f>cal!HP21</f>
        <v>1</v>
      </c>
      <c r="R7" s="31" t="str">
        <f>cal!HE4</f>
        <v>Push</v>
      </c>
      <c r="S7" s="31">
        <f>cal!HF23</f>
        <v>1</v>
      </c>
      <c r="T7" s="35" t="str">
        <f>"("&amp;INT(cal!HF23/SUM(cal!HF$21:HF$28)*100)&amp;"%)"</f>
        <v>(12%)</v>
      </c>
      <c r="U7" s="31">
        <f>cal!HH23</f>
        <v>0</v>
      </c>
      <c r="V7" s="31">
        <f>cal!HI23</f>
        <v>1</v>
      </c>
      <c r="X7" s="88">
        <f>cal!HM12</f>
        <v>0</v>
      </c>
      <c r="Y7" s="88">
        <f>cal!HN12</f>
        <v>1</v>
      </c>
      <c r="Z7" s="88">
        <f>cal!HO12</f>
        <v>0</v>
      </c>
      <c r="AA7" s="88">
        <f>cal!HP12</f>
        <v>0</v>
      </c>
      <c r="AB7" s="33" t="str">
        <f>cal!HE23</f>
        <v>Push</v>
      </c>
      <c r="AC7" s="33">
        <f>cal!HF4</f>
        <v>3</v>
      </c>
      <c r="AD7" s="36" t="str">
        <f>"("&amp;INT(cal!HF4/SUM(cal!HF$2:HF$9)*100)&amp;"%)"</f>
        <v>(37%)</v>
      </c>
      <c r="AE7" s="36">
        <f>cal!HH4</f>
        <v>1</v>
      </c>
      <c r="AF7" s="36">
        <f>cal!HI4</f>
        <v>2</v>
      </c>
    </row>
    <row r="8" spans="2:32" ht="18.45" customHeight="1" x14ac:dyDescent="0.45">
      <c r="B8" s="25" t="s">
        <v>71</v>
      </c>
      <c r="C8" s="51">
        <f>IF(TYPE(cal!Z22)=16,"",cal!Z22)</f>
        <v>4</v>
      </c>
      <c r="D8" s="55">
        <f>IF(TYPE(cal!AA22)=16,"",cal!AA22)</f>
        <v>11</v>
      </c>
      <c r="F8" s="16" t="str">
        <f>IF(TYPE(LEFT(cal!AV8,2))=16,"",LEFT(cal!AV8,2))</f>
        <v>KI</v>
      </c>
      <c r="G8" s="17" t="str">
        <f>IF(TYPE(LEFT(cal!AW8,2))=16,"",LEFT(cal!AW8,2))</f>
        <v>KI</v>
      </c>
      <c r="H8" s="17" t="str">
        <f>IF(TYPE(LEFT(cal!AX8,2))=16,"",LEFT(cal!AX8,2))</f>
        <v>FE</v>
      </c>
      <c r="I8" s="17" t="str">
        <f>IF(TYPE(LEFT(cal!AY8,2))=16,"",LEFT(cal!AY8,2))</f>
        <v>FE</v>
      </c>
      <c r="J8" s="17" t="str">
        <f>IF(TYPE(LEFT(cal!AZ8,2))=16,"",LEFT(cal!AZ8,2))</f>
        <v>FE</v>
      </c>
      <c r="K8" s="17" t="str">
        <f>IF(TYPE(LEFT(cal!BA8,2))=16,"",LEFT(cal!BA8,2))</f>
        <v/>
      </c>
      <c r="L8" s="18" t="str">
        <f>IF(TYPE(LEFT(cal!BB8,2))=16,"",LEFT(cal!BB8,2))</f>
        <v/>
      </c>
      <c r="N8" s="75"/>
      <c r="O8" s="75"/>
      <c r="P8" s="75"/>
      <c r="Q8" s="75"/>
      <c r="R8" s="31" t="str">
        <f>cal!HE5</f>
        <v>Stop</v>
      </c>
      <c r="S8" s="31">
        <f>cal!HF24</f>
        <v>2</v>
      </c>
      <c r="T8" s="35" t="str">
        <f>"("&amp;INT(cal!HF24/SUM(cal!HF$21:HF$28)*100)&amp;"%)"</f>
        <v>(25%)</v>
      </c>
      <c r="U8" s="31">
        <f>cal!HH24</f>
        <v>1</v>
      </c>
      <c r="V8" s="31">
        <f>cal!HI24</f>
        <v>1</v>
      </c>
      <c r="X8" s="89"/>
      <c r="Y8" s="89"/>
      <c r="Z8" s="89"/>
      <c r="AA8" s="89"/>
      <c r="AB8" s="33" t="str">
        <f>cal!HE24</f>
        <v>Stop</v>
      </c>
      <c r="AC8" s="33">
        <f>cal!HF5</f>
        <v>1</v>
      </c>
      <c r="AD8" s="36" t="str">
        <f>"("&amp;INT(cal!HF5/SUM(cal!HF$2:HF$9)*100)&amp;"%)"</f>
        <v>(12%)</v>
      </c>
      <c r="AE8" s="36">
        <f>cal!HH5</f>
        <v>1</v>
      </c>
      <c r="AF8" s="36">
        <f>cal!HI5</f>
        <v>0</v>
      </c>
    </row>
    <row r="9" spans="2:32" ht="18.45" customHeight="1" x14ac:dyDescent="0.45">
      <c r="B9" s="25" t="s">
        <v>72</v>
      </c>
      <c r="C9" s="51">
        <f>IF(TYPE(cal!Z23)=16,"",cal!Z23)</f>
        <v>11</v>
      </c>
      <c r="D9" s="55">
        <f>IF(TYPE(cal!AA23)=16,"",cal!AA23)</f>
        <v>5</v>
      </c>
      <c r="F9" s="16" t="str">
        <f>IF(TYPE(LEFT(cal!AV9,2))=16,"",LEFT(cal!AV9,2))</f>
        <v>KI</v>
      </c>
      <c r="G9" s="17" t="str">
        <f>IF(TYPE(LEFT(cal!AW9,2))=16,"",LEFT(cal!AW9,2))</f>
        <v>KI</v>
      </c>
      <c r="H9" s="17" t="str">
        <f>IF(TYPE(LEFT(cal!AX9,2))=16,"",LEFT(cal!AX9,2))</f>
        <v>FE</v>
      </c>
      <c r="I9" s="17" t="str">
        <f>IF(TYPE(LEFT(cal!AY9,2))=16,"",LEFT(cal!AY9,2))</f>
        <v>KI</v>
      </c>
      <c r="J9" s="17" t="str">
        <f>IF(TYPE(LEFT(cal!AZ9,2))=16,"",LEFT(cal!AZ9,2))</f>
        <v>KI</v>
      </c>
      <c r="K9" s="17" t="str">
        <f>IF(TYPE(LEFT(cal!BA9,2))=16,"",LEFT(cal!BA9,2))</f>
        <v/>
      </c>
      <c r="L9" s="18" t="str">
        <f>IF(TYPE(LEFT(cal!BB9,2))=16,"",LEFT(cal!BB9,2))</f>
        <v/>
      </c>
      <c r="N9" s="74">
        <f>cal!HM22</f>
        <v>0</v>
      </c>
      <c r="O9" s="74">
        <f>cal!HN22</f>
        <v>1</v>
      </c>
      <c r="P9" s="74">
        <f>cal!HO22</f>
        <v>1</v>
      </c>
      <c r="Q9" s="74">
        <f>cal!HP22</f>
        <v>0</v>
      </c>
      <c r="R9" s="31" t="str">
        <f>cal!HE6</f>
        <v>その他</v>
      </c>
      <c r="S9" s="31">
        <f>cal!HF25</f>
        <v>0</v>
      </c>
      <c r="T9" s="35" t="str">
        <f>"("&amp;INT(cal!HF25/SUM(cal!HF$21:HF$28)*100)&amp;"%)"</f>
        <v>(0%)</v>
      </c>
      <c r="U9" s="31">
        <f>cal!HH25</f>
        <v>0</v>
      </c>
      <c r="V9" s="31">
        <f>cal!HI25</f>
        <v>0</v>
      </c>
      <c r="X9" s="88">
        <f>cal!HM13</f>
        <v>0</v>
      </c>
      <c r="Y9" s="88">
        <f>cal!HN13</f>
        <v>2</v>
      </c>
      <c r="Z9" s="88">
        <f>cal!HO13</f>
        <v>0</v>
      </c>
      <c r="AA9" s="88">
        <f>cal!HP13</f>
        <v>3</v>
      </c>
      <c r="AB9" s="33" t="str">
        <f>cal!HE25</f>
        <v>その他</v>
      </c>
      <c r="AC9" s="33">
        <f>cal!HF6</f>
        <v>0</v>
      </c>
      <c r="AD9" s="36" t="str">
        <f>"("&amp;INT(cal!HF6/SUM(cal!HF$2:HF$9)*100)&amp;"%)"</f>
        <v>(0%)</v>
      </c>
      <c r="AE9" s="36">
        <f>cal!HH6</f>
        <v>0</v>
      </c>
      <c r="AF9" s="36">
        <f>cal!HI6</f>
        <v>0</v>
      </c>
    </row>
    <row r="10" spans="2:32" ht="18.45" customHeight="1" x14ac:dyDescent="0.45">
      <c r="B10" s="25" t="s">
        <v>73</v>
      </c>
      <c r="C10" s="51">
        <f>IF(TYPE(cal!Z24)=16,"",cal!Z24)</f>
        <v>11</v>
      </c>
      <c r="D10" s="55">
        <f>IF(TYPE(cal!AA24)=16,"",cal!AA24)</f>
        <v>8</v>
      </c>
      <c r="F10" s="16" t="str">
        <f>IF(TYPE(LEFT(cal!AV10,2))=16,"",LEFT(cal!AV10,2))</f>
        <v>FE</v>
      </c>
      <c r="G10" s="17" t="str">
        <f>IF(TYPE(LEFT(cal!AW10,2))=16,"",LEFT(cal!AW10,2))</f>
        <v>KI</v>
      </c>
      <c r="H10" s="17" t="str">
        <f>IF(TYPE(LEFT(cal!AX10,2))=16,"",LEFT(cal!AX10,2))</f>
        <v>FE</v>
      </c>
      <c r="I10" s="17" t="str">
        <f>IF(TYPE(LEFT(cal!AY10,2))=16,"",LEFT(cal!AY10,2))</f>
        <v>FE</v>
      </c>
      <c r="J10" s="17" t="str">
        <f>IF(TYPE(LEFT(cal!AZ10,2))=16,"",LEFT(cal!AZ10,2))</f>
        <v>FE</v>
      </c>
      <c r="K10" s="17" t="str">
        <f>IF(TYPE(LEFT(cal!BA10,2))=16,"",LEFT(cal!BA10,2))</f>
        <v/>
      </c>
      <c r="L10" s="18" t="str">
        <f>IF(TYPE(LEFT(cal!BB10,2))=16,"",LEFT(cal!BB10,2))</f>
        <v/>
      </c>
      <c r="N10" s="75"/>
      <c r="O10" s="75"/>
      <c r="P10" s="75"/>
      <c r="Q10" s="75"/>
      <c r="R10" s="31" t="str">
        <f>cal!HE7</f>
        <v>ドライブ</v>
      </c>
      <c r="S10" s="31">
        <f>cal!HF26</f>
        <v>5</v>
      </c>
      <c r="T10" s="35" t="str">
        <f>"("&amp;INT(cal!HF26/SUM(cal!HF$21:HF$28)*100)&amp;"%)"</f>
        <v>(62%)</v>
      </c>
      <c r="U10" s="31">
        <f>cal!HH26</f>
        <v>1</v>
      </c>
      <c r="V10" s="31">
        <f>cal!HI26</f>
        <v>4</v>
      </c>
      <c r="X10" s="89"/>
      <c r="Y10" s="89"/>
      <c r="Z10" s="89"/>
      <c r="AA10" s="89"/>
      <c r="AB10" s="33" t="str">
        <f>cal!HE26</f>
        <v>ドライブ</v>
      </c>
      <c r="AC10" s="33">
        <f>cal!HF7</f>
        <v>3</v>
      </c>
      <c r="AD10" s="36" t="str">
        <f>"("&amp;INT(cal!HF7/SUM(cal!HF$2:HF$9)*100)&amp;"%)"</f>
        <v>(37%)</v>
      </c>
      <c r="AE10" s="36">
        <f>cal!HH7</f>
        <v>3</v>
      </c>
      <c r="AF10" s="36">
        <f>cal!HI7</f>
        <v>0</v>
      </c>
    </row>
    <row r="11" spans="2:32" ht="18.45" customHeight="1" x14ac:dyDescent="0.45">
      <c r="B11" s="25" t="s">
        <v>74</v>
      </c>
      <c r="C11" s="51">
        <f>IF(TYPE(cal!Z25)=16,"",cal!Z25)</f>
        <v>5</v>
      </c>
      <c r="D11" s="55">
        <f>IF(TYPE(cal!AA25)=16,"",cal!AA25)</f>
        <v>3</v>
      </c>
      <c r="F11" s="16" t="str">
        <f>IF(TYPE(LEFT(cal!AV11,2))=16,"",LEFT(cal!AV11,2))</f>
        <v>KI</v>
      </c>
      <c r="G11" s="17" t="str">
        <f>IF(TYPE(LEFT(cal!AW11,2))=16,"",LEFT(cal!AW11,2))</f>
        <v>KI</v>
      </c>
      <c r="H11" s="17" t="str">
        <f>IF(TYPE(LEFT(cal!AX11,2))=16,"",LEFT(cal!AX11,2))</f>
        <v>FE</v>
      </c>
      <c r="I11" s="17" t="str">
        <f>IF(TYPE(LEFT(cal!AY11,2))=16,"",LEFT(cal!AY11,2))</f>
        <v>FE</v>
      </c>
      <c r="J11" s="17" t="str">
        <f>IF(TYPE(LEFT(cal!AZ11,2))=16,"",LEFT(cal!AZ11,2))</f>
        <v>FE</v>
      </c>
      <c r="K11" s="17" t="str">
        <f>IF(TYPE(LEFT(cal!BA11,2))=16,"",LEFT(cal!BA11,2))</f>
        <v/>
      </c>
      <c r="L11" s="18" t="str">
        <f>IF(TYPE(LEFT(cal!BB11,2))=16,"",LEFT(cal!BB11,2))</f>
        <v/>
      </c>
      <c r="N11" s="93" t="str">
        <f>cal!HK12</f>
        <v>オーバーミス</v>
      </c>
      <c r="O11" s="93"/>
      <c r="P11" s="93"/>
      <c r="Q11" s="93"/>
      <c r="R11" s="31" t="str">
        <f>cal!HE8</f>
        <v>ミユータ</v>
      </c>
      <c r="S11" s="31">
        <f>cal!HF27</f>
        <v>0</v>
      </c>
      <c r="T11" s="35" t="str">
        <f>"("&amp;INT(cal!HF27/SUM(cal!HF$21:HF$28)*100)&amp;"%)"</f>
        <v>(0%)</v>
      </c>
      <c r="U11" s="31">
        <f>cal!HH27</f>
        <v>0</v>
      </c>
      <c r="V11" s="31">
        <f>cal!HI27</f>
        <v>0</v>
      </c>
      <c r="X11" s="95" t="str">
        <f>cal!HK12</f>
        <v>オーバーミス</v>
      </c>
      <c r="Y11" s="95"/>
      <c r="Z11" s="95"/>
      <c r="AA11" s="95"/>
      <c r="AB11" s="33" t="str">
        <f>cal!HE27</f>
        <v>ミユータ</v>
      </c>
      <c r="AC11" s="33">
        <f>cal!HF8</f>
        <v>0</v>
      </c>
      <c r="AD11" s="36" t="str">
        <f>"("&amp;INT(cal!HF8/SUM(cal!HF$2:HF$9)*100)&amp;"%)"</f>
        <v>(0%)</v>
      </c>
      <c r="AE11" s="36">
        <f>cal!HH8</f>
        <v>0</v>
      </c>
      <c r="AF11" s="36">
        <f>cal!HI8</f>
        <v>0</v>
      </c>
    </row>
    <row r="12" spans="2:32" ht="18.45" customHeight="1" x14ac:dyDescent="0.45">
      <c r="B12" s="25" t="s">
        <v>75</v>
      </c>
      <c r="C12" s="51" t="str">
        <f>IF(TYPE(cal!Z26)=16,"",cal!Z26)</f>
        <v/>
      </c>
      <c r="D12" s="55" t="str">
        <f>IF(TYPE(cal!AA26)=16,"",cal!AA26)</f>
        <v/>
      </c>
      <c r="F12" s="16" t="str">
        <f>IF(TYPE(LEFT(cal!AV12,2))=16,"",LEFT(cal!AV12,2))</f>
        <v>KI</v>
      </c>
      <c r="G12" s="17" t="str">
        <f>IF(TYPE(LEFT(cal!AW12,2))=16,"",LEFT(cal!AW12,2))</f>
        <v>FE</v>
      </c>
      <c r="H12" s="17" t="str">
        <f>IF(TYPE(LEFT(cal!AX12,2))=16,"",LEFT(cal!AX12,2))</f>
        <v>FE</v>
      </c>
      <c r="I12" s="17" t="str">
        <f>IF(TYPE(LEFT(cal!AY12,2))=16,"",LEFT(cal!AY12,2))</f>
        <v>KI</v>
      </c>
      <c r="J12" s="17" t="str">
        <f>IF(TYPE(LEFT(cal!AZ12,2))=16,"",LEFT(cal!AZ12,2))</f>
        <v>FE</v>
      </c>
      <c r="K12" s="17" t="str">
        <f>IF(TYPE(LEFT(cal!BA12,2))=16,"",LEFT(cal!BA12,2))</f>
        <v/>
      </c>
      <c r="L12" s="18" t="str">
        <f>IF(TYPE(LEFT(cal!BB12,2))=16,"",LEFT(cal!BB12,2))</f>
        <v/>
      </c>
      <c r="N12" s="94">
        <f>cal!HL17</f>
        <v>0</v>
      </c>
      <c r="O12" s="94"/>
      <c r="P12" s="94"/>
      <c r="Q12" s="94"/>
      <c r="R12" s="31" t="str">
        <f>cal!HE9</f>
        <v>空振り</v>
      </c>
      <c r="S12" s="31">
        <f>cal!HF28</f>
        <v>0</v>
      </c>
      <c r="T12" s="35" t="str">
        <f>"("&amp;INT(cal!HF28/SUM(cal!HF$21:HF$28)*100)&amp;"%)"</f>
        <v>(0%)</v>
      </c>
      <c r="U12" s="31">
        <f>cal!HH28</f>
        <v>0</v>
      </c>
      <c r="V12" s="31">
        <f>cal!HI28</f>
        <v>0</v>
      </c>
      <c r="X12" s="96">
        <f>cal!HL12</f>
        <v>0</v>
      </c>
      <c r="Y12" s="96"/>
      <c r="Z12" s="96"/>
      <c r="AA12" s="96"/>
      <c r="AB12" s="33" t="str">
        <f>cal!HE28</f>
        <v>空振り</v>
      </c>
      <c r="AC12" s="33">
        <f>cal!HF9</f>
        <v>0</v>
      </c>
      <c r="AD12" s="36" t="str">
        <f>"("&amp;INT(cal!HF9/SUM(cal!HF$2:HF$9)*100)&amp;"%)"</f>
        <v>(0%)</v>
      </c>
      <c r="AE12" s="36">
        <f>cal!HH9</f>
        <v>0</v>
      </c>
      <c r="AF12" s="36">
        <f>cal!HI9</f>
        <v>0</v>
      </c>
    </row>
    <row r="13" spans="2:32" ht="18.45" customHeight="1" x14ac:dyDescent="0.45">
      <c r="B13" s="25" t="s">
        <v>76</v>
      </c>
      <c r="C13" s="51" t="str">
        <f>IF(TYPE(cal!Z27)=16,"",cal!Z27)</f>
        <v/>
      </c>
      <c r="D13" s="55" t="str">
        <f>IF(TYPE(cal!AA27)=16,"",cal!AA27)</f>
        <v/>
      </c>
      <c r="F13" s="16" t="str">
        <f>IF(TYPE(LEFT(cal!AV13,2))=16,"",LEFT(cal!AV13,2))</f>
        <v>FE</v>
      </c>
      <c r="G13" s="17" t="str">
        <f>IF(TYPE(LEFT(cal!AW13,2))=16,"",LEFT(cal!AW13,2))</f>
        <v>FE</v>
      </c>
      <c r="H13" s="17" t="str">
        <f>IF(TYPE(LEFT(cal!AX13,2))=16,"",LEFT(cal!AX13,2))</f>
        <v>FE</v>
      </c>
      <c r="I13" s="17" t="str">
        <f>IF(TYPE(LEFT(cal!AY13,2))=16,"",LEFT(cal!AY13,2))</f>
        <v>KI</v>
      </c>
      <c r="J13" s="17" t="str">
        <f>IF(TYPE(LEFT(cal!AZ13,2))=16,"",LEFT(cal!AZ13,2))</f>
        <v/>
      </c>
      <c r="K13" s="17" t="str">
        <f>IF(TYPE(LEFT(cal!BA13,2))=16,"",LEFT(cal!BA13,2))</f>
        <v/>
      </c>
      <c r="L13" s="18" t="str">
        <f>IF(TYPE(LEFT(cal!BB13,2))=16,"",LEFT(cal!BB13,2))</f>
        <v/>
      </c>
      <c r="T13" s="26"/>
      <c r="U13" s="26"/>
      <c r="V13" s="26"/>
    </row>
    <row r="14" spans="2:32" ht="18.45" customHeight="1" x14ac:dyDescent="0.45">
      <c r="B14" s="32"/>
      <c r="C14" s="53"/>
      <c r="D14" s="57"/>
      <c r="F14" s="16" t="str">
        <f>IF(TYPE(LEFT(cal!AV14,2))=16,"",LEFT(cal!AV14,2))</f>
        <v>FE</v>
      </c>
      <c r="G14" s="17" t="str">
        <f>IF(TYPE(LEFT(cal!AW14,2))=16,"",LEFT(cal!AW14,2))</f>
        <v>KI</v>
      </c>
      <c r="H14" s="17" t="str">
        <f>IF(TYPE(LEFT(cal!AX14,2))=16,"",LEFT(cal!AX14,2))</f>
        <v>FE</v>
      </c>
      <c r="I14" s="17" t="str">
        <f>IF(TYPE(LEFT(cal!AY14,2))=16,"",LEFT(cal!AY14,2))</f>
        <v>KI</v>
      </c>
      <c r="J14" s="17" t="str">
        <f>IF(TYPE(LEFT(cal!AZ14,2))=16,"",LEFT(cal!AZ14,2))</f>
        <v/>
      </c>
      <c r="K14" s="17" t="str">
        <f>IF(TYPE(LEFT(cal!BA14,2))=16,"",LEFT(cal!BA14,2))</f>
        <v/>
      </c>
      <c r="L14" s="18" t="str">
        <f>IF(TYPE(LEFT(cal!BB14,2))=16,"",LEFT(cal!BB14,2))</f>
        <v/>
      </c>
      <c r="N14" s="91">
        <f>cal!GQ11</f>
        <v>0</v>
      </c>
      <c r="O14" s="91">
        <f>cal!GR11</f>
        <v>0</v>
      </c>
      <c r="P14" s="91">
        <f>cal!GS11</f>
        <v>3</v>
      </c>
      <c r="Q14" s="91">
        <f>cal!GT11</f>
        <v>2</v>
      </c>
      <c r="R14" s="32"/>
      <c r="S14" s="32"/>
      <c r="T14" s="32"/>
      <c r="U14" s="32"/>
      <c r="V14" s="32"/>
      <c r="X14" s="74">
        <f>cal!GV11</f>
        <v>0</v>
      </c>
      <c r="Y14" s="74">
        <f>cal!GW11</f>
        <v>0</v>
      </c>
      <c r="Z14" s="74">
        <f>cal!GX11</f>
        <v>0</v>
      </c>
      <c r="AA14" s="74">
        <f>cal!GY11</f>
        <v>3</v>
      </c>
    </row>
    <row r="15" spans="2:32" ht="18.45" customHeight="1" x14ac:dyDescent="0.45">
      <c r="B15" s="25" t="s">
        <v>77</v>
      </c>
      <c r="C15" s="54">
        <f>cal!AE49</f>
        <v>0.55555555555555558</v>
      </c>
      <c r="D15" s="58">
        <f>cal!AE56</f>
        <v>0.59459459459459463</v>
      </c>
      <c r="F15" s="16" t="str">
        <f>IF(TYPE(LEFT(cal!AV15,2))=16,"",LEFT(cal!AV15,2))</f>
        <v>SL</v>
      </c>
      <c r="G15" s="17" t="str">
        <f>IF(TYPE(LEFT(cal!AW15,2))=16,"",LEFT(cal!AW15,2))</f>
        <v>FE</v>
      </c>
      <c r="H15" s="17" t="str">
        <f>IF(TYPE(LEFT(cal!AX15,2))=16,"",LEFT(cal!AX15,2))</f>
        <v>KI</v>
      </c>
      <c r="I15" s="17" t="str">
        <f>IF(TYPE(LEFT(cal!AY15,2))=16,"",LEFT(cal!AY15,2))</f>
        <v>FE</v>
      </c>
      <c r="J15" s="17" t="str">
        <f>IF(TYPE(LEFT(cal!AZ15,2))=16,"",LEFT(cal!AZ15,2))</f>
        <v/>
      </c>
      <c r="K15" s="17" t="str">
        <f>IF(TYPE(LEFT(cal!BA15,2))=16,"",LEFT(cal!BA15,2))</f>
        <v/>
      </c>
      <c r="L15" s="18" t="str">
        <f>IF(TYPE(LEFT(cal!BB15,2))=16,"",LEFT(cal!BB15,2))</f>
        <v/>
      </c>
      <c r="N15" s="92"/>
      <c r="O15" s="92"/>
      <c r="P15" s="92"/>
      <c r="Q15" s="92"/>
      <c r="R15" s="32"/>
      <c r="S15" s="32"/>
      <c r="T15" s="32"/>
      <c r="U15" s="32"/>
      <c r="V15" s="32"/>
      <c r="X15" s="75"/>
      <c r="Y15" s="75"/>
      <c r="Z15" s="75"/>
      <c r="AA15" s="75"/>
    </row>
    <row r="16" spans="2:32" ht="18.45" customHeight="1" x14ac:dyDescent="0.45">
      <c r="B16" s="25" t="s">
        <v>78</v>
      </c>
      <c r="C16" s="54">
        <f>cal!AE50</f>
        <v>0.40540540540540543</v>
      </c>
      <c r="D16" s="58">
        <f>cal!AE57</f>
        <v>0.44444444444444442</v>
      </c>
      <c r="F16" s="16" t="str">
        <f>IF(TYPE(LEFT(cal!AV16,2))=16,"",LEFT(cal!AV16,2))</f>
        <v>KI</v>
      </c>
      <c r="G16" s="17" t="str">
        <f>IF(TYPE(LEFT(cal!AW16,2))=16,"",LEFT(cal!AW16,2))</f>
        <v>KI</v>
      </c>
      <c r="H16" s="17" t="str">
        <f>IF(TYPE(LEFT(cal!AX16,2))=16,"",LEFT(cal!AX16,2))</f>
        <v>KI</v>
      </c>
      <c r="I16" s="17" t="str">
        <f>IF(TYPE(LEFT(cal!AY16,2))=16,"",LEFT(cal!AY16,2))</f>
        <v>FE</v>
      </c>
      <c r="J16" s="17" t="str">
        <f>IF(TYPE(LEFT(cal!AZ16,2))=16,"",LEFT(cal!AZ16,2))</f>
        <v/>
      </c>
      <c r="K16" s="17" t="str">
        <f>IF(TYPE(LEFT(cal!BA16,2))=16,"",LEFT(cal!BA16,2))</f>
        <v/>
      </c>
      <c r="L16" s="18" t="str">
        <f>IF(TYPE(LEFT(cal!BB16,2))=16,"",LEFT(cal!BB16,2))</f>
        <v/>
      </c>
      <c r="N16" s="91">
        <f>cal!GQ12</f>
        <v>1</v>
      </c>
      <c r="O16" s="91">
        <f>cal!GR12</f>
        <v>1</v>
      </c>
      <c r="P16" s="91">
        <f>cal!GS12</f>
        <v>0</v>
      </c>
      <c r="Q16" s="91">
        <f>cal!GT12</f>
        <v>1</v>
      </c>
      <c r="R16" s="32"/>
      <c r="S16" s="32"/>
      <c r="T16" s="32"/>
      <c r="U16" s="32"/>
      <c r="V16" s="32"/>
      <c r="X16" s="74">
        <f>cal!GV12</f>
        <v>3</v>
      </c>
      <c r="Y16" s="74">
        <f>cal!GW12</f>
        <v>2</v>
      </c>
      <c r="Z16" s="74">
        <f>cal!GX12</f>
        <v>0</v>
      </c>
      <c r="AA16" s="74">
        <f>cal!GY12</f>
        <v>0</v>
      </c>
    </row>
    <row r="17" spans="2:45" ht="18.45" customHeight="1" x14ac:dyDescent="0.45">
      <c r="B17" s="25" t="s">
        <v>79</v>
      </c>
      <c r="C17" s="54">
        <f>cal!AE51</f>
        <v>0.1111111111111111</v>
      </c>
      <c r="D17" s="58">
        <f>cal!AE58</f>
        <v>0.24324324324324326</v>
      </c>
      <c r="F17" s="16" t="str">
        <f>IF(TYPE(LEFT(cal!AV17,2))=16,"",LEFT(cal!AV17,2))</f>
        <v>KI</v>
      </c>
      <c r="G17" s="17" t="str">
        <f>IF(TYPE(LEFT(cal!AW17,2))=16,"",LEFT(cal!AW17,2))</f>
        <v>KI</v>
      </c>
      <c r="H17" s="17" t="str">
        <f>IF(TYPE(LEFT(cal!AX17,2))=16,"",LEFT(cal!AX17,2))</f>
        <v>FE</v>
      </c>
      <c r="I17" s="17" t="str">
        <f>IF(TYPE(LEFT(cal!AY17,2))=16,"",LEFT(cal!AY17,2))</f>
        <v>KI</v>
      </c>
      <c r="J17" s="17" t="str">
        <f>IF(TYPE(LEFT(cal!AZ17,2))=16,"",LEFT(cal!AZ17,2))</f>
        <v/>
      </c>
      <c r="K17" s="17" t="str">
        <f>IF(TYPE(LEFT(cal!BA17,2))=16,"",LEFT(cal!BA17,2))</f>
        <v/>
      </c>
      <c r="L17" s="18" t="str">
        <f>IF(TYPE(LEFT(cal!BB17,2))=16,"",LEFT(cal!BB17,2))</f>
        <v/>
      </c>
      <c r="N17" s="92"/>
      <c r="O17" s="92"/>
      <c r="P17" s="92"/>
      <c r="Q17" s="92"/>
      <c r="R17" s="32"/>
      <c r="S17" s="32"/>
      <c r="T17" s="32"/>
      <c r="U17" s="32"/>
      <c r="V17" s="32"/>
      <c r="X17" s="75"/>
      <c r="Y17" s="75"/>
      <c r="Z17" s="75"/>
      <c r="AA17" s="75"/>
    </row>
    <row r="18" spans="2:45" ht="18.45" customHeight="1" x14ac:dyDescent="0.45">
      <c r="B18" s="25" t="s">
        <v>20</v>
      </c>
      <c r="C18" s="54">
        <f>cal!AE52</f>
        <v>-5.5555555555555552E-2</v>
      </c>
      <c r="D18" s="58">
        <f>cal!AE59</f>
        <v>0.10810810810810811</v>
      </c>
      <c r="F18" s="16" t="str">
        <f>IF(TYPE(LEFT(cal!AV18,2))=16,"",LEFT(cal!AV18,2))</f>
        <v>KI</v>
      </c>
      <c r="G18" s="17" t="str">
        <f>IF(TYPE(LEFT(cal!AW18,2))=16,"",LEFT(cal!AW18,2))</f>
        <v>FE</v>
      </c>
      <c r="H18" s="17" t="str">
        <f>IF(TYPE(LEFT(cal!AX18,2))=16,"",LEFT(cal!AX18,2))</f>
        <v>FE</v>
      </c>
      <c r="I18" s="17" t="str">
        <f>IF(TYPE(LEFT(cal!AY18,2))=16,"",LEFT(cal!AY18,2))</f>
        <v>KI</v>
      </c>
      <c r="J18" s="17" t="str">
        <f>IF(TYPE(LEFT(cal!AZ18,2))=16,"",LEFT(cal!AZ18,2))</f>
        <v/>
      </c>
      <c r="K18" s="17" t="str">
        <f>IF(TYPE(LEFT(cal!BA18,2))=16,"",LEFT(cal!BA18,2))</f>
        <v/>
      </c>
      <c r="L18" s="18" t="str">
        <f>IF(TYPE(LEFT(cal!BB18,2))=16,"",LEFT(cal!BB18,2))</f>
        <v/>
      </c>
      <c r="N18" s="90">
        <f>cal!GQ13</f>
        <v>8</v>
      </c>
      <c r="O18" s="90"/>
      <c r="P18" s="90">
        <f>cal!GS13</f>
        <v>0</v>
      </c>
      <c r="Q18" s="90"/>
      <c r="R18" s="32"/>
      <c r="S18" s="32"/>
      <c r="T18" s="32"/>
      <c r="U18" s="50" t="str">
        <f>cal!GM17</f>
        <v>Gain</v>
      </c>
      <c r="V18" s="50" t="str">
        <f>cal!GN17</f>
        <v>Loose</v>
      </c>
      <c r="X18" s="72">
        <f>cal!GV13</f>
        <v>8</v>
      </c>
      <c r="Y18" s="72"/>
      <c r="Z18" s="72">
        <f>cal!GX13</f>
        <v>0</v>
      </c>
      <c r="AA18" s="72"/>
      <c r="AB18" s="27"/>
      <c r="AE18" s="49" t="str">
        <f>cal!HC8</f>
        <v>Gain</v>
      </c>
      <c r="AF18" s="49" t="str">
        <f>cal!HD8</f>
        <v>Loose</v>
      </c>
    </row>
    <row r="19" spans="2:45" ht="18.45" customHeight="1" x14ac:dyDescent="0.45">
      <c r="B19" s="25" t="s">
        <v>22</v>
      </c>
      <c r="C19" s="54">
        <f>cal!AE53</f>
        <v>0.25</v>
      </c>
      <c r="D19" s="58">
        <f>cal!AE60</f>
        <v>0.3783783783783784</v>
      </c>
      <c r="F19" s="16" t="str">
        <f>IF(TYPE(LEFT(cal!AV19,2))=16,"",LEFT(cal!AV19,2))</f>
        <v>SL</v>
      </c>
      <c r="G19" s="17" t="str">
        <f>IF(TYPE(LEFT(cal!AW19,2))=16,"",LEFT(cal!AW19,2))</f>
        <v>KI</v>
      </c>
      <c r="H19" s="17" t="str">
        <f>IF(TYPE(LEFT(cal!AX19,2))=16,"",LEFT(cal!AX19,2))</f>
        <v>FE</v>
      </c>
      <c r="I19" s="17" t="str">
        <f>IF(TYPE(LEFT(cal!AY19,2))=16,"",LEFT(cal!AY19,2))</f>
        <v>FE</v>
      </c>
      <c r="J19" s="17" t="str">
        <f>IF(TYPE(LEFT(cal!AZ19,2))=16,"",LEFT(cal!AZ19,2))</f>
        <v/>
      </c>
      <c r="K19" s="17" t="str">
        <f>IF(TYPE(LEFT(cal!BA19,2))=16,"",LEFT(cal!BA19,2))</f>
        <v/>
      </c>
      <c r="L19" s="18" t="str">
        <f>IF(TYPE(LEFT(cal!BB19,2))=16,"",LEFT(cal!BB19,2))</f>
        <v/>
      </c>
      <c r="N19" s="90"/>
      <c r="O19" s="90"/>
      <c r="P19" s="90"/>
      <c r="Q19" s="90"/>
      <c r="R19" s="33" t="str">
        <f>cal!GP18</f>
        <v>Back</v>
      </c>
      <c r="S19" s="33">
        <f>cal!GQ18</f>
        <v>3</v>
      </c>
      <c r="T19" s="36" t="str">
        <f>"("&amp;INT(cal!GQ18/(cal!GQ13+cal!GS13)*100)&amp;"%)"</f>
        <v>(37%)</v>
      </c>
      <c r="U19" s="36">
        <f>cal!GM18</f>
        <v>2</v>
      </c>
      <c r="V19" s="36">
        <f>cal!GN18</f>
        <v>1</v>
      </c>
      <c r="X19" s="72"/>
      <c r="Y19" s="72"/>
      <c r="Z19" s="72"/>
      <c r="AA19" s="72"/>
      <c r="AB19" s="31" t="str">
        <f>cal!GZ9</f>
        <v>Back</v>
      </c>
      <c r="AC19" s="31">
        <f>cal!HA9</f>
        <v>0</v>
      </c>
      <c r="AD19" s="35" t="str">
        <f>"("&amp;INT(cal!HA9/(cal!GV13+cal!GX13)*100)&amp;"%)"</f>
        <v>(0%)</v>
      </c>
      <c r="AE19" s="35">
        <f>cal!HC9</f>
        <v>0</v>
      </c>
      <c r="AF19" s="35">
        <f>cal!HD9</f>
        <v>0</v>
      </c>
    </row>
    <row r="20" spans="2:45" ht="18.45" customHeight="1" x14ac:dyDescent="0.45">
      <c r="B20" s="25" t="str">
        <f>"1st "&amp;B15</f>
        <v>1st SV得点率</v>
      </c>
      <c r="C20" s="54">
        <f>IF(TYPE(cal!AF49)=16,"",cal!AF49)</f>
        <v>0.5</v>
      </c>
      <c r="D20" s="58">
        <f>IF(TYPE(cal!AF56)=16,"", cal!AF56)</f>
        <v>1</v>
      </c>
      <c r="F20" s="16" t="str">
        <f>IF(TYPE(LEFT(cal!AV20,2))=16,"",LEFT(cal!AV20,2))</f>
        <v>KI</v>
      </c>
      <c r="G20" s="17" t="str">
        <f>IF(TYPE(LEFT(cal!AW20,2))=16,"",LEFT(cal!AW20,2))</f>
        <v/>
      </c>
      <c r="H20" s="17" t="str">
        <f>IF(TYPE(LEFT(cal!AX20,2))=16,"",LEFT(cal!AX20,2))</f>
        <v>FE</v>
      </c>
      <c r="I20" s="17" t="str">
        <f>IF(TYPE(LEFT(cal!AY20,2))=16,"",LEFT(cal!AY20,2))</f>
        <v>KI</v>
      </c>
      <c r="J20" s="17" t="str">
        <f>IF(TYPE(LEFT(cal!AZ20,2))=16,"",LEFT(cal!AZ20,2))</f>
        <v/>
      </c>
      <c r="K20" s="17" t="str">
        <f>IF(TYPE(LEFT(cal!BA20,2))=16,"",LEFT(cal!BA20,2))</f>
        <v/>
      </c>
      <c r="L20" s="18" t="str">
        <f>IF(TYPE(LEFT(cal!BB20,2))=16,"",LEFT(cal!BB20,2))</f>
        <v/>
      </c>
      <c r="N20" s="90"/>
      <c r="O20" s="90"/>
      <c r="P20" s="90"/>
      <c r="Q20" s="90"/>
      <c r="R20" s="33" t="str">
        <f>cal!GP19</f>
        <v>Side</v>
      </c>
      <c r="S20" s="33">
        <f>cal!GQ19</f>
        <v>5</v>
      </c>
      <c r="T20" s="36" t="str">
        <f>"("&amp;INT(cal!GQ19/(cal!GQ13+cal!GS13)*100)&amp;"%)"</f>
        <v>(62%)</v>
      </c>
      <c r="U20" s="36">
        <f>cal!GM19</f>
        <v>4</v>
      </c>
      <c r="V20" s="36">
        <f>cal!GN19</f>
        <v>1</v>
      </c>
      <c r="X20" s="72"/>
      <c r="Y20" s="72"/>
      <c r="Z20" s="72"/>
      <c r="AA20" s="72"/>
      <c r="AB20" s="31" t="str">
        <f>cal!GZ10</f>
        <v>Side</v>
      </c>
      <c r="AC20" s="31">
        <f>cal!HA10</f>
        <v>0</v>
      </c>
      <c r="AD20" s="35" t="str">
        <f>"("&amp;INT(cal!HA10/(cal!GV13+cal!GX13)*100)&amp;"%)"</f>
        <v>(0%)</v>
      </c>
      <c r="AE20" s="35">
        <f>cal!HC10</f>
        <v>0</v>
      </c>
      <c r="AF20" s="35">
        <f>cal!HD10</f>
        <v>0</v>
      </c>
    </row>
    <row r="21" spans="2:45" ht="18.45" customHeight="1" x14ac:dyDescent="0.45">
      <c r="B21" s="25" t="str">
        <f t="shared" ref="B21" si="0">"1st "&amp;B16</f>
        <v>1st RV得点率</v>
      </c>
      <c r="C21" s="54">
        <f>IF(TYPE(cal!AF50)=16,"",cal!AF50)</f>
        <v>0</v>
      </c>
      <c r="D21" s="58">
        <f xml:space="preserve"> IF(TYPE(cal!AF57)=16,"", cal!AF57)</f>
        <v>0.5</v>
      </c>
      <c r="F21" s="16" t="str">
        <f>IF(TYPE(LEFT(cal!AV21,2))=16,"",LEFT(cal!AV21,2))</f>
        <v>KI</v>
      </c>
      <c r="G21" s="17" t="str">
        <f>IF(TYPE(LEFT(cal!AW21,2))=16,"",LEFT(cal!AW21,2))</f>
        <v/>
      </c>
      <c r="H21" s="17" t="str">
        <f>IF(TYPE(LEFT(cal!AX21,2))=16,"",LEFT(cal!AX21,2))</f>
        <v/>
      </c>
      <c r="I21" s="17" t="str">
        <f>IF(TYPE(LEFT(cal!AY21,2))=16,"",LEFT(cal!AY21,2))</f>
        <v>FE</v>
      </c>
      <c r="J21" s="17" t="str">
        <f>IF(TYPE(LEFT(cal!AZ21,2))=16,"",LEFT(cal!AZ21,2))</f>
        <v/>
      </c>
      <c r="K21" s="17" t="str">
        <f>IF(TYPE(LEFT(cal!BA21,2))=16,"",LEFT(cal!BA21,2))</f>
        <v/>
      </c>
      <c r="L21" s="18" t="str">
        <f>IF(TYPE(LEFT(cal!BB21,2))=16,"",LEFT(cal!BB21,2))</f>
        <v/>
      </c>
      <c r="N21" s="90"/>
      <c r="O21" s="90"/>
      <c r="P21" s="90"/>
      <c r="Q21" s="90"/>
      <c r="R21" s="33" t="str">
        <f>cal!GP20</f>
        <v>(Side)</v>
      </c>
      <c r="S21" s="33">
        <f>cal!GQ20</f>
        <v>0</v>
      </c>
      <c r="T21" s="36" t="str">
        <f>"("&amp;INT(cal!GQ20/(cal!GQ13+cal!GS13)*100)&amp;"%)"</f>
        <v>(0%)</v>
      </c>
      <c r="U21" s="36">
        <f>cal!GM20</f>
        <v>0</v>
      </c>
      <c r="V21" s="36">
        <f>cal!GN20</f>
        <v>0</v>
      </c>
      <c r="X21" s="72"/>
      <c r="Y21" s="72"/>
      <c r="Z21" s="72"/>
      <c r="AA21" s="72"/>
      <c r="AB21" s="31" t="str">
        <f>cal!GZ11</f>
        <v>(Side)</v>
      </c>
      <c r="AC21" s="31">
        <f>cal!HA11</f>
        <v>8</v>
      </c>
      <c r="AD21" s="35" t="str">
        <f>"("&amp;INT(cal!HA11/(cal!GV13+cal!GX13)*100)&amp;"%)"</f>
        <v>(100%)</v>
      </c>
      <c r="AE21" s="35">
        <f>cal!HC11</f>
        <v>3</v>
      </c>
      <c r="AF21" s="35">
        <f>cal!HD11</f>
        <v>5</v>
      </c>
    </row>
    <row r="22" spans="2:45" ht="18.45" customHeight="1" x14ac:dyDescent="0.45">
      <c r="B22" s="25" t="str">
        <f>"2nd"&amp;B15</f>
        <v>2ndSV得点率</v>
      </c>
      <c r="C22" s="54">
        <f>IF(TYPE(cal!AG49)=16,"",cal!AG49)</f>
        <v>0.2857142857142857</v>
      </c>
      <c r="D22" s="58">
        <f xml:space="preserve"> IF(TYPE(cal!AG56)=16,"", cal!AG56)</f>
        <v>0.75</v>
      </c>
      <c r="F22" s="16" t="str">
        <f>IF(TYPE(LEFT(cal!AV22,2))=16,"",LEFT(cal!AV22,2))</f>
        <v/>
      </c>
      <c r="G22" s="17" t="str">
        <f>IF(TYPE(LEFT(cal!AW22,2))=16,"",LEFT(cal!AW22,2))</f>
        <v/>
      </c>
      <c r="H22" s="17" t="str">
        <f>IF(TYPE(LEFT(cal!AX22,2))=16,"",LEFT(cal!AX22,2))</f>
        <v/>
      </c>
      <c r="I22" s="17" t="str">
        <f>IF(TYPE(LEFT(cal!AY22,2))=16,"",LEFT(cal!AY22,2))</f>
        <v>FE</v>
      </c>
      <c r="J22" s="17" t="str">
        <f>IF(TYPE(LEFT(cal!AZ22,2))=16,"",LEFT(cal!AZ22,2))</f>
        <v/>
      </c>
      <c r="K22" s="17" t="str">
        <f>IF(TYPE(LEFT(cal!BA22,2))=16,"",LEFT(cal!BA22,2))</f>
        <v/>
      </c>
      <c r="L22" s="18" t="str">
        <f>IF(TYPE(LEFT(cal!BB22,2))=16,"",LEFT(cal!BB22,2))</f>
        <v/>
      </c>
      <c r="N22" s="25" t="str">
        <f>IF(C1="R",C2,"")</f>
        <v>FENG Tianwei</v>
      </c>
      <c r="O22" s="61"/>
      <c r="P22" s="25"/>
      <c r="Q22" s="64" t="str">
        <f>IF(C1="L",C2,"")</f>
        <v/>
      </c>
      <c r="X22" s="25" t="str">
        <f>IF(D1="R",D2,"")</f>
        <v>KIHARA Miyuu</v>
      </c>
      <c r="Y22" s="61"/>
      <c r="Z22" s="61"/>
      <c r="AA22" s="64" t="str">
        <f>IF(D1="L",D2,"")</f>
        <v/>
      </c>
    </row>
    <row r="23" spans="2:45" ht="18.45" customHeight="1" x14ac:dyDescent="0.45">
      <c r="B23" s="25" t="str">
        <f>"2nd"&amp;B16</f>
        <v>2ndRV得点率</v>
      </c>
      <c r="C23" s="54">
        <f>IF(TYPE(cal!AG50)=16,"", cal!AG50)</f>
        <v>0.25</v>
      </c>
      <c r="D23" s="58">
        <f xml:space="preserve"> IF(TYPE(cal!AG57)=16,"", cal!AG57)</f>
        <v>0.7142857142857143</v>
      </c>
      <c r="F23" s="16" t="str">
        <f>IF(TYPE(LEFT(cal!AV23,2))=16,"",LEFT(cal!AV23,2))</f>
        <v/>
      </c>
      <c r="G23" s="17" t="str">
        <f>IF(TYPE(LEFT(cal!AW23,2))=16,"",LEFT(cal!AW23,2))</f>
        <v/>
      </c>
      <c r="H23" s="17" t="str">
        <f>IF(TYPE(LEFT(cal!AX23,2))=16,"",LEFT(cal!AX23,2))</f>
        <v/>
      </c>
      <c r="I23" s="17" t="str">
        <f>IF(TYPE(LEFT(cal!AY23,2))=16,"",LEFT(cal!AY23,2))</f>
        <v>FE</v>
      </c>
      <c r="J23" s="17" t="str">
        <f>IF(TYPE(LEFT(cal!AZ23,2))=16,"",LEFT(cal!AZ23,2))</f>
        <v/>
      </c>
      <c r="K23" s="17" t="str">
        <f>IF(TYPE(LEFT(cal!BA23,2))=16,"",LEFT(cal!BA23,2))</f>
        <v/>
      </c>
      <c r="L23" s="18" t="str">
        <f>IF(TYPE(LEFT(cal!BB23,2))=16,"",LEFT(cal!BB23,2))</f>
        <v/>
      </c>
      <c r="N23" s="26" t="s">
        <v>64</v>
      </c>
      <c r="X23" s="26" t="s">
        <v>64</v>
      </c>
      <c r="AN23" s="27"/>
    </row>
    <row r="24" spans="2:45" ht="18.45" customHeight="1" x14ac:dyDescent="0.45">
      <c r="B24" s="25" t="str">
        <f>"3rd"&amp;B15</f>
        <v>3rdSV得点率</v>
      </c>
      <c r="C24" s="54">
        <f xml:space="preserve"> IF(TYPE(cal!AH49)=16,"", cal!AH49)</f>
        <v>0.75</v>
      </c>
      <c r="D24" s="58">
        <f xml:space="preserve"> IF(TYPE(cal!AH56)=16,"", cal!AH56)</f>
        <v>0.375</v>
      </c>
      <c r="F24" s="16" t="str">
        <f>IF(TYPE(LEFT(cal!AV24,2))=16,"",LEFT(cal!AV24,2))</f>
        <v/>
      </c>
      <c r="G24" s="17" t="str">
        <f>IF(TYPE(LEFT(cal!AW24,2))=16,"",LEFT(cal!AW24,2))</f>
        <v/>
      </c>
      <c r="H24" s="17" t="str">
        <f>IF(TYPE(LEFT(cal!AX24,2))=16,"",LEFT(cal!AX24,2))</f>
        <v/>
      </c>
      <c r="I24" s="17" t="str">
        <f>IF(TYPE(LEFT(cal!AY24,2))=16,"",LEFT(cal!AY24,2))</f>
        <v/>
      </c>
      <c r="J24" s="17" t="str">
        <f>IF(TYPE(LEFT(cal!AZ24,2))=16,"",LEFT(cal!AZ24,2))</f>
        <v/>
      </c>
      <c r="K24" s="17" t="str">
        <f>IF(TYPE(LEFT(cal!BA24,2))=16,"",LEFT(cal!BA24,2))</f>
        <v/>
      </c>
      <c r="L24" s="18" t="str">
        <f>IF(TYPE(LEFT(cal!BB24,2))=16,"",LEFT(cal!BB24,2))</f>
        <v/>
      </c>
    </row>
    <row r="25" spans="2:45" ht="18.45" customHeight="1" x14ac:dyDescent="0.45">
      <c r="B25" s="25" t="str">
        <f>"3rd"&amp;B16</f>
        <v>3rdRV得点率</v>
      </c>
      <c r="C25" s="54">
        <f xml:space="preserve"> IF(TYPE(cal!AH50)=16,"", cal!AH50)</f>
        <v>0.625</v>
      </c>
      <c r="D25" s="58">
        <f xml:space="preserve"> IF(TYPE(cal!AH57)=16,"", cal!AH57)</f>
        <v>0.25</v>
      </c>
      <c r="F25" s="16" t="str">
        <f>IF(TYPE(LEFT(cal!AV25,2))=16,"",LEFT(cal!AV25,2))</f>
        <v/>
      </c>
      <c r="G25" s="17" t="str">
        <f>IF(TYPE(LEFT(cal!AW25,2))=16,"",LEFT(cal!AW25,2))</f>
        <v/>
      </c>
      <c r="H25" s="17" t="str">
        <f>IF(TYPE(LEFT(cal!AX25,2))=16,"",LEFT(cal!AX25,2))</f>
        <v/>
      </c>
      <c r="I25" s="17" t="str">
        <f>IF(TYPE(LEFT(cal!AY25,2))=16,"",LEFT(cal!AY25,2))</f>
        <v/>
      </c>
      <c r="J25" s="17" t="str">
        <f>IF(TYPE(LEFT(cal!AZ25,2))=16,"",LEFT(cal!AZ25,2))</f>
        <v/>
      </c>
      <c r="K25" s="17" t="str">
        <f>IF(TYPE(LEFT(cal!BA25,2))=16,"",LEFT(cal!BA25,2))</f>
        <v/>
      </c>
      <c r="L25" s="18" t="str">
        <f>IF(TYPE(LEFT(cal!BB25,2))=16,"",LEFT(cal!BB25,2))</f>
        <v/>
      </c>
      <c r="N25" s="73" t="s">
        <v>82</v>
      </c>
      <c r="O25" s="73"/>
      <c r="P25" s="73"/>
      <c r="Q25" s="73"/>
      <c r="R25" s="73"/>
      <c r="S25" s="73"/>
      <c r="T25" s="73"/>
      <c r="U25" s="73"/>
      <c r="V25" s="73"/>
      <c r="W25" s="73"/>
      <c r="X25" s="73"/>
      <c r="Y25" s="73"/>
      <c r="Z25" s="73"/>
      <c r="AA25" s="73"/>
      <c r="AB25" s="73"/>
      <c r="AC25" s="73"/>
      <c r="AD25" s="73"/>
      <c r="AE25" s="48"/>
      <c r="AF25" s="48"/>
    </row>
    <row r="26" spans="2:45" ht="18.45" customHeight="1" x14ac:dyDescent="0.45">
      <c r="B26" s="25" t="str">
        <f>"4th"&amp;B15</f>
        <v>4thSV得点率</v>
      </c>
      <c r="C26" s="54">
        <f xml:space="preserve"> IF(TYPE(cal!AI49)=16,"", cal!AI49)</f>
        <v>0.77777777777777779</v>
      </c>
      <c r="D26" s="58">
        <f xml:space="preserve"> IF(TYPE(cal!AI56)=16,"", cal!AI56)</f>
        <v>0.6</v>
      </c>
      <c r="F26" s="16" t="str">
        <f>IF(TYPE(LEFT(cal!AV26,2))=16,"",LEFT(cal!AV26,2))</f>
        <v/>
      </c>
      <c r="G26" s="17" t="str">
        <f>IF(TYPE(LEFT(cal!AW26,2))=16,"",LEFT(cal!AW26,2))</f>
        <v/>
      </c>
      <c r="H26" s="17" t="str">
        <f>IF(TYPE(LEFT(cal!AX26,2))=16,"",LEFT(cal!AX26,2))</f>
        <v/>
      </c>
      <c r="I26" s="17" t="str">
        <f>IF(TYPE(LEFT(cal!AY26,2))=16,"",LEFT(cal!AY26,2))</f>
        <v/>
      </c>
      <c r="J26" s="17" t="str">
        <f>IF(TYPE(LEFT(cal!AZ26,2))=16,"",LEFT(cal!AZ26,2))</f>
        <v/>
      </c>
      <c r="K26" s="17" t="str">
        <f>IF(TYPE(LEFT(cal!BA26,2))=16,"",LEFT(cal!BA26,2))</f>
        <v/>
      </c>
      <c r="L26" s="18" t="str">
        <f>IF(TYPE(LEFT(cal!BB26,2))=16,"",LEFT(cal!BB26,2))</f>
        <v/>
      </c>
    </row>
    <row r="27" spans="2:45" ht="18.45" customHeight="1" x14ac:dyDescent="0.45">
      <c r="B27" s="25" t="str">
        <f>"4th"&amp;B16</f>
        <v>4thRV得点率</v>
      </c>
      <c r="C27" s="54">
        <f xml:space="preserve"> IF(TYPE(cal!AI50)=16,"", cal!AI50)</f>
        <v>0.4</v>
      </c>
      <c r="D27" s="58">
        <f xml:space="preserve"> IF(TYPE(cal!AI57)=16,"", cal!AI57)</f>
        <v>0.22222222222222221</v>
      </c>
      <c r="F27" s="16" t="str">
        <f>IF(TYPE(LEFT(cal!AV27,2))=16,"",LEFT(cal!AV27,2))</f>
        <v/>
      </c>
      <c r="G27" s="17" t="str">
        <f>IF(TYPE(LEFT(cal!AW27,2))=16,"",LEFT(cal!AW27,2))</f>
        <v/>
      </c>
      <c r="H27" s="17" t="str">
        <f>IF(TYPE(LEFT(cal!AX27,2))=16,"",LEFT(cal!AX27,2))</f>
        <v/>
      </c>
      <c r="I27" s="17" t="str">
        <f>IF(TYPE(LEFT(cal!AY27,2))=16,"",LEFT(cal!AY27,2))</f>
        <v/>
      </c>
      <c r="J27" s="17" t="str">
        <f>IF(TYPE(LEFT(cal!AZ27,2))=16,"",LEFT(cal!AZ27,2))</f>
        <v/>
      </c>
      <c r="K27" s="17" t="str">
        <f>IF(TYPE(LEFT(cal!BA27,2))=16,"",LEFT(cal!BA27,2))</f>
        <v/>
      </c>
      <c r="L27" s="18" t="str">
        <f>IF(TYPE(LEFT(cal!BB27,2))=16,"",LEFT(cal!BB27,2))</f>
        <v/>
      </c>
      <c r="N27" s="26" t="s">
        <v>65</v>
      </c>
      <c r="X27" s="26" t="s">
        <v>65</v>
      </c>
    </row>
    <row r="28" spans="2:45" ht="18.45" customHeight="1" x14ac:dyDescent="0.45">
      <c r="B28" s="25" t="str">
        <f>"5th"&amp;B15</f>
        <v>5thSV得点率</v>
      </c>
      <c r="C28" s="54">
        <f xml:space="preserve"> IF(TYPE(cal!AJ49)=16,"", cal!AJ49)</f>
        <v>0.25</v>
      </c>
      <c r="D28" s="58">
        <f xml:space="preserve"> IF(TYPE(cal!AJ56)=16,"", cal!AJ56)</f>
        <v>0</v>
      </c>
      <c r="F28" s="16" t="str">
        <f>IF(TYPE(LEFT(cal!AV28,2))=16,"",LEFT(cal!AV28,2))</f>
        <v/>
      </c>
      <c r="G28" s="17" t="str">
        <f>IF(TYPE(LEFT(cal!AW28,2))=16,"",LEFT(cal!AW28,2))</f>
        <v/>
      </c>
      <c r="H28" s="17" t="str">
        <f>IF(TYPE(LEFT(cal!AX28,2))=16,"",LEFT(cal!AX28,2))</f>
        <v/>
      </c>
      <c r="I28" s="17" t="str">
        <f>IF(TYPE(LEFT(cal!AY28,2))=16,"",LEFT(cal!AY28,2))</f>
        <v/>
      </c>
      <c r="J28" s="17" t="str">
        <f>IF(TYPE(LEFT(cal!AZ28,2))=16,"",LEFT(cal!AZ28,2))</f>
        <v/>
      </c>
      <c r="K28" s="17" t="str">
        <f>IF(TYPE(LEFT(cal!BA28,2))=16,"",LEFT(cal!BA28,2))</f>
        <v/>
      </c>
      <c r="L28" s="18" t="str">
        <f>IF(TYPE(LEFT(cal!BB28,2))=16,"",LEFT(cal!BB28,2))</f>
        <v/>
      </c>
    </row>
    <row r="29" spans="2:45" ht="21.45" customHeight="1" x14ac:dyDescent="0.45">
      <c r="B29" s="25" t="str">
        <f>"5th"&amp;B16</f>
        <v>5thRV得点率</v>
      </c>
      <c r="C29" s="54">
        <f xml:space="preserve"> IF(TYPE(cal!AJ50)=16,"", cal!AJ50)</f>
        <v>1</v>
      </c>
      <c r="D29" s="58">
        <f xml:space="preserve"> IF(TYPE(cal!AJ57)=16,"", cal!AJ57)</f>
        <v>0.75</v>
      </c>
      <c r="F29" s="16" t="str">
        <f>IF(TYPE(LEFT(cal!AV29,2))=16,"",LEFT(cal!AV29,2))</f>
        <v/>
      </c>
      <c r="G29" s="17" t="str">
        <f>IF(TYPE(LEFT(cal!AW29,2))=16,"",LEFT(cal!AW29,2))</f>
        <v/>
      </c>
      <c r="H29" s="17" t="str">
        <f>IF(TYPE(LEFT(cal!AX29,2))=16,"",LEFT(cal!AX29,2))</f>
        <v/>
      </c>
      <c r="I29" s="17" t="str">
        <f>IF(TYPE(LEFT(cal!AY29,2))=16,"",LEFT(cal!AY29,2))</f>
        <v/>
      </c>
      <c r="J29" s="17" t="str">
        <f>IF(TYPE(LEFT(cal!AZ29,2))=16,"",LEFT(cal!AZ29,2))</f>
        <v/>
      </c>
      <c r="K29" s="17" t="str">
        <f>IF(TYPE(LEFT(cal!BA29,2))=16,"",LEFT(cal!BA29,2))</f>
        <v/>
      </c>
      <c r="L29" s="18" t="str">
        <f>IF(TYPE(LEFT(cal!BB29,2))=16,"",LEFT(cal!BB29,2))</f>
        <v/>
      </c>
      <c r="N29" s="69" t="str">
        <f>N4</f>
        <v/>
      </c>
      <c r="O29" s="25"/>
      <c r="P29" s="25"/>
      <c r="Q29" s="64" t="str">
        <f>Q4</f>
        <v>KIHARA Miyuu</v>
      </c>
      <c r="U29" s="35" t="str">
        <f>cal!HH62</f>
        <v>Gain</v>
      </c>
      <c r="V29" s="35" t="str">
        <f>cal!HI62</f>
        <v>Loose</v>
      </c>
      <c r="X29" s="69" t="str">
        <f>X4</f>
        <v/>
      </c>
      <c r="Y29" s="25"/>
      <c r="Z29" s="25"/>
      <c r="AA29" s="64" t="str">
        <f>AA4</f>
        <v>FENG Tianwei</v>
      </c>
      <c r="AE29" s="60" t="str">
        <f>cal!HH34</f>
        <v>Gain</v>
      </c>
      <c r="AF29" s="60" t="str">
        <f>cal!HI34</f>
        <v>Loose</v>
      </c>
    </row>
    <row r="30" spans="2:45" ht="18.45" customHeight="1" x14ac:dyDescent="0.45">
      <c r="B30" s="25" t="str">
        <f>"6th"&amp;B15</f>
        <v>6thSV得点率</v>
      </c>
      <c r="C30" s="54" t="str">
        <f xml:space="preserve"> IF(TYPE(cal!AK49)=16,"", cal!AK49)</f>
        <v/>
      </c>
      <c r="D30" s="58" t="str">
        <f xml:space="preserve"> IF(TYPE(cal!AK56)=16,"", cal!AK56)</f>
        <v/>
      </c>
      <c r="F30" s="16" t="str">
        <f>IF(TYPE(LEFT(cal!AV30,2))=16,"",LEFT(cal!AV30,2))</f>
        <v/>
      </c>
      <c r="G30" s="17" t="str">
        <f>IF(TYPE(LEFT(cal!AW30,2))=16,"",LEFT(cal!AW30,2))</f>
        <v/>
      </c>
      <c r="H30" s="17" t="str">
        <f>IF(TYPE(LEFT(cal!AX30,2))=16,"",LEFT(cal!AX30,2))</f>
        <v/>
      </c>
      <c r="I30" s="17" t="str">
        <f>IF(TYPE(LEFT(cal!AY30,2))=16,"",LEFT(cal!AY30,2))</f>
        <v/>
      </c>
      <c r="J30" s="17" t="str">
        <f>IF(TYPE(LEFT(cal!AZ30,2))=16,"",LEFT(cal!AZ30,2))</f>
        <v/>
      </c>
      <c r="K30" s="17" t="str">
        <f>IF(TYPE(LEFT(cal!BA30,2))=16,"",LEFT(cal!BA30,2))</f>
        <v/>
      </c>
      <c r="L30" s="18" t="str">
        <f>IF(TYPE(LEFT(cal!BB30,2))=16,"",LEFT(cal!BB30,2))</f>
        <v/>
      </c>
      <c r="N30" s="76" t="str">
        <f>cal!HH51</f>
        <v>ネット</v>
      </c>
      <c r="O30" s="77"/>
      <c r="P30" s="77"/>
      <c r="Q30" s="78"/>
      <c r="R30" s="31" t="str">
        <f t="shared" ref="R30:R37" si="1">R5</f>
        <v>Chiquita</v>
      </c>
      <c r="S30" s="31">
        <f>cal!HF54</f>
        <v>0</v>
      </c>
      <c r="T30" s="35" t="str">
        <f>"("&amp;INT(cal!HF54/SUM(cal!HF$54:HF$61)*100)&amp;"%)"</f>
        <v>(0%)</v>
      </c>
      <c r="U30" s="35">
        <f>cal!HH54</f>
        <v>0</v>
      </c>
      <c r="V30" s="35">
        <f>cal!HI54</f>
        <v>0</v>
      </c>
      <c r="X30" s="82" t="str">
        <f>cal!HH46</f>
        <v>ネット</v>
      </c>
      <c r="Y30" s="83"/>
      <c r="Z30" s="83"/>
      <c r="AA30" s="84"/>
      <c r="AB30" s="33" t="str">
        <f t="shared" ref="AB30:AB37" si="2">AB5</f>
        <v>Chiquita</v>
      </c>
      <c r="AC30" s="33">
        <f>cal!HF35</f>
        <v>8</v>
      </c>
      <c r="AD30" s="36" t="str">
        <f>"("&amp;INT(cal!HF35/SUM(cal!HF$35:HF$42)*100)&amp;"%)"</f>
        <v>(21%)</v>
      </c>
      <c r="AE30" s="60">
        <f>cal!HH35</f>
        <v>4</v>
      </c>
      <c r="AF30" s="60">
        <f>cal!HI35</f>
        <v>4</v>
      </c>
    </row>
    <row r="31" spans="2:45" ht="18.45" customHeight="1" x14ac:dyDescent="0.45">
      <c r="B31" s="25" t="str">
        <f>"6th"&amp;B16</f>
        <v>6thRV得点率</v>
      </c>
      <c r="C31" s="54" t="str">
        <f xml:space="preserve"> IF(TYPE(cal!AK50)=16,"", cal!AK50)</f>
        <v/>
      </c>
      <c r="D31" s="58" t="str">
        <f xml:space="preserve"> IF(TYPE(cal!AK57)=16,"", cal!AK57)</f>
        <v/>
      </c>
      <c r="F31" s="16" t="str">
        <f>IF(TYPE(LEFT(cal!AV31,2))=16,"",LEFT(cal!AV31,2))</f>
        <v/>
      </c>
      <c r="G31" s="17" t="str">
        <f>IF(TYPE(LEFT(cal!AW31,2))=16,"",LEFT(cal!AW31,2))</f>
        <v/>
      </c>
      <c r="H31" s="17" t="str">
        <f>IF(TYPE(LEFT(cal!AX31,2))=16,"",LEFT(cal!AX31,2))</f>
        <v/>
      </c>
      <c r="I31" s="17" t="str">
        <f>IF(TYPE(LEFT(cal!AY31,2))=16,"",LEFT(cal!AY31,2))</f>
        <v/>
      </c>
      <c r="J31" s="17" t="str">
        <f>IF(TYPE(LEFT(cal!AZ31,2))=16,"",LEFT(cal!AZ31,2))</f>
        <v/>
      </c>
      <c r="K31" s="17" t="str">
        <f>IF(TYPE(LEFT(cal!BA31,2))=16,"",LEFT(cal!BA31,2))</f>
        <v/>
      </c>
      <c r="L31" s="18" t="str">
        <f>IF(TYPE(LEFT(cal!BB31,2))=16,"",LEFT(cal!BB31,2))</f>
        <v/>
      </c>
      <c r="N31" s="79">
        <f>cal!HI51</f>
        <v>2</v>
      </c>
      <c r="O31" s="80"/>
      <c r="P31" s="80"/>
      <c r="Q31" s="81"/>
      <c r="R31" s="31" t="str">
        <f t="shared" si="1"/>
        <v>Flick</v>
      </c>
      <c r="S31" s="31">
        <f>cal!HF55</f>
        <v>1</v>
      </c>
      <c r="T31" s="35" t="str">
        <f>"("&amp;INT(cal!HF55/SUM(cal!HF$54:HF$61)*100)&amp;"%)"</f>
        <v>(2%)</v>
      </c>
      <c r="U31" s="35">
        <f>cal!HH55</f>
        <v>1</v>
      </c>
      <c r="V31" s="35">
        <f>cal!HI55</f>
        <v>0</v>
      </c>
      <c r="X31" s="85">
        <f>cal!HI46</f>
        <v>2</v>
      </c>
      <c r="Y31" s="86"/>
      <c r="Z31" s="86"/>
      <c r="AA31" s="87"/>
      <c r="AB31" s="33" t="str">
        <f t="shared" si="2"/>
        <v>Flick</v>
      </c>
      <c r="AC31" s="33">
        <f>cal!HF36</f>
        <v>0</v>
      </c>
      <c r="AD31" s="36" t="str">
        <f>"("&amp;INT(cal!HF36/SUM(cal!HF$35:HF$42)*100)&amp;"%)"</f>
        <v>(0%)</v>
      </c>
      <c r="AE31" s="60">
        <f>cal!HH36</f>
        <v>0</v>
      </c>
      <c r="AF31" s="60">
        <f>cal!HI36</f>
        <v>0</v>
      </c>
      <c r="AO31" s="32"/>
      <c r="AP31" s="32"/>
      <c r="AQ31" s="32"/>
      <c r="AR31" s="36"/>
      <c r="AS31" s="36"/>
    </row>
    <row r="32" spans="2:45" ht="19.95" customHeight="1" x14ac:dyDescent="0.45">
      <c r="B32" s="25" t="str">
        <f>"7th"&amp;B15</f>
        <v>7thSV得点率</v>
      </c>
      <c r="C32" s="54" t="str">
        <f xml:space="preserve"> IF(TYPE(cal!AL49)=16,"", cal!AL49)</f>
        <v/>
      </c>
      <c r="D32" s="58" t="str">
        <f xml:space="preserve"> IF(TYPE(cal!AL56)=16,"", cal!AL56)</f>
        <v/>
      </c>
      <c r="F32" s="16" t="str">
        <f>IF(TYPE(LEFT(cal!AV32,2))=16,"",LEFT(cal!AV32,2))</f>
        <v/>
      </c>
      <c r="G32" s="17" t="str">
        <f>IF(TYPE(LEFT(cal!AW32,2))=16,"",LEFT(cal!AW32,2))</f>
        <v/>
      </c>
      <c r="H32" s="17" t="str">
        <f>IF(TYPE(LEFT(cal!AX32,2))=16,"",LEFT(cal!AX32,2))</f>
        <v/>
      </c>
      <c r="I32" s="17" t="str">
        <f>IF(TYPE(LEFT(cal!AY32,2))=16,"",LEFT(cal!AY32,2))</f>
        <v/>
      </c>
      <c r="J32" s="17" t="str">
        <f>IF(TYPE(LEFT(cal!AZ32,2))=16,"",LEFT(cal!AZ32,2))</f>
        <v/>
      </c>
      <c r="K32" s="17" t="str">
        <f>IF(TYPE(LEFT(cal!BA32,2))=16,"",LEFT(cal!BA32,2))</f>
        <v/>
      </c>
      <c r="L32" s="18" t="str">
        <f>IF(TYPE(LEFT(cal!BB32,2))=16,"",LEFT(cal!BB32,2))</f>
        <v/>
      </c>
      <c r="N32" s="74">
        <f>cal!HJ50</f>
        <v>1</v>
      </c>
      <c r="O32" s="74">
        <f>cal!HK50</f>
        <v>3</v>
      </c>
      <c r="P32" s="74">
        <f>cal!HL50</f>
        <v>4</v>
      </c>
      <c r="Q32" s="74">
        <f>cal!HM50</f>
        <v>1</v>
      </c>
      <c r="R32" s="31" t="str">
        <f t="shared" si="1"/>
        <v>Push</v>
      </c>
      <c r="S32" s="31">
        <f>cal!HF56</f>
        <v>7</v>
      </c>
      <c r="T32" s="35" t="str">
        <f>"("&amp;INT(cal!HF56/SUM(cal!HF$54:HF$61)*100)&amp;"%)"</f>
        <v>(19%)</v>
      </c>
      <c r="U32" s="35">
        <f>cal!HH56</f>
        <v>4</v>
      </c>
      <c r="V32" s="35">
        <f>cal!HI56</f>
        <v>3</v>
      </c>
      <c r="X32" s="88">
        <f>cal!HJ45</f>
        <v>0</v>
      </c>
      <c r="Y32" s="88">
        <f>cal!HK45</f>
        <v>1</v>
      </c>
      <c r="Z32" s="88">
        <f>cal!HL45</f>
        <v>2</v>
      </c>
      <c r="AA32" s="88">
        <f>cal!HM45</f>
        <v>1</v>
      </c>
      <c r="AB32" s="33" t="str">
        <f t="shared" si="2"/>
        <v>Push</v>
      </c>
      <c r="AC32" s="33">
        <f>cal!HF37</f>
        <v>13</v>
      </c>
      <c r="AD32" s="36" t="str">
        <f>"("&amp;INT(cal!HF37/SUM(cal!HF$35:HF$42)*100)&amp;"%)"</f>
        <v>(35%)</v>
      </c>
      <c r="AE32" s="60">
        <f>cal!HH37</f>
        <v>2</v>
      </c>
      <c r="AF32" s="60">
        <f>cal!HI37</f>
        <v>11</v>
      </c>
      <c r="AO32" s="32"/>
      <c r="AP32" s="32"/>
      <c r="AQ32" s="32"/>
      <c r="AR32" s="36"/>
      <c r="AS32" s="36"/>
    </row>
    <row r="33" spans="2:45" ht="19.95" customHeight="1" x14ac:dyDescent="0.45">
      <c r="B33" s="25" t="str">
        <f>"7th"&amp;B16</f>
        <v>7thRV得点率</v>
      </c>
      <c r="C33" s="54" t="str">
        <f xml:space="preserve"> IF(TYPE(cal!AL50)=16,"", cal!AL50)</f>
        <v/>
      </c>
      <c r="D33" s="58" t="str">
        <f xml:space="preserve"> IF(TYPE(cal!AL57)=16,"", cal!AL57)</f>
        <v/>
      </c>
      <c r="F33" s="16" t="str">
        <f>IF(TYPE(LEFT(cal!AV33,2))=16,"",LEFT(cal!AV33,2))</f>
        <v/>
      </c>
      <c r="G33" s="17" t="str">
        <f>IF(TYPE(LEFT(cal!AW33,2))=16,"",LEFT(cal!AW33,2))</f>
        <v/>
      </c>
      <c r="H33" s="17" t="str">
        <f>IF(TYPE(LEFT(cal!AX33,2))=16,"",LEFT(cal!AX33,2))</f>
        <v/>
      </c>
      <c r="I33" s="17" t="str">
        <f>IF(TYPE(LEFT(cal!AY33,2))=16,"",LEFT(cal!AY33,2))</f>
        <v/>
      </c>
      <c r="J33" s="17" t="str">
        <f>IF(TYPE(LEFT(cal!AZ33,2))=16,"",LEFT(cal!AZ33,2))</f>
        <v/>
      </c>
      <c r="K33" s="17" t="str">
        <f>IF(TYPE(LEFT(cal!BA33,2))=16,"",LEFT(cal!BA33,2))</f>
        <v/>
      </c>
      <c r="L33" s="18" t="str">
        <f>IF(TYPE(LEFT(cal!BB33,2))=16,"",LEFT(cal!BB33,2))</f>
        <v/>
      </c>
      <c r="N33" s="75"/>
      <c r="O33" s="75"/>
      <c r="P33" s="75"/>
      <c r="Q33" s="75"/>
      <c r="R33" s="31" t="str">
        <f t="shared" si="1"/>
        <v>Stop</v>
      </c>
      <c r="S33" s="31">
        <f>cal!HF57</f>
        <v>5</v>
      </c>
      <c r="T33" s="35" t="str">
        <f>"("&amp;INT(cal!HF57/SUM(cal!HF$54:HF$61)*100)&amp;"%)"</f>
        <v>(13%)</v>
      </c>
      <c r="U33" s="35">
        <f>cal!HH57</f>
        <v>3</v>
      </c>
      <c r="V33" s="35">
        <f>cal!HI57</f>
        <v>2</v>
      </c>
      <c r="X33" s="89"/>
      <c r="Y33" s="89"/>
      <c r="Z33" s="89"/>
      <c r="AA33" s="89"/>
      <c r="AB33" s="33" t="str">
        <f t="shared" si="2"/>
        <v>Stop</v>
      </c>
      <c r="AC33" s="33">
        <f>cal!HF38</f>
        <v>3</v>
      </c>
      <c r="AD33" s="36" t="str">
        <f>"("&amp;INT(cal!HF38/SUM(cal!HF$35:HF$42)*100)&amp;"%)"</f>
        <v>(8%)</v>
      </c>
      <c r="AE33" s="60">
        <f>cal!HH38</f>
        <v>1</v>
      </c>
      <c r="AF33" s="60">
        <f>cal!HI38</f>
        <v>2</v>
      </c>
      <c r="AO33" s="32"/>
      <c r="AP33" s="32"/>
      <c r="AQ33" s="32"/>
      <c r="AR33" s="36"/>
      <c r="AS33" s="36"/>
    </row>
    <row r="34" spans="2:45" ht="19.95" customHeight="1" x14ac:dyDescent="0.45">
      <c r="B34" s="25"/>
      <c r="C34" s="39"/>
      <c r="D34" s="39"/>
      <c r="F34" s="16" t="str">
        <f>IF(TYPE(LEFT(cal!AV34,2))=16,"",LEFT(cal!AV34,2))</f>
        <v/>
      </c>
      <c r="G34" s="17" t="str">
        <f>IF(TYPE(LEFT(cal!AW34,2))=16,"",LEFT(cal!AW34,2))</f>
        <v/>
      </c>
      <c r="H34" s="17" t="str">
        <f>IF(TYPE(LEFT(cal!AX34,2))=16,"",LEFT(cal!AX34,2))</f>
        <v/>
      </c>
      <c r="I34" s="17" t="str">
        <f>IF(TYPE(LEFT(cal!AY34,2))=16,"",LEFT(cal!AY34,2))</f>
        <v/>
      </c>
      <c r="J34" s="17" t="str">
        <f>IF(TYPE(LEFT(cal!AZ34,2))=16,"",LEFT(cal!AZ34,2))</f>
        <v/>
      </c>
      <c r="K34" s="17" t="str">
        <f>IF(TYPE(LEFT(cal!BA34,2))=16,"",LEFT(cal!BA34,2))</f>
        <v/>
      </c>
      <c r="L34" s="18" t="str">
        <f>IF(TYPE(LEFT(cal!BB34,2))=16,"",LEFT(cal!BB34,2))</f>
        <v/>
      </c>
      <c r="N34" s="74">
        <f>cal!HJ51</f>
        <v>5</v>
      </c>
      <c r="O34" s="74">
        <f>cal!HK51</f>
        <v>10</v>
      </c>
      <c r="P34" s="74">
        <f>cal!HL51</f>
        <v>3</v>
      </c>
      <c r="Q34" s="74">
        <f>cal!HM51</f>
        <v>4</v>
      </c>
      <c r="R34" s="31" t="str">
        <f t="shared" si="1"/>
        <v>その他</v>
      </c>
      <c r="S34" s="31">
        <f>cal!HF58</f>
        <v>0</v>
      </c>
      <c r="T34" s="35" t="str">
        <f>"("&amp;INT(cal!HF58/SUM(cal!HF$54:HF$61)*100)&amp;"%)"</f>
        <v>(0%)</v>
      </c>
      <c r="U34" s="35">
        <f>cal!HH58</f>
        <v>0</v>
      </c>
      <c r="V34" s="35">
        <f>cal!HI58</f>
        <v>0</v>
      </c>
      <c r="X34" s="88">
        <f>cal!HJ46</f>
        <v>9</v>
      </c>
      <c r="Y34" s="88">
        <f>cal!HK46</f>
        <v>13</v>
      </c>
      <c r="Z34" s="88">
        <f>cal!HL46</f>
        <v>2</v>
      </c>
      <c r="AA34" s="88">
        <f>cal!HM46</f>
        <v>4</v>
      </c>
      <c r="AB34" s="33" t="str">
        <f t="shared" si="2"/>
        <v>その他</v>
      </c>
      <c r="AC34" s="33">
        <f>cal!HF39</f>
        <v>0</v>
      </c>
      <c r="AD34" s="36" t="str">
        <f>"("&amp;INT(cal!HF39/SUM(cal!HF$35:HF$42)*100)&amp;"%)"</f>
        <v>(0%)</v>
      </c>
      <c r="AE34" s="60">
        <f>cal!HH39</f>
        <v>0</v>
      </c>
      <c r="AF34" s="60">
        <f>cal!HI39</f>
        <v>0</v>
      </c>
      <c r="AO34" s="32"/>
      <c r="AP34" s="32"/>
      <c r="AQ34" s="32"/>
      <c r="AR34" s="36"/>
      <c r="AS34" s="36"/>
    </row>
    <row r="35" spans="2:45" ht="19.95" customHeight="1" x14ac:dyDescent="0.45">
      <c r="B35" s="25"/>
      <c r="C35" s="39"/>
      <c r="D35" s="39"/>
      <c r="F35" s="16" t="str">
        <f>IF(TYPE(LEFT(cal!AV35,2))=16,"",LEFT(cal!AV35,2))</f>
        <v/>
      </c>
      <c r="G35" s="17" t="str">
        <f>IF(TYPE(LEFT(cal!AW35,2))=16,"",LEFT(cal!AW35,2))</f>
        <v/>
      </c>
      <c r="H35" s="17" t="str">
        <f>IF(TYPE(LEFT(cal!AX35,2))=16,"",LEFT(cal!AX35,2))</f>
        <v/>
      </c>
      <c r="I35" s="17" t="str">
        <f>IF(TYPE(LEFT(cal!AY35,2))=16,"",LEFT(cal!AY35,2))</f>
        <v/>
      </c>
      <c r="J35" s="17" t="str">
        <f>IF(TYPE(LEFT(cal!AZ35,2))=16,"",LEFT(cal!AZ35,2))</f>
        <v/>
      </c>
      <c r="K35" s="17" t="str">
        <f>IF(TYPE(LEFT(cal!BA35,2))=16,"",LEFT(cal!BA35,2))</f>
        <v/>
      </c>
      <c r="L35" s="18" t="str">
        <f>IF(TYPE(LEFT(cal!BB35,2))=16,"",LEFT(cal!BB35,2))</f>
        <v/>
      </c>
      <c r="N35" s="75"/>
      <c r="O35" s="75"/>
      <c r="P35" s="75"/>
      <c r="Q35" s="75"/>
      <c r="R35" s="31" t="str">
        <f t="shared" si="1"/>
        <v>ドライブ</v>
      </c>
      <c r="S35" s="31">
        <f>cal!HF59</f>
        <v>22</v>
      </c>
      <c r="T35" s="35" t="str">
        <f>"("&amp;INT(cal!HF59/SUM(cal!HF$54:HF$61)*100)&amp;"%)"</f>
        <v>(61%)</v>
      </c>
      <c r="U35" s="35">
        <f>cal!HH59</f>
        <v>8</v>
      </c>
      <c r="V35" s="35">
        <f>cal!HI59</f>
        <v>14</v>
      </c>
      <c r="X35" s="89"/>
      <c r="Y35" s="89"/>
      <c r="Z35" s="89"/>
      <c r="AA35" s="89"/>
      <c r="AB35" s="33" t="str">
        <f t="shared" si="2"/>
        <v>ドライブ</v>
      </c>
      <c r="AC35" s="33">
        <f>cal!HF40</f>
        <v>13</v>
      </c>
      <c r="AD35" s="36" t="str">
        <f>"("&amp;INT(cal!HF40/SUM(cal!HF$35:HF$42)*100)&amp;"%)"</f>
        <v>(35%)</v>
      </c>
      <c r="AE35" s="60">
        <f>cal!HH40</f>
        <v>8</v>
      </c>
      <c r="AF35" s="60">
        <f>cal!HI40</f>
        <v>5</v>
      </c>
      <c r="AO35" s="32"/>
      <c r="AP35" s="32"/>
      <c r="AQ35" s="32"/>
      <c r="AR35" s="36"/>
      <c r="AS35" s="36"/>
    </row>
    <row r="36" spans="2:45" ht="19.95" customHeight="1" x14ac:dyDescent="0.45">
      <c r="F36" s="16" t="str">
        <f>IF(TYPE(LEFT(cal!AV36,2))=16,"",LEFT(cal!AV36,2))</f>
        <v/>
      </c>
      <c r="G36" s="17" t="str">
        <f>IF(TYPE(LEFT(cal!AW36,2))=16,"",LEFT(cal!AW36,2))</f>
        <v/>
      </c>
      <c r="H36" s="17" t="str">
        <f>IF(TYPE(LEFT(cal!AX36,2))=16,"",LEFT(cal!AX36,2))</f>
        <v/>
      </c>
      <c r="I36" s="17" t="str">
        <f>IF(TYPE(LEFT(cal!AY36,2))=16,"",LEFT(cal!AY36,2))</f>
        <v/>
      </c>
      <c r="J36" s="17" t="str">
        <f>IF(TYPE(LEFT(cal!AZ36,2))=16,"",LEFT(cal!AZ36,2))</f>
        <v/>
      </c>
      <c r="K36" s="17" t="str">
        <f>IF(TYPE(LEFT(cal!BA36,2))=16,"",LEFT(cal!BA36,2))</f>
        <v/>
      </c>
      <c r="L36" s="18" t="str">
        <f>IF(TYPE(LEFT(cal!BB36,2))=16,"",LEFT(cal!BB36,2))</f>
        <v/>
      </c>
      <c r="N36" s="93" t="str">
        <f>cal!HH50</f>
        <v>オーバーミス</v>
      </c>
      <c r="O36" s="93"/>
      <c r="P36" s="93"/>
      <c r="Q36" s="93"/>
      <c r="R36" s="31" t="str">
        <f t="shared" si="1"/>
        <v>ミユータ</v>
      </c>
      <c r="S36" s="31">
        <f>cal!HF60</f>
        <v>0</v>
      </c>
      <c r="T36" s="35" t="str">
        <f>"("&amp;INT(cal!HF60/SUM(cal!HF$54:HF$61)*100)&amp;"%)"</f>
        <v>(0%)</v>
      </c>
      <c r="U36" s="35">
        <f>cal!HH60</f>
        <v>0</v>
      </c>
      <c r="V36" s="35">
        <f>cal!HI60</f>
        <v>0</v>
      </c>
      <c r="X36" s="95" t="str">
        <f>cal!HH45</f>
        <v>オーバーミス</v>
      </c>
      <c r="Y36" s="95"/>
      <c r="Z36" s="95"/>
      <c r="AA36" s="95"/>
      <c r="AB36" s="33" t="str">
        <f t="shared" si="2"/>
        <v>ミユータ</v>
      </c>
      <c r="AC36" s="33">
        <f>cal!HF41</f>
        <v>0</v>
      </c>
      <c r="AD36" s="36" t="str">
        <f>"("&amp;INT(cal!HF41/SUM(cal!HF$35:HF$42)*100)&amp;"%)"</f>
        <v>(0%)</v>
      </c>
      <c r="AE36" s="60">
        <f>cal!HH41</f>
        <v>0</v>
      </c>
      <c r="AF36" s="60">
        <f>cal!HI41</f>
        <v>0</v>
      </c>
    </row>
    <row r="37" spans="2:45" ht="19.05" customHeight="1" x14ac:dyDescent="0.45">
      <c r="F37" s="16" t="str">
        <f>IF(TYPE(LEFT(cal!AV37,2))=16,"",LEFT(cal!AV37,2))</f>
        <v/>
      </c>
      <c r="G37" s="17" t="str">
        <f>IF(TYPE(LEFT(cal!AW37,2))=16,"",LEFT(cal!AW37,2))</f>
        <v/>
      </c>
      <c r="H37" s="17" t="str">
        <f>IF(TYPE(LEFT(cal!AX37,2))=16,"",LEFT(cal!AX37,2))</f>
        <v/>
      </c>
      <c r="I37" s="17" t="str">
        <f>IF(TYPE(LEFT(cal!AY37,2))=16,"",LEFT(cal!AY37,2))</f>
        <v/>
      </c>
      <c r="J37" s="17" t="str">
        <f>IF(TYPE(LEFT(cal!AZ37,2))=16,"",LEFT(cal!AZ37,2))</f>
        <v/>
      </c>
      <c r="K37" s="17" t="str">
        <f>IF(TYPE(LEFT(cal!BA37,2))=16,"",LEFT(cal!BA37,2))</f>
        <v/>
      </c>
      <c r="L37" s="18" t="str">
        <f>IF(TYPE(LEFT(cal!BB37,2))=16,"",LEFT(cal!BB37,2))</f>
        <v/>
      </c>
      <c r="N37" s="94">
        <f>cal!HI50</f>
        <v>1</v>
      </c>
      <c r="O37" s="94"/>
      <c r="P37" s="94"/>
      <c r="Q37" s="94"/>
      <c r="R37" s="31" t="str">
        <f t="shared" si="1"/>
        <v>空振り</v>
      </c>
      <c r="S37" s="31">
        <f>cal!HF61</f>
        <v>1</v>
      </c>
      <c r="T37" s="35" t="str">
        <f>"("&amp;INT(cal!HF61/SUM(cal!HF$54:HF$61)*100)&amp;"%)"</f>
        <v>(2%)</v>
      </c>
      <c r="U37" s="35">
        <f>cal!HH61</f>
        <v>0</v>
      </c>
      <c r="V37" s="35">
        <f>cal!HI61</f>
        <v>1</v>
      </c>
      <c r="X37" s="96">
        <f>cal!HI45</f>
        <v>1</v>
      </c>
      <c r="Y37" s="96"/>
      <c r="Z37" s="96"/>
      <c r="AA37" s="96"/>
      <c r="AB37" s="33" t="str">
        <f t="shared" si="2"/>
        <v>空振り</v>
      </c>
      <c r="AC37" s="33">
        <f>cal!HF42</f>
        <v>0</v>
      </c>
      <c r="AD37" s="36" t="str">
        <f>"("&amp;INT(cal!HF42/SUM(cal!HF$35:HF$42)*100)&amp;"%)"</f>
        <v>(0%)</v>
      </c>
      <c r="AE37" s="60">
        <f>cal!HH42</f>
        <v>0</v>
      </c>
      <c r="AF37" s="60">
        <f>cal!HI42</f>
        <v>0</v>
      </c>
      <c r="AR37" s="35"/>
      <c r="AS37" s="35"/>
    </row>
    <row r="38" spans="2:45" ht="19.95" customHeight="1" x14ac:dyDescent="0.45">
      <c r="F38" s="16" t="str">
        <f>IF(TYPE(LEFT(cal!AV38,2))=16,"",LEFT(cal!AV38,2))</f>
        <v/>
      </c>
      <c r="G38" s="17" t="str">
        <f>IF(TYPE(LEFT(cal!AW38,2))=16,"",LEFT(cal!AW38,2))</f>
        <v/>
      </c>
      <c r="H38" s="17" t="str">
        <f>IF(TYPE(LEFT(cal!AX38,2))=16,"",LEFT(cal!AX38,2))</f>
        <v/>
      </c>
      <c r="I38" s="17" t="str">
        <f>IF(TYPE(LEFT(cal!AY38,2))=16,"",LEFT(cal!AY38,2))</f>
        <v/>
      </c>
      <c r="J38" s="17" t="str">
        <f>IF(TYPE(LEFT(cal!AZ38,2))=16,"",LEFT(cal!AZ38,2))</f>
        <v/>
      </c>
      <c r="K38" s="17" t="str">
        <f>IF(TYPE(LEFT(cal!BA38,2))=16,"",LEFT(cal!BA38,2))</f>
        <v/>
      </c>
      <c r="L38" s="18" t="str">
        <f>IF(TYPE(LEFT(cal!BB38,2))=16,"",LEFT(cal!BB38,2))</f>
        <v/>
      </c>
    </row>
    <row r="39" spans="2:45" ht="19.95" customHeight="1" x14ac:dyDescent="0.45">
      <c r="F39" s="16" t="str">
        <f>IF(TYPE(LEFT(cal!AV39,2))=16,"",LEFT(cal!AV39,2))</f>
        <v/>
      </c>
      <c r="G39" s="17" t="str">
        <f>IF(TYPE(LEFT(cal!AW39,2))=16,"",LEFT(cal!AW39,2))</f>
        <v/>
      </c>
      <c r="H39" s="17" t="str">
        <f>IF(TYPE(LEFT(cal!AX39,2))=16,"",LEFT(cal!AX39,2))</f>
        <v/>
      </c>
      <c r="I39" s="17" t="str">
        <f>IF(TYPE(LEFT(cal!AY39,2))=16,"",LEFT(cal!AY39,2))</f>
        <v/>
      </c>
      <c r="J39" s="17" t="str">
        <f>IF(TYPE(LEFT(cal!AZ39,2))=16,"",LEFT(cal!AZ39,2))</f>
        <v/>
      </c>
      <c r="K39" s="17" t="str">
        <f>IF(TYPE(LEFT(cal!BA39,2))=16,"",LEFT(cal!BA39,2))</f>
        <v/>
      </c>
      <c r="L39" s="18" t="str">
        <f>IF(TYPE(LEFT(cal!BB39,2))=16,"",LEFT(cal!BB39,2))</f>
        <v/>
      </c>
      <c r="N39" s="91">
        <f>cal!GQ44</f>
        <v>0</v>
      </c>
      <c r="O39" s="91">
        <f>cal!GR44</f>
        <v>0</v>
      </c>
      <c r="P39" s="91">
        <f>cal!GS44</f>
        <v>11</v>
      </c>
      <c r="Q39" s="91">
        <f>cal!GT44</f>
        <v>13</v>
      </c>
      <c r="R39" s="32"/>
      <c r="S39" s="32"/>
      <c r="T39" s="32"/>
      <c r="X39" s="74">
        <f>cal!GV44</f>
        <v>0</v>
      </c>
      <c r="Y39" s="74">
        <f>cal!GW44</f>
        <v>1</v>
      </c>
      <c r="Z39" s="74">
        <f>cal!GX44</f>
        <v>2</v>
      </c>
      <c r="AA39" s="74">
        <f>cal!GY44</f>
        <v>7</v>
      </c>
    </row>
    <row r="40" spans="2:45" ht="19.95" customHeight="1" thickBot="1" x14ac:dyDescent="0.5">
      <c r="F40" s="19" t="str">
        <f>IF(TYPE(LEFT(cal!AV40,2))=16,"",LEFT(cal!AV40,2))</f>
        <v/>
      </c>
      <c r="G40" s="20" t="str">
        <f>IF(TYPE(LEFT(cal!AW40,2))=16,"",LEFT(cal!AW40,2))</f>
        <v/>
      </c>
      <c r="H40" s="20" t="str">
        <f>IF(TYPE(LEFT(cal!AX40,2))=16,"",LEFT(cal!AX40,2))</f>
        <v/>
      </c>
      <c r="I40" s="20" t="str">
        <f>IF(TYPE(LEFT(cal!AY40,2))=16,"",LEFT(cal!AY40,2))</f>
        <v/>
      </c>
      <c r="J40" s="20" t="str">
        <f>IF(TYPE(LEFT(cal!AZ40,2))=16,"",LEFT(cal!AZ40,2))</f>
        <v/>
      </c>
      <c r="K40" s="20" t="str">
        <f>IF(TYPE(LEFT(cal!BA40,2))=16,"",LEFT(cal!BA40,2))</f>
        <v/>
      </c>
      <c r="L40" s="21" t="str">
        <f>IF(TYPE(LEFT(cal!BB40,2))=16,"",LEFT(cal!BB40,2))</f>
        <v/>
      </c>
      <c r="N40" s="92"/>
      <c r="O40" s="92"/>
      <c r="P40" s="92"/>
      <c r="Q40" s="92"/>
      <c r="R40" s="32"/>
      <c r="S40" s="32"/>
      <c r="T40" s="32"/>
      <c r="X40" s="75"/>
      <c r="Y40" s="75"/>
      <c r="Z40" s="75"/>
      <c r="AA40" s="75"/>
    </row>
    <row r="41" spans="2:45" ht="19.95" customHeight="1" x14ac:dyDescent="0.45">
      <c r="N41" s="91">
        <f>cal!GQ45</f>
        <v>6</v>
      </c>
      <c r="O41" s="91">
        <f>cal!GR45</f>
        <v>3</v>
      </c>
      <c r="P41" s="91">
        <f>cal!GS45</f>
        <v>0</v>
      </c>
      <c r="Q41" s="91">
        <f>cal!GT45</f>
        <v>3</v>
      </c>
      <c r="R41" s="32"/>
      <c r="S41" s="32"/>
      <c r="T41" s="32"/>
      <c r="X41" s="74">
        <f>cal!GV45</f>
        <v>12</v>
      </c>
      <c r="Y41" s="74">
        <f>cal!GW45</f>
        <v>13</v>
      </c>
      <c r="Z41" s="74">
        <f>cal!GX45</f>
        <v>1</v>
      </c>
      <c r="AA41" s="74">
        <f>cal!GY45</f>
        <v>1</v>
      </c>
    </row>
    <row r="42" spans="2:45" ht="19.95" customHeight="1" x14ac:dyDescent="0.45">
      <c r="N42" s="92"/>
      <c r="O42" s="92"/>
      <c r="P42" s="92"/>
      <c r="Q42" s="92"/>
      <c r="R42" s="32"/>
      <c r="S42" s="32"/>
      <c r="T42" s="32"/>
      <c r="X42" s="75"/>
      <c r="Y42" s="75"/>
      <c r="Z42" s="75"/>
      <c r="AA42" s="75"/>
    </row>
    <row r="43" spans="2:45" ht="19.95" customHeight="1" x14ac:dyDescent="0.45">
      <c r="N43" s="90">
        <f>cal!GQ46</f>
        <v>33</v>
      </c>
      <c r="O43" s="90"/>
      <c r="P43" s="90">
        <f>cal!GS46</f>
        <v>3</v>
      </c>
      <c r="Q43" s="90"/>
      <c r="R43" s="32"/>
      <c r="S43" s="32"/>
      <c r="T43" s="32"/>
      <c r="U43" s="60" t="str">
        <f>cal!GM50</f>
        <v>Gain</v>
      </c>
      <c r="V43" s="60" t="str">
        <f>cal!GN50</f>
        <v>Loose</v>
      </c>
      <c r="X43" s="72">
        <f>cal!GV46</f>
        <v>37</v>
      </c>
      <c r="Y43" s="72"/>
      <c r="Z43" s="72">
        <f>cal!GX46</f>
        <v>0</v>
      </c>
      <c r="AA43" s="72"/>
      <c r="AB43" s="27"/>
      <c r="AE43" s="31" t="str">
        <f>cal!HC41</f>
        <v>Gain</v>
      </c>
      <c r="AF43" s="31" t="str">
        <f>cal!HD41</f>
        <v>Loose</v>
      </c>
    </row>
    <row r="44" spans="2:45" ht="19.95" customHeight="1" x14ac:dyDescent="0.45">
      <c r="N44" s="90"/>
      <c r="O44" s="90"/>
      <c r="P44" s="90"/>
      <c r="Q44" s="90"/>
      <c r="R44" s="33" t="str">
        <f>R19</f>
        <v>Back</v>
      </c>
      <c r="S44" s="33">
        <f>cal!GQ51</f>
        <v>9</v>
      </c>
      <c r="T44" s="36" t="str">
        <f>"("&amp;INT(cal!GQ51/(cal!GQ46+cal!GS46)*100)&amp;"%)"</f>
        <v>(25%)</v>
      </c>
      <c r="U44" s="60">
        <f>cal!GM51</f>
        <v>4</v>
      </c>
      <c r="V44" s="60">
        <f>cal!GN51</f>
        <v>5</v>
      </c>
      <c r="X44" s="72"/>
      <c r="Y44" s="72"/>
      <c r="Z44" s="72"/>
      <c r="AA44" s="72"/>
      <c r="AB44" s="31" t="str">
        <f>AB19</f>
        <v>Back</v>
      </c>
      <c r="AC44" s="31">
        <f>cal!HA42</f>
        <v>0</v>
      </c>
      <c r="AD44" s="35" t="str">
        <f>"("&amp;INT(cal!HA42/(cal!GV46+cal!GX46)*100)&amp;"%)"</f>
        <v>(0%)</v>
      </c>
      <c r="AE44" s="31">
        <f>cal!HC42</f>
        <v>0</v>
      </c>
      <c r="AF44" s="31">
        <f>cal!HD42</f>
        <v>0</v>
      </c>
    </row>
    <row r="45" spans="2:45" ht="19.95" customHeight="1" x14ac:dyDescent="0.45">
      <c r="N45" s="90"/>
      <c r="O45" s="90"/>
      <c r="P45" s="90"/>
      <c r="Q45" s="90"/>
      <c r="R45" s="33" t="str">
        <f>R20</f>
        <v>Side</v>
      </c>
      <c r="S45" s="33">
        <f>cal!GQ52</f>
        <v>22</v>
      </c>
      <c r="T45" s="36" t="str">
        <f>"("&amp;INT(cal!GQ52/(cal!GQ46+cal!GS46)*100)&amp;"%)"</f>
        <v>(61%)</v>
      </c>
      <c r="U45" s="60">
        <f>cal!GM52</f>
        <v>14</v>
      </c>
      <c r="V45" s="60">
        <f>cal!GN52</f>
        <v>8</v>
      </c>
      <c r="X45" s="72"/>
      <c r="Y45" s="72"/>
      <c r="Z45" s="72"/>
      <c r="AA45" s="72"/>
      <c r="AB45" s="31" t="str">
        <f>AB20</f>
        <v>Side</v>
      </c>
      <c r="AC45" s="31">
        <f>cal!HA43</f>
        <v>0</v>
      </c>
      <c r="AD45" s="35" t="str">
        <f>"("&amp;INT(cal!HA43/(cal!GV46+cal!GX46)*100)&amp;"%)"</f>
        <v>(0%)</v>
      </c>
      <c r="AE45" s="31">
        <f>cal!HC43</f>
        <v>0</v>
      </c>
      <c r="AF45" s="31">
        <f>cal!HD43</f>
        <v>0</v>
      </c>
    </row>
    <row r="46" spans="2:45" ht="19.95" customHeight="1" x14ac:dyDescent="0.45">
      <c r="N46" s="90"/>
      <c r="O46" s="90"/>
      <c r="P46" s="90"/>
      <c r="Q46" s="90"/>
      <c r="R46" s="33" t="str">
        <f>R21</f>
        <v>(Side)</v>
      </c>
      <c r="S46" s="33">
        <f>cal!GQ53</f>
        <v>5</v>
      </c>
      <c r="T46" s="36" t="str">
        <f>"("&amp;INT(cal!GQ53/(cal!GQ46+cal!GS46)*100)&amp;"%)"</f>
        <v>(13%)</v>
      </c>
      <c r="U46" s="60">
        <f>cal!GM53</f>
        <v>2</v>
      </c>
      <c r="V46" s="60">
        <f>cal!GN53</f>
        <v>3</v>
      </c>
      <c r="X46" s="72"/>
      <c r="Y46" s="72"/>
      <c r="Z46" s="72"/>
      <c r="AA46" s="72"/>
      <c r="AB46" s="31" t="str">
        <f>AB21</f>
        <v>(Side)</v>
      </c>
      <c r="AC46" s="31">
        <f>cal!HA44</f>
        <v>37</v>
      </c>
      <c r="AD46" s="35" t="str">
        <f>"("&amp;INT(cal!HA44/(cal!GV46+cal!GX46)*100)&amp;"%)"</f>
        <v>(100%)</v>
      </c>
      <c r="AE46" s="31">
        <f>cal!HC44</f>
        <v>22</v>
      </c>
      <c r="AF46" s="31">
        <f>cal!HD44</f>
        <v>15</v>
      </c>
    </row>
    <row r="47" spans="2:45" ht="19.95" customHeight="1" x14ac:dyDescent="0.45">
      <c r="N47" s="69" t="str">
        <f>N22</f>
        <v>FENG Tianwei</v>
      </c>
      <c r="O47" s="25"/>
      <c r="P47" s="25"/>
      <c r="Q47" s="64" t="str">
        <f>Q22</f>
        <v/>
      </c>
      <c r="R47" s="27"/>
      <c r="X47" s="69" t="str">
        <f>X22</f>
        <v>KIHARA Miyuu</v>
      </c>
      <c r="Y47" s="25"/>
      <c r="Z47" s="25"/>
      <c r="AA47" s="64" t="str">
        <f>AA22</f>
        <v/>
      </c>
    </row>
    <row r="48" spans="2:45" ht="19.95" customHeight="1" x14ac:dyDescent="0.45">
      <c r="N48" s="26"/>
      <c r="X48" s="26"/>
    </row>
    <row r="49" spans="2:4" ht="19.95" customHeight="1" x14ac:dyDescent="0.45"/>
    <row r="50" spans="2:4" ht="19.95" customHeight="1" x14ac:dyDescent="0.45"/>
    <row r="51" spans="2:4" ht="19.95" customHeight="1" x14ac:dyDescent="0.45"/>
    <row r="52" spans="2:4" ht="19.95" customHeight="1" x14ac:dyDescent="0.45"/>
    <row r="53" spans="2:4" ht="19.95" customHeight="1" x14ac:dyDescent="0.45"/>
    <row r="54" spans="2:4" ht="19.95" customHeight="1" x14ac:dyDescent="0.45">
      <c r="B54" s="25"/>
      <c r="C54" s="39"/>
      <c r="D54" s="39"/>
    </row>
    <row r="55" spans="2:4" ht="22.2" x14ac:dyDescent="0.45">
      <c r="B55" s="25"/>
    </row>
    <row r="56" spans="2:4" ht="22.2" x14ac:dyDescent="0.45">
      <c r="B56" s="25"/>
    </row>
    <row r="57" spans="2:4" ht="22.2" x14ac:dyDescent="0.45">
      <c r="B57" s="25"/>
    </row>
    <row r="58" spans="2:4" ht="22.2" x14ac:dyDescent="0.45">
      <c r="B58" s="25"/>
    </row>
    <row r="59" spans="2:4" ht="22.2" x14ac:dyDescent="0.45">
      <c r="B59" s="25"/>
    </row>
  </sheetData>
  <mergeCells count="89">
    <mergeCell ref="N7:N8"/>
    <mergeCell ref="O7:O8"/>
    <mergeCell ref="P7:P8"/>
    <mergeCell ref="Q7:Q8"/>
    <mergeCell ref="N9:N10"/>
    <mergeCell ref="O9:O10"/>
    <mergeCell ref="P9:P10"/>
    <mergeCell ref="Q9:Q10"/>
    <mergeCell ref="X14:X15"/>
    <mergeCell ref="Y14:Y15"/>
    <mergeCell ref="Z14:Z15"/>
    <mergeCell ref="AA14:AA15"/>
    <mergeCell ref="X16:X17"/>
    <mergeCell ref="Y16:Y17"/>
    <mergeCell ref="Z16:Z17"/>
    <mergeCell ref="AA16:AA17"/>
    <mergeCell ref="N18:O21"/>
    <mergeCell ref="P18:Q21"/>
    <mergeCell ref="N14:N15"/>
    <mergeCell ref="O14:O15"/>
    <mergeCell ref="P14:P15"/>
    <mergeCell ref="Q14:Q15"/>
    <mergeCell ref="N16:N17"/>
    <mergeCell ref="O16:O17"/>
    <mergeCell ref="P16:P17"/>
    <mergeCell ref="Q16:Q17"/>
    <mergeCell ref="X6:AA6"/>
    <mergeCell ref="X5:AA5"/>
    <mergeCell ref="X11:AA11"/>
    <mergeCell ref="X12:AA12"/>
    <mergeCell ref="N11:Q11"/>
    <mergeCell ref="N12:Q12"/>
    <mergeCell ref="N5:Q5"/>
    <mergeCell ref="N6:Q6"/>
    <mergeCell ref="X7:X8"/>
    <mergeCell ref="Y7:Y8"/>
    <mergeCell ref="Z7:Z8"/>
    <mergeCell ref="AA7:AA8"/>
    <mergeCell ref="X9:X10"/>
    <mergeCell ref="Y9:Y10"/>
    <mergeCell ref="Z9:Z10"/>
    <mergeCell ref="AA9:AA10"/>
    <mergeCell ref="Y32:Y33"/>
    <mergeCell ref="Z32:Z33"/>
    <mergeCell ref="X18:Y21"/>
    <mergeCell ref="Z18:AA21"/>
    <mergeCell ref="X34:X35"/>
    <mergeCell ref="X32:X33"/>
    <mergeCell ref="X36:AA36"/>
    <mergeCell ref="X37:AA37"/>
    <mergeCell ref="AA41:AA42"/>
    <mergeCell ref="Z41:Z42"/>
    <mergeCell ref="Y41:Y42"/>
    <mergeCell ref="X41:X42"/>
    <mergeCell ref="AA39:AA40"/>
    <mergeCell ref="Z39:Z40"/>
    <mergeCell ref="Y39:Y40"/>
    <mergeCell ref="X39:X40"/>
    <mergeCell ref="N43:O46"/>
    <mergeCell ref="P43:Q46"/>
    <mergeCell ref="N32:N33"/>
    <mergeCell ref="O32:O33"/>
    <mergeCell ref="P32:P33"/>
    <mergeCell ref="N41:N42"/>
    <mergeCell ref="O41:O42"/>
    <mergeCell ref="P41:P42"/>
    <mergeCell ref="Q41:Q42"/>
    <mergeCell ref="N39:N40"/>
    <mergeCell ref="O39:O40"/>
    <mergeCell ref="P39:P40"/>
    <mergeCell ref="Q39:Q40"/>
    <mergeCell ref="N36:Q36"/>
    <mergeCell ref="N37:Q37"/>
    <mergeCell ref="X43:Y46"/>
    <mergeCell ref="Z43:AA46"/>
    <mergeCell ref="N25:AD25"/>
    <mergeCell ref="Q32:Q33"/>
    <mergeCell ref="N34:N35"/>
    <mergeCell ref="O34:O35"/>
    <mergeCell ref="P34:P35"/>
    <mergeCell ref="Q34:Q35"/>
    <mergeCell ref="N30:Q30"/>
    <mergeCell ref="N31:Q31"/>
    <mergeCell ref="X30:AA30"/>
    <mergeCell ref="X31:AA31"/>
    <mergeCell ref="AA32:AA33"/>
    <mergeCell ref="AA34:AA35"/>
    <mergeCell ref="Z34:Z35"/>
    <mergeCell ref="Y34:Y35"/>
  </mergeCells>
  <phoneticPr fontId="18"/>
  <conditionalFormatting sqref="F5:L40">
    <cfRule type="expression" dxfId="55" priority="120">
      <formula>LEFT($C$2,2)=F5</formula>
    </cfRule>
  </conditionalFormatting>
  <conditionalFormatting sqref="F5:L40">
    <cfRule type="expression" dxfId="54" priority="142">
      <formula>LEFT($D$2,2)=F5</formula>
    </cfRule>
  </conditionalFormatting>
  <conditionalFormatting sqref="T1:U1">
    <cfRule type="expression" dxfId="53" priority="6">
      <formula>LEFT($D$2,2)=INDEX($A$1:$L$40,$L$1,$L$2)</formula>
    </cfRule>
    <cfRule type="expression" dxfId="52" priority="7">
      <formula>LEFT($C$2,2)=INDEX($A$1:$L$40,$L$1,$L$2)</formula>
    </cfRule>
  </conditionalFormatting>
  <dataValidations count="1">
    <dataValidation type="list" allowBlank="1" showInputMessage="1" showErrorMessage="1" sqref="C1:D1" xr:uid="{EC09F5FF-7953-4CE7-A817-C8C40CB2AE3E}">
      <formula1>"R,L"</formula1>
    </dataValidation>
  </dataValidations>
  <pageMargins left="0.7" right="0.7" top="0.75" bottom="0.75" header="0.3" footer="0.3"/>
  <pageSetup paperSize="9"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7" id="{E949BD60-DEE1-42F2-8B94-E3F951F3C48B}">
            <xm:f>cal!$GV$15=1</xm:f>
            <x14:dxf>
              <fill>
                <patternFill>
                  <bgColor theme="0" tint="-0.14996795556505021"/>
                </patternFill>
              </fill>
            </x14:dxf>
          </x14:cfRule>
          <xm:sqref>X18</xm:sqref>
        </x14:conditionalFormatting>
        <x14:conditionalFormatting xmlns:xm="http://schemas.microsoft.com/office/excel/2006/main">
          <x14:cfRule type="expression" priority="111" id="{CD46920C-AB75-4796-8E9E-6BF024506572}">
            <xm:f>cal!HJ18=1</xm:f>
            <x14:dxf>
              <fill>
                <patternFill>
                  <bgColor theme="0" tint="-0.14996795556505021"/>
                </patternFill>
              </fill>
            </x14:dxf>
          </x14:cfRule>
          <xm:sqref>N6:P6</xm:sqref>
        </x14:conditionalFormatting>
        <x14:conditionalFormatting xmlns:xm="http://schemas.microsoft.com/office/excel/2006/main">
          <x14:cfRule type="expression" priority="80" id="{8E0462C3-97E2-4190-9D89-A71639B7B31A}">
            <xm:f>cal!HG2=1</xm:f>
            <x14:dxf>
              <fill>
                <patternFill>
                  <bgColor theme="0" tint="-0.14996795556505021"/>
                </patternFill>
              </fill>
            </x14:dxf>
          </x14:cfRule>
          <xm:sqref>AC5:AC12</xm:sqref>
        </x14:conditionalFormatting>
        <x14:conditionalFormatting xmlns:xm="http://schemas.microsoft.com/office/excel/2006/main">
          <x14:cfRule type="expression" priority="79" id="{43FECC0C-0FEE-486E-8D6A-2B75F2A9915D}">
            <xm:f>cal!HG21=1</xm:f>
            <x14:dxf>
              <fill>
                <patternFill>
                  <bgColor theme="0" tint="-0.14996795556505021"/>
                </patternFill>
              </fill>
            </x14:dxf>
          </x14:cfRule>
          <xm:sqref>S5:S12</xm:sqref>
        </x14:conditionalFormatting>
        <x14:conditionalFormatting xmlns:xm="http://schemas.microsoft.com/office/excel/2006/main">
          <x14:cfRule type="expression" priority="78" id="{496E99B7-0292-4D65-A4DB-C7152DA467EB}">
            <xm:f>cal!GS22=1</xm:f>
            <x14:dxf>
              <fill>
                <patternFill>
                  <bgColor theme="0" tint="-0.14996795556505021"/>
                </patternFill>
              </fill>
            </x14:dxf>
          </x14:cfRule>
          <xm:sqref>Q18:Q21 P20:P21</xm:sqref>
        </x14:conditionalFormatting>
        <x14:conditionalFormatting xmlns:xm="http://schemas.microsoft.com/office/excel/2006/main">
          <x14:cfRule type="expression" priority="72" id="{E2B91E0B-BE00-4E6E-AB03-2FBFFD66906E}">
            <xm:f>cal!HB9=1</xm:f>
            <x14:dxf>
              <fill>
                <patternFill>
                  <bgColor theme="0" tint="-0.14996795556505021"/>
                </patternFill>
              </fill>
            </x14:dxf>
          </x14:cfRule>
          <xm:sqref>AC19:AC21</xm:sqref>
        </x14:conditionalFormatting>
        <x14:conditionalFormatting xmlns:xm="http://schemas.microsoft.com/office/excel/2006/main">
          <x14:cfRule type="expression" priority="71" id="{7CF4C368-A8A8-42C4-9A24-382036D56C83}">
            <xm:f>cal!GO18=1</xm:f>
            <x14:dxf>
              <fill>
                <patternFill>
                  <bgColor theme="0" tint="-0.14996795556505021"/>
                </patternFill>
              </fill>
            </x14:dxf>
          </x14:cfRule>
          <xm:sqref>S19:V19 S20:T21</xm:sqref>
        </x14:conditionalFormatting>
        <x14:conditionalFormatting xmlns:xm="http://schemas.microsoft.com/office/excel/2006/main">
          <x14:cfRule type="expression" priority="70" id="{C46780F4-C9FC-40E5-A1BD-31AED9E9E232}">
            <xm:f>cal!GV7</xm:f>
            <x14:dxf>
              <fill>
                <patternFill>
                  <bgColor theme="0" tint="-0.14996795556505021"/>
                </patternFill>
              </fill>
            </x14:dxf>
          </x14:cfRule>
          <xm:sqref>X14:AA14</xm:sqref>
        </x14:conditionalFormatting>
        <x14:conditionalFormatting xmlns:xm="http://schemas.microsoft.com/office/excel/2006/main">
          <x14:cfRule type="expression" priority="64" id="{726B914A-92FA-4194-8071-34E5BE62F518}">
            <xm:f>cal!$Z$14=1</xm:f>
            <x14:dxf>
              <fill>
                <patternFill>
                  <bgColor rgb="FF00B0F0"/>
                </patternFill>
              </fill>
            </x14:dxf>
          </x14:cfRule>
          <xm:sqref>N22:Q22</xm:sqref>
        </x14:conditionalFormatting>
        <x14:conditionalFormatting xmlns:xm="http://schemas.microsoft.com/office/excel/2006/main">
          <x14:cfRule type="expression" priority="61" id="{EE0A90F2-FBAF-4700-9226-20CF7E84ED19}">
            <xm:f>cal!$Z$16=1</xm:f>
            <x14:dxf>
              <fill>
                <patternFill>
                  <bgColor rgb="FFFF99FF"/>
                </patternFill>
              </fill>
            </x14:dxf>
          </x14:cfRule>
          <xm:sqref>X22:AA22</xm:sqref>
        </x14:conditionalFormatting>
        <x14:conditionalFormatting xmlns:xm="http://schemas.microsoft.com/office/excel/2006/main">
          <x14:cfRule type="expression" priority="60" id="{ACB2CD6E-745B-45BB-9586-032A434DB41B}">
            <xm:f>cal!$Z$15=1</xm:f>
            <x14:dxf>
              <fill>
                <patternFill>
                  <bgColor rgb="FF00B0F0"/>
                </patternFill>
              </fill>
            </x14:dxf>
          </x14:cfRule>
          <xm:sqref>X4:AA4</xm:sqref>
        </x14:conditionalFormatting>
        <x14:conditionalFormatting xmlns:xm="http://schemas.microsoft.com/office/excel/2006/main">
          <x14:cfRule type="expression" priority="59" id="{93A45938-21C4-4866-AC7B-0A688A4439F8}">
            <xm:f>cal!$Z$17=1</xm:f>
            <x14:dxf>
              <fill>
                <patternFill>
                  <bgColor rgb="FFFF99FF"/>
                </patternFill>
              </fill>
            </x14:dxf>
          </x14:cfRule>
          <xm:sqref>N4:Q4</xm:sqref>
        </x14:conditionalFormatting>
        <x14:conditionalFormatting xmlns:xm="http://schemas.microsoft.com/office/excel/2006/main">
          <x14:cfRule type="expression" priority="118" id="{E949BD60-DEE1-42F2-8B94-E3F951F3C48B}">
            <xm:f>cal!$GX$15=1</xm:f>
            <x14:dxf>
              <fill>
                <patternFill>
                  <bgColor theme="0" tint="-0.14996795556505021"/>
                </patternFill>
              </fill>
            </x14:dxf>
          </x14:cfRule>
          <xm:sqref>Z18</xm:sqref>
        </x14:conditionalFormatting>
        <x14:conditionalFormatting xmlns:xm="http://schemas.microsoft.com/office/excel/2006/main">
          <x14:cfRule type="expression" priority="152" id="{E2B91E0B-BE00-4E6E-AB03-2FBFFD66906E}">
            <xm:f>cal!HF8=1</xm:f>
            <x14:dxf>
              <fill>
                <patternFill>
                  <bgColor theme="0" tint="-0.14996795556505021"/>
                </patternFill>
              </fill>
            </x14:dxf>
          </x14:cfRule>
          <xm:sqref>AF18:AF21</xm:sqref>
        </x14:conditionalFormatting>
        <x14:conditionalFormatting xmlns:xm="http://schemas.microsoft.com/office/excel/2006/main">
          <x14:cfRule type="expression" priority="154" id="{7CF4C368-A8A8-42C4-9A24-382036D56C83}">
            <xm:f>cal!GQ18=1</xm:f>
            <x14:dxf>
              <fill>
                <patternFill>
                  <bgColor theme="0" tint="-0.14996795556505021"/>
                </patternFill>
              </fill>
            </x14:dxf>
          </x14:cfRule>
          <xm:sqref>V19</xm:sqref>
        </x14:conditionalFormatting>
        <x14:conditionalFormatting xmlns:xm="http://schemas.microsoft.com/office/excel/2006/main">
          <x14:cfRule type="expression" priority="175" id="{E2B91E0B-BE00-4E6E-AB03-2FBFFD66906E}">
            <xm:f>cal!HE8=1</xm:f>
            <x14:dxf>
              <fill>
                <patternFill>
                  <bgColor theme="0" tint="-0.14996795556505021"/>
                </patternFill>
              </fill>
            </x14:dxf>
          </x14:cfRule>
          <xm:sqref>AD19:AE21 AF19:AF20 AE18:AF18</xm:sqref>
        </x14:conditionalFormatting>
        <x14:conditionalFormatting xmlns:xm="http://schemas.microsoft.com/office/excel/2006/main">
          <x14:cfRule type="expression" priority="182" id="{CD46920C-AB75-4796-8E9E-6BF024506572}">
            <xm:f>cal!HN23=1</xm:f>
            <x14:dxf>
              <fill>
                <patternFill>
                  <bgColor theme="0" tint="-0.14996795556505021"/>
                </patternFill>
              </fill>
            </x14:dxf>
          </x14:cfRule>
          <xm:sqref>O9:Q9</xm:sqref>
        </x14:conditionalFormatting>
        <x14:conditionalFormatting xmlns:xm="http://schemas.microsoft.com/office/excel/2006/main">
          <x14:cfRule type="expression" priority="187" id="{8E0462C3-97E2-4190-9D89-A71639B7B31A}">
            <xm:f>cal!HK11=1</xm:f>
            <x14:dxf>
              <fill>
                <patternFill>
                  <bgColor theme="0" tint="-0.14996795556505021"/>
                </patternFill>
              </fill>
            </x14:dxf>
          </x14:cfRule>
          <xm:sqref>T5:T12 U29:V29</xm:sqref>
        </x14:conditionalFormatting>
        <x14:conditionalFormatting xmlns:xm="http://schemas.microsoft.com/office/excel/2006/main">
          <x14:cfRule type="expression" priority="214" id="{DF626E70-BB18-4FCC-89AA-EFD111EDD687}">
            <xm:f>cal!HJ13=1</xm:f>
            <x14:dxf>
              <fill>
                <patternFill>
                  <bgColor theme="0" tint="-0.14996795556505021"/>
                </patternFill>
              </fill>
            </x14:dxf>
          </x14:cfRule>
          <xm:sqref>X6</xm:sqref>
        </x14:conditionalFormatting>
        <x14:conditionalFormatting xmlns:xm="http://schemas.microsoft.com/office/excel/2006/main">
          <x14:cfRule type="expression" priority="215" id="{9DC8F469-5661-4B3E-9F08-E9A15A903683}">
            <xm:f>cal!HJ12=1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216" id="{8F227B80-D9F0-47FC-9589-4551E991E228}">
            <xm:f>cal!HJ12=1</xm:f>
            <x14:dxf>
              <fill>
                <patternFill>
                  <bgColor theme="0" tint="-0.14996795556505021"/>
                </patternFill>
              </fill>
            </x14:dxf>
          </x14:cfRule>
          <xm:sqref>X12</xm:sqref>
        </x14:conditionalFormatting>
        <x14:conditionalFormatting xmlns:xm="http://schemas.microsoft.com/office/excel/2006/main">
          <x14:cfRule type="expression" priority="226" id="{E2B91E0B-BE00-4E6E-AB03-2FBFFD66906E}">
            <xm:f>cal!HJ11=1</xm:f>
            <x14:dxf>
              <fill>
                <patternFill>
                  <bgColor theme="0" tint="-0.14996795556505021"/>
                </patternFill>
              </fill>
            </x14:dxf>
          </x14:cfRule>
          <xm:sqref>AF21</xm:sqref>
        </x14:conditionalFormatting>
        <x14:conditionalFormatting xmlns:xm="http://schemas.microsoft.com/office/excel/2006/main">
          <x14:cfRule type="expression" priority="242" id="{8E0462C3-97E2-4190-9D89-A71639B7B31A}">
            <xm:f>cal!HL27=1</xm:f>
            <x14:dxf>
              <fill>
                <patternFill>
                  <bgColor theme="0" tint="-0.14996795556505021"/>
                </patternFill>
              </fill>
            </x14:dxf>
          </x14:cfRule>
          <xm:sqref>U30:V37</xm:sqref>
        </x14:conditionalFormatting>
        <x14:conditionalFormatting xmlns:xm="http://schemas.microsoft.com/office/excel/2006/main">
          <x14:cfRule type="expression" priority="300" id="{E949BD60-DEE1-42F2-8B94-E3F951F3C48B}">
            <xm:f>cal!HJ17=1</xm:f>
            <x14:dxf>
              <fill>
                <patternFill>
                  <bgColor theme="0" tint="-0.14996795556505021"/>
                </patternFill>
              </fill>
            </x14:dxf>
          </x14:cfRule>
          <xm:sqref>N12:Q12</xm:sqref>
        </x14:conditionalFormatting>
        <x14:conditionalFormatting xmlns:xm="http://schemas.microsoft.com/office/excel/2006/main">
          <x14:cfRule type="expression" priority="331" id="{8E0462C3-97E2-4190-9D89-A71639B7B31A}">
            <xm:f>cal!HK1=1</xm:f>
            <x14:dxf>
              <fill>
                <patternFill>
                  <bgColor theme="0" tint="-0.14996795556505021"/>
                </patternFill>
              </fill>
            </x14:dxf>
          </x14:cfRule>
          <xm:sqref>AE4 AF4:AF7 AD5:AE12</xm:sqref>
        </x14:conditionalFormatting>
        <x14:conditionalFormatting xmlns:xm="http://schemas.microsoft.com/office/excel/2006/main">
          <x14:cfRule type="expression" priority="348" id="{C46780F4-C9FC-40E5-A1BD-31AED9E9E232}">
            <xm:f>cal!GV23=1</xm:f>
            <x14:dxf>
              <fill>
                <patternFill>
                  <bgColor theme="0" tint="-0.14996795556505021"/>
                </patternFill>
              </fill>
            </x14:dxf>
          </x14:cfRule>
          <xm:sqref>AA14</xm:sqref>
        </x14:conditionalFormatting>
        <x14:conditionalFormatting xmlns:xm="http://schemas.microsoft.com/office/excel/2006/main">
          <x14:cfRule type="expression" priority="366" id="{C46780F4-C9FC-40E5-A1BD-31AED9E9E232}">
            <xm:f>cal!GW23=1</xm:f>
            <x14:dxf>
              <fill>
                <patternFill>
                  <bgColor theme="0" tint="-0.14996795556505021"/>
                </patternFill>
              </fill>
            </x14:dxf>
          </x14:cfRule>
          <xm:sqref>Z14</xm:sqref>
        </x14:conditionalFormatting>
        <x14:conditionalFormatting xmlns:xm="http://schemas.microsoft.com/office/excel/2006/main">
          <x14:cfRule type="expression" priority="384" id="{C46780F4-C9FC-40E5-A1BD-31AED9E9E232}">
            <xm:f>cal!GX23=1</xm:f>
            <x14:dxf>
              <fill>
                <patternFill>
                  <bgColor theme="0" tint="-0.14996795556505021"/>
                </patternFill>
              </fill>
            </x14:dxf>
          </x14:cfRule>
          <xm:sqref>Y14</xm:sqref>
        </x14:conditionalFormatting>
        <x14:conditionalFormatting xmlns:xm="http://schemas.microsoft.com/office/excel/2006/main">
          <x14:cfRule type="expression" priority="536" id="{8864BF08-8F65-4868-B005-2485FF7F5FBB}">
            <xm:f>cal!GT8=1</xm:f>
            <x14:dxf>
              <fill>
                <patternFill>
                  <bgColor theme="0" tint="-0.14996795556505021"/>
                </patternFill>
              </fill>
            </x14:dxf>
          </x14:cfRule>
          <xm:sqref>Q16</xm:sqref>
        </x14:conditionalFormatting>
        <x14:conditionalFormatting xmlns:xm="http://schemas.microsoft.com/office/excel/2006/main">
          <x14:cfRule type="expression" priority="550" id="{C46780F4-C9FC-40E5-A1BD-31AED9E9E232}">
            <xm:f>cal!GV8</xm:f>
            <x14:dxf>
              <fill>
                <patternFill>
                  <bgColor theme="0" tint="-0.14996795556505021"/>
                </patternFill>
              </fill>
            </x14:dxf>
          </x14:cfRule>
          <xm:sqref>X16:AA16</xm:sqref>
        </x14:conditionalFormatting>
        <x14:conditionalFormatting xmlns:xm="http://schemas.microsoft.com/office/excel/2006/main">
          <x14:cfRule type="expression" priority="573" id="{C46780F4-C9FC-40E5-A1BD-31AED9E9E232}">
            <xm:f>cal!GV21=1</xm:f>
            <x14:dxf>
              <fill>
                <patternFill>
                  <bgColor theme="0" tint="-0.14996795556505021"/>
                </patternFill>
              </fill>
            </x14:dxf>
          </x14:cfRule>
          <xm:sqref>AA16</xm:sqref>
        </x14:conditionalFormatting>
        <x14:conditionalFormatting xmlns:xm="http://schemas.microsoft.com/office/excel/2006/main">
          <x14:cfRule type="expression" priority="575" id="{C46780F4-C9FC-40E5-A1BD-31AED9E9E232}">
            <xm:f>cal!GW21=1</xm:f>
            <x14:dxf>
              <fill>
                <patternFill>
                  <bgColor theme="0" tint="-0.14996795556505021"/>
                </patternFill>
              </fill>
            </x14:dxf>
          </x14:cfRule>
          <xm:sqref>Z16</xm:sqref>
        </x14:conditionalFormatting>
        <x14:conditionalFormatting xmlns:xm="http://schemas.microsoft.com/office/excel/2006/main">
          <x14:cfRule type="expression" priority="577" id="{C46780F4-C9FC-40E5-A1BD-31AED9E9E232}">
            <xm:f>cal!GX21=1</xm:f>
            <x14:dxf>
              <fill>
                <patternFill>
                  <bgColor theme="0" tint="-0.14996795556505021"/>
                </patternFill>
              </fill>
            </x14:dxf>
          </x14:cfRule>
          <xm:sqref>Y16</xm:sqref>
        </x14:conditionalFormatting>
        <x14:conditionalFormatting xmlns:xm="http://schemas.microsoft.com/office/excel/2006/main">
          <x14:cfRule type="expression" priority="633" id="{8864BF08-8F65-4868-B005-2485FF7F5FBB}">
            <xm:f>cal!$GT$7=1</xm:f>
            <x14:dxf>
              <fill>
                <patternFill>
                  <bgColor theme="0" tint="-0.14996795556505021"/>
                </patternFill>
              </fill>
            </x14:dxf>
          </x14:cfRule>
          <xm:sqref>R14</xm:sqref>
        </x14:conditionalFormatting>
        <x14:conditionalFormatting xmlns:xm="http://schemas.microsoft.com/office/excel/2006/main">
          <x14:cfRule type="expression" priority="643" id="{7CF4C368-A8A8-42C4-9A24-382036D56C83}">
            <xm:f>cal!GQ14=1</xm:f>
            <x14:dxf>
              <fill>
                <patternFill>
                  <bgColor theme="0" tint="-0.14996795556505021"/>
                </patternFill>
              </fill>
            </x14:dxf>
          </x14:cfRule>
          <xm:sqref>U18</xm:sqref>
        </x14:conditionalFormatting>
        <x14:conditionalFormatting xmlns:xm="http://schemas.microsoft.com/office/excel/2006/main">
          <x14:cfRule type="expression" priority="683" id="{7CF4C368-A8A8-42C4-9A24-382036D56C83}">
            <xm:f>cal!GS14=1</xm:f>
            <x14:dxf>
              <fill>
                <patternFill>
                  <bgColor theme="0" tint="-0.14996795556505021"/>
                </patternFill>
              </fill>
            </x14:dxf>
          </x14:cfRule>
          <xm:sqref>V18</xm:sqref>
        </x14:conditionalFormatting>
        <x14:conditionalFormatting xmlns:xm="http://schemas.microsoft.com/office/excel/2006/main">
          <x14:cfRule type="expression" priority="685" id="{D1832D12-D010-463E-8E58-C9D763A49CD4}">
            <xm:f>cal!$GQ$15=1</xm:f>
            <x14:dxf>
              <fill>
                <patternFill>
                  <bgColor theme="0" tint="-0.14996795556505021"/>
                </patternFill>
              </fill>
            </x14:dxf>
          </x14:cfRule>
          <xm:sqref>N18:O21</xm:sqref>
        </x14:conditionalFormatting>
        <x14:conditionalFormatting xmlns:xm="http://schemas.microsoft.com/office/excel/2006/main">
          <x14:cfRule type="expression" priority="692" id="{496E99B7-0292-4D65-A4DB-C7152DA467EB}">
            <xm:f>cal!GS15=1</xm:f>
            <x14:dxf>
              <fill>
                <patternFill>
                  <bgColor theme="0" tint="-0.14996795556505021"/>
                </patternFill>
              </fill>
            </x14:dxf>
          </x14:cfRule>
          <xm:sqref>P18:P19</xm:sqref>
        </x14:conditionalFormatting>
        <x14:conditionalFormatting xmlns:xm="http://schemas.microsoft.com/office/excel/2006/main">
          <x14:cfRule type="expression" priority="726" id="{8E0462C3-97E2-4190-9D89-A71639B7B31A}">
            <xm:f>cal!HM7=1</xm:f>
            <x14:dxf>
              <fill>
                <patternFill>
                  <bgColor theme="0" tint="-0.14996795556505021"/>
                </patternFill>
              </fill>
            </x14:dxf>
          </x14:cfRule>
          <xm:sqref>AF8</xm:sqref>
        </x14:conditionalFormatting>
        <x14:conditionalFormatting xmlns:xm="http://schemas.microsoft.com/office/excel/2006/main">
          <x14:cfRule type="expression" priority="727" id="{8E0462C3-97E2-4190-9D89-A71639B7B31A}">
            <xm:f>cal!#REF!=1</xm:f>
            <x14:dxf>
              <fill>
                <patternFill>
                  <bgColor theme="0" tint="-0.14996795556505021"/>
                </patternFill>
              </fill>
            </x14:dxf>
          </x14:cfRule>
          <xm:sqref>AF9:AF10</xm:sqref>
        </x14:conditionalFormatting>
        <x14:conditionalFormatting xmlns:xm="http://schemas.microsoft.com/office/excel/2006/main">
          <x14:cfRule type="expression" priority="749" id="{CD46920C-AB75-4796-8E9E-6BF024506572}">
            <xm:f>cal!HM25=1</xm:f>
            <x14:dxf>
              <fill>
                <patternFill>
                  <bgColor theme="0" tint="-0.14996795556505021"/>
                </patternFill>
              </fill>
            </x14:dxf>
          </x14:cfRule>
          <xm:sqref>N9:Q9</xm:sqref>
        </x14:conditionalFormatting>
        <x14:conditionalFormatting xmlns:xm="http://schemas.microsoft.com/office/excel/2006/main">
          <x14:cfRule type="expression" priority="754" id="{CD46920C-AB75-4796-8E9E-6BF024506572}">
            <xm:f>cal!#REF!=1</xm:f>
            <x14:dxf>
              <fill>
                <patternFill>
                  <bgColor theme="0" tint="-0.14996795556505021"/>
                </patternFill>
              </fill>
            </x14:dxf>
          </x14:cfRule>
          <xm:sqref>Q6</xm:sqref>
        </x14:conditionalFormatting>
        <x14:conditionalFormatting xmlns:xm="http://schemas.microsoft.com/office/excel/2006/main">
          <x14:cfRule type="expression" priority="831" id="{CD46920C-AB75-4796-8E9E-6BF024506572}">
            <xm:f>cal!HM24</xm:f>
            <x14:dxf>
              <fill>
                <patternFill>
                  <bgColor theme="0" tint="-0.14996795556505021"/>
                </patternFill>
              </fill>
            </x14:dxf>
          </x14:cfRule>
          <xm:sqref>N7:Q7</xm:sqref>
        </x14:conditionalFormatting>
        <x14:conditionalFormatting xmlns:xm="http://schemas.microsoft.com/office/excel/2006/main">
          <x14:cfRule type="expression" priority="870" id="{8864BF08-8F65-4868-B005-2485FF7F5FBB}">
            <xm:f>cal!#REF!=1</xm:f>
            <x14:dxf>
              <fill>
                <patternFill>
                  <bgColor theme="0" tint="-0.14996795556505021"/>
                </patternFill>
              </fill>
            </x14:dxf>
          </x14:cfRule>
          <xm:sqref>AA9</xm:sqref>
        </x14:conditionalFormatting>
        <x14:conditionalFormatting xmlns:xm="http://schemas.microsoft.com/office/excel/2006/main">
          <x14:cfRule type="expression" priority="874" id="{8864BF08-8F65-4868-B005-2485FF7F5FBB}">
            <xm:f>cal!HM9=1</xm:f>
            <x14:dxf>
              <fill>
                <patternFill>
                  <bgColor theme="0" tint="-0.14996795556505021"/>
                </patternFill>
              </fill>
            </x14:dxf>
          </x14:cfRule>
          <xm:sqref>X9:AA9</xm:sqref>
        </x14:conditionalFormatting>
        <x14:conditionalFormatting xmlns:xm="http://schemas.microsoft.com/office/excel/2006/main">
          <x14:cfRule type="expression" priority="875" id="{8864BF08-8F65-4868-B005-2485FF7F5FBB}">
            <xm:f>cal!#REF!=1</xm:f>
            <x14:dxf>
              <fill>
                <patternFill>
                  <bgColor theme="0" tint="-0.14996795556505021"/>
                </patternFill>
              </fill>
            </x14:dxf>
          </x14:cfRule>
          <xm:sqref>Z9</xm:sqref>
        </x14:conditionalFormatting>
        <x14:conditionalFormatting xmlns:xm="http://schemas.microsoft.com/office/excel/2006/main">
          <x14:cfRule type="expression" priority="876" id="{8864BF08-8F65-4868-B005-2485FF7F5FBB}">
            <xm:f>cal!#REF!=1</xm:f>
            <x14:dxf>
              <fill>
                <patternFill>
                  <bgColor theme="0" tint="-0.14996795556505021"/>
                </patternFill>
              </fill>
            </x14:dxf>
          </x14:cfRule>
          <xm:sqref>Y9</xm:sqref>
        </x14:conditionalFormatting>
        <x14:conditionalFormatting xmlns:xm="http://schemas.microsoft.com/office/excel/2006/main">
          <x14:cfRule type="expression" priority="877" id="{8864BF08-8F65-4868-B005-2485FF7F5FBB}">
            <xm:f>cal!HM8=1</xm:f>
            <x14:dxf>
              <fill>
                <patternFill>
                  <bgColor theme="0" tint="-0.14996795556505021"/>
                </patternFill>
              </fill>
            </x14:dxf>
          </x14:cfRule>
          <xm:sqref>X7:AA7</xm:sqref>
        </x14:conditionalFormatting>
        <x14:conditionalFormatting xmlns:xm="http://schemas.microsoft.com/office/excel/2006/main">
          <x14:cfRule type="expression" priority="909" id="{8E0462C3-97E2-4190-9D89-A71639B7B31A}">
            <xm:f>cal!HM9=1</xm:f>
            <x14:dxf>
              <fill>
                <patternFill>
                  <bgColor theme="0" tint="-0.14996795556505021"/>
                </patternFill>
              </fill>
            </x14:dxf>
          </x14:cfRule>
          <xm:sqref>AF11</xm:sqref>
        </x14:conditionalFormatting>
        <x14:conditionalFormatting xmlns:xm="http://schemas.microsoft.com/office/excel/2006/main">
          <x14:cfRule type="expression" priority="961" id="{8E0462C3-97E2-4190-9D89-A71639B7B31A}">
            <xm:f>cal!HM8=1</xm:f>
            <x14:dxf>
              <fill>
                <patternFill>
                  <bgColor theme="0" tint="-0.14996795556505021"/>
                </patternFill>
              </fill>
            </x14:dxf>
          </x14:cfRule>
          <xm:sqref>AF12</xm:sqref>
        </x14:conditionalFormatting>
        <x14:conditionalFormatting xmlns:xm="http://schemas.microsoft.com/office/excel/2006/main">
          <x14:cfRule type="expression" priority="2" id="{3A373AA4-04B3-4248-9EEC-829C79B6F782}">
            <xm:f>cal!GQ8=1</xm:f>
            <x14:dxf>
              <fill>
                <patternFill>
                  <bgColor theme="0" tint="-0.14996795556505021"/>
                </patternFill>
              </fill>
            </x14:dxf>
          </x14:cfRule>
          <xm:sqref>N16:P16</xm:sqref>
        </x14:conditionalFormatting>
        <x14:conditionalFormatting xmlns:xm="http://schemas.microsoft.com/office/excel/2006/main">
          <x14:cfRule type="expression" priority="1" id="{8033E519-7732-4A85-BFB0-9613618CFA28}">
            <xm:f>cal!GQ7=1</xm:f>
            <x14:dxf>
              <fill>
                <patternFill>
                  <bgColor theme="2" tint="-9.9948118533890809E-2"/>
                </patternFill>
              </fill>
            </x14:dxf>
          </x14:cfRule>
          <xm:sqref>N14:Q14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データの貼付</vt:lpstr>
      <vt:lpstr>cal</vt:lpstr>
      <vt:lpstr>graph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n-hanayama</dc:creator>
  <cp:lastModifiedBy>IKEBUKURO Haruhiko</cp:lastModifiedBy>
  <dcterms:created xsi:type="dcterms:W3CDTF">2021-05-27T07:52:32Z</dcterms:created>
  <dcterms:modified xsi:type="dcterms:W3CDTF">2021-09-12T14:28:10Z</dcterms:modified>
</cp:coreProperties>
</file>